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mana 8 al 14 de junio 2026" sheetId="1" r:id="rId5"/>
    <sheet state="hidden" name="semana del 15 al 21 junio 2026" sheetId="2" r:id="rId6"/>
    <sheet state="hidden" name="Semana 22 al28 junio 2026" sheetId="3" r:id="rId7"/>
    <sheet state="hidden" name="semana 29 junio al 5 julio" sheetId="4" r:id="rId8"/>
    <sheet state="hidden" name="Cierre Junio" sheetId="5" r:id="rId9"/>
    <sheet state="hidden" name=" semana 6 al 12 julio" sheetId="6" r:id="rId10"/>
    <sheet state="hidden" name="Semana 13 al 19 julio" sheetId="7" r:id="rId11"/>
    <sheet state="hidden" name="20 al 26 de Julio" sheetId="8" r:id="rId12"/>
    <sheet state="hidden" name="27 julio al 2 agosto" sheetId="9" r:id="rId13"/>
    <sheet state="hidden" name="cierre Julio " sheetId="10" r:id="rId14"/>
    <sheet state="hidden" name="03 al 09 de agosto" sheetId="11" r:id="rId15"/>
    <sheet state="hidden" name="10 al 16 de agosto" sheetId="12" r:id="rId16"/>
    <sheet state="hidden" name="17 al 23 agosto " sheetId="13" r:id="rId17"/>
    <sheet state="hidden" name="24al 30 de agosto " sheetId="14" r:id="rId18"/>
    <sheet state="visible" name="cierre agosto" sheetId="15" r:id="rId19"/>
    <sheet state="visible" name="Septiembre" sheetId="16" r:id="rId20"/>
    <sheet state="hidden" name="31 agos al 6 septiembre" sheetId="17" r:id="rId21"/>
    <sheet state="hidden" name="7 al 13 de septiembre" sheetId="18" r:id="rId22"/>
    <sheet state="hidden" name="14 al 20 de septiembre" sheetId="19" r:id="rId23"/>
    <sheet state="visible" name="21 al 27 de septiembre 2026" sheetId="20" r:id="rId24"/>
    <sheet state="visible" name="28 sep al 4 de octubre 2026" sheetId="21" r:id="rId25"/>
    <sheet state="visible" name="5 al 12 de octubre" sheetId="22" r:id="rId26"/>
  </sheets>
  <definedNames>
    <definedName hidden="1" localSheetId="0" name="_xlnm._FilterDatabase">'semana 8 al 14 de junio 2026'!$A$1:$K$1002</definedName>
    <definedName hidden="1" localSheetId="1" name="_xlnm._FilterDatabase">'semana del 15 al 21 junio 2026'!$A$1:$K$1002</definedName>
    <definedName hidden="1" localSheetId="2" name="_xlnm._FilterDatabase">'Semana 22 al28 junio 2026'!$A$1:$K$82</definedName>
    <definedName hidden="1" localSheetId="3" name="_xlnm._FilterDatabase">'semana 29 junio al 5 julio'!$A$1:$L$83</definedName>
    <definedName hidden="1" localSheetId="4" name="_xlnm._FilterDatabase">'Cierre Junio'!$A$1:$L$106</definedName>
    <definedName hidden="1" localSheetId="5" name="_xlnm._FilterDatabase">' semana 6 al 12 julio'!$A$1:$L$84</definedName>
    <definedName hidden="1" localSheetId="6" name="_xlnm._FilterDatabase">'Semana 13 al 19 julio'!$A$1:$L$85</definedName>
    <definedName hidden="1" localSheetId="7" name="_xlnm._FilterDatabase">'20 al 26 de Julio'!$A$1:$L$86</definedName>
    <definedName hidden="1" localSheetId="8" name="_xlnm._FilterDatabase">'27 julio al 2 agosto'!$A$1:$L$87</definedName>
    <definedName hidden="1" localSheetId="9" name="_xlnm._FilterDatabase">'cierre Julio '!$A$1:$L$108</definedName>
    <definedName hidden="1" localSheetId="10" name="_xlnm._FilterDatabase">'03 al 09 de agosto'!$A$1:$L$87</definedName>
    <definedName hidden="1" localSheetId="11" name="_xlnm._FilterDatabase">'10 al 16 de agosto'!$A$1:$L$87</definedName>
    <definedName hidden="1" localSheetId="12" name="_xlnm._FilterDatabase">'17 al 23 agosto '!$A$1:$L$87</definedName>
    <definedName hidden="1" localSheetId="13" name="_xlnm._FilterDatabase">'24al 30 de agosto '!$A$1:$L$87</definedName>
    <definedName hidden="1" localSheetId="14" name="_xlnm._FilterDatabase">'cierre agosto'!$A$1:$L$87</definedName>
    <definedName hidden="1" localSheetId="15" name="_xlnm._FilterDatabase">Septiembre!$A$1:$L$86</definedName>
    <definedName hidden="1" localSheetId="16" name="_xlnm._FilterDatabase">'31 agos al 6 septiembre'!$A$1:$L$87</definedName>
    <definedName hidden="1" localSheetId="17" name="_xlnm._FilterDatabase">'7 al 13 de septiembre'!$A$1:$L$86</definedName>
    <definedName hidden="1" localSheetId="18" name="_xlnm._FilterDatabase">'14 al 20 de septiembre'!$A$1:$L$87</definedName>
    <definedName hidden="1" localSheetId="19" name="_xlnm._FilterDatabase">'21 al 27 de septiembre 2026'!$A$1:$L$86</definedName>
    <definedName hidden="1" localSheetId="20" name="_xlnm._FilterDatabase">'28 sep al 4 de octubre 2026'!$A$1:$L$85</definedName>
    <definedName hidden="1" localSheetId="21" name="_xlnm._FilterDatabase">'5 al 12 de octubre'!$A$2:$L$83</definedName>
  </definedNames>
  <calcPr/>
</workbook>
</file>

<file path=xl/sharedStrings.xml><?xml version="1.0" encoding="utf-8"?>
<sst xmlns="http://schemas.openxmlformats.org/spreadsheetml/2006/main" count="9301" uniqueCount="2818">
  <si>
    <t>Canal</t>
  </si>
  <si>
    <t>Tiendas en el portal</t>
  </si>
  <si>
    <t>ordenes confirmadas</t>
  </si>
  <si>
    <t>Cancelaciones</t>
  </si>
  <si>
    <t>% órdenes Canceladas</t>
  </si>
  <si>
    <t>Reclamos</t>
  </si>
  <si>
    <t>% Órdenes con reclamos</t>
  </si>
  <si>
    <t>$ de reclamos</t>
  </si>
  <si>
    <t>pedidos demorados</t>
  </si>
  <si>
    <t>% Órdenes con demora</t>
  </si>
  <si>
    <t>Disponibilidad</t>
  </si>
  <si>
    <t>Peya</t>
  </si>
  <si>
    <t>Cargo por rechazo</t>
  </si>
  <si>
    <t>Mi Gusto - Balvanera</t>
  </si>
  <si>
    <t>$670.952</t>
  </si>
  <si>
    <t>Mi Gusto - Ballester</t>
  </si>
  <si>
    <t>$86.451</t>
  </si>
  <si>
    <t>-</t>
  </si>
  <si>
    <t>$359.849</t>
  </si>
  <si>
    <t>Mi Gusto - Caballito</t>
  </si>
  <si>
    <t>98.20</t>
  </si>
  <si>
    <t>$242.20</t>
  </si>
  <si>
    <t>$403.845</t>
  </si>
  <si>
    <t>Mi Gusto - Villa Urquiza</t>
  </si>
  <si>
    <t>$92.492</t>
  </si>
  <si>
    <t>$284.13</t>
  </si>
  <si>
    <t>Mi Gusto - Villa Crespo</t>
  </si>
  <si>
    <t>Mi Gusto - Barrancas De Belgrano</t>
  </si>
  <si>
    <t>$203.464</t>
  </si>
  <si>
    <t>$366.620</t>
  </si>
  <si>
    <t>$328.42</t>
  </si>
  <si>
    <t>$120.758</t>
  </si>
  <si>
    <t>$285.139</t>
  </si>
  <si>
    <t>Mi Gusto - Belgrano</t>
  </si>
  <si>
    <t>$135.73</t>
  </si>
  <si>
    <t>$1.584,60</t>
  </si>
  <si>
    <t>$369.221</t>
  </si>
  <si>
    <t>$106.925</t>
  </si>
  <si>
    <t>$192.771</t>
  </si>
  <si>
    <t>Mi Gusto - Ituzaingó</t>
  </si>
  <si>
    <t>$200.76</t>
  </si>
  <si>
    <t>$3.363,00</t>
  </si>
  <si>
    <t>$186.174</t>
  </si>
  <si>
    <t>$270.992</t>
  </si>
  <si>
    <t>$94.414</t>
  </si>
  <si>
    <t>Mi Gusto - Puerto Madero</t>
  </si>
  <si>
    <t>Mi Gusto - Campana</t>
  </si>
  <si>
    <t>$128.66</t>
  </si>
  <si>
    <t>$189.808</t>
  </si>
  <si>
    <t>Mi Gusto - Pilar Palmas</t>
  </si>
  <si>
    <t>Mi Gusto - Del Viso</t>
  </si>
  <si>
    <t>$66.748</t>
  </si>
  <si>
    <t>$200.25</t>
  </si>
  <si>
    <t>$257.791</t>
  </si>
  <si>
    <t>$179.253</t>
  </si>
  <si>
    <t>$131.50</t>
  </si>
  <si>
    <t>$421.689</t>
  </si>
  <si>
    <t>$133.788</t>
  </si>
  <si>
    <t>Mi Gusto - Devoto</t>
  </si>
  <si>
    <t>Mi Gusto - Martínez</t>
  </si>
  <si>
    <t>$142.50</t>
  </si>
  <si>
    <t>$451.783</t>
  </si>
  <si>
    <t>$75.370</t>
  </si>
  <si>
    <t>Mi Gusto- Las Cañitas</t>
  </si>
  <si>
    <t>Mi Gusto - Don Torcuato</t>
  </si>
  <si>
    <t>$175.98</t>
  </si>
  <si>
    <t>$96.462</t>
  </si>
  <si>
    <t>$29.158</t>
  </si>
  <si>
    <t>$267.074</t>
  </si>
  <si>
    <t>$234.81</t>
  </si>
  <si>
    <t>$167.128</t>
  </si>
  <si>
    <t>Mi Gusto - Escobar</t>
  </si>
  <si>
    <t>Mi Gusto - Muñiz</t>
  </si>
  <si>
    <t>$287.815</t>
  </si>
  <si>
    <t>$117.912</t>
  </si>
  <si>
    <t>$177.359</t>
  </si>
  <si>
    <t>$99.85</t>
  </si>
  <si>
    <t>Mi Gusto - Floresta</t>
  </si>
  <si>
    <t>$12.391,80</t>
  </si>
  <si>
    <t>Mi Gusto - Paternal</t>
  </si>
  <si>
    <t>$113.509</t>
  </si>
  <si>
    <t>$113.842</t>
  </si>
  <si>
    <t>Mi Gusto - Florida</t>
  </si>
  <si>
    <t>$143.61</t>
  </si>
  <si>
    <t>$10.750,20</t>
  </si>
  <si>
    <t>Mi Gusto - Palermo</t>
  </si>
  <si>
    <t>$49.633</t>
  </si>
  <si>
    <t>$137.067</t>
  </si>
  <si>
    <t>$13.752</t>
  </si>
  <si>
    <t>$165.11</t>
  </si>
  <si>
    <t>Mi Gusto - Hurlingham</t>
  </si>
  <si>
    <t>$77.304</t>
  </si>
  <si>
    <t>$46.77</t>
  </si>
  <si>
    <t>$79.715</t>
  </si>
  <si>
    <t>Mi Gusto - Ingeniero Maschwitz</t>
  </si>
  <si>
    <t>$241.755</t>
  </si>
  <si>
    <t>Mi Gusto - San Miguel</t>
  </si>
  <si>
    <t>$9.276</t>
  </si>
  <si>
    <t>$165.24</t>
  </si>
  <si>
    <t>$183.186</t>
  </si>
  <si>
    <t>$75.313</t>
  </si>
  <si>
    <t>$287.394</t>
  </si>
  <si>
    <t>$9.91</t>
  </si>
  <si>
    <t>$217.608</t>
  </si>
  <si>
    <t>Mi Gusto - Jose C. Paz</t>
  </si>
  <si>
    <t>$0</t>
  </si>
  <si>
    <t>$41.359</t>
  </si>
  <si>
    <t>$96.959</t>
  </si>
  <si>
    <t>$41.44</t>
  </si>
  <si>
    <t>Mi Gusto - Pilar Centro</t>
  </si>
  <si>
    <t>$296.460</t>
  </si>
  <si>
    <t>$110.82</t>
  </si>
  <si>
    <t>$76.154</t>
  </si>
  <si>
    <t>$152.945</t>
  </si>
  <si>
    <t>Mi Gusto - Mataderos</t>
  </si>
  <si>
    <t>Mi Gusto - Polvorines</t>
  </si>
  <si>
    <t>$64.872</t>
  </si>
  <si>
    <t>$59.338</t>
  </si>
  <si>
    <t>$131.586</t>
  </si>
  <si>
    <t>Mi Gusto - Merlo</t>
  </si>
  <si>
    <t>$26.25</t>
  </si>
  <si>
    <t>$79.105</t>
  </si>
  <si>
    <t>$221.048</t>
  </si>
  <si>
    <t>Mi Gusto - San Martín</t>
  </si>
  <si>
    <t>$82.251</t>
  </si>
  <si>
    <t>$67.82</t>
  </si>
  <si>
    <t>Mi Gusto - Moreno</t>
  </si>
  <si>
    <t>$41.406</t>
  </si>
  <si>
    <t>$1.698,60</t>
  </si>
  <si>
    <t>$99.09</t>
  </si>
  <si>
    <t>$157.636</t>
  </si>
  <si>
    <t>$86.676</t>
  </si>
  <si>
    <t>$41.818</t>
  </si>
  <si>
    <t>$22.19</t>
  </si>
  <si>
    <t>$49.139</t>
  </si>
  <si>
    <t>$216.354</t>
  </si>
  <si>
    <t>Mi Gusto - Munro</t>
  </si>
  <si>
    <t>$68.22</t>
  </si>
  <si>
    <t>$105.181</t>
  </si>
  <si>
    <t>$35.427</t>
  </si>
  <si>
    <t>$119.122</t>
  </si>
  <si>
    <t>$66.91</t>
  </si>
  <si>
    <t>$28.963</t>
  </si>
  <si>
    <t>$19.087</t>
  </si>
  <si>
    <t>$22.322</t>
  </si>
  <si>
    <t>Mi Gusto - Pacheco</t>
  </si>
  <si>
    <t>$28.48</t>
  </si>
  <si>
    <t>$187.941</t>
  </si>
  <si>
    <t>$145.947</t>
  </si>
  <si>
    <t>$6.726,00</t>
  </si>
  <si>
    <t>$99.97</t>
  </si>
  <si>
    <t>$95.695</t>
  </si>
  <si>
    <t>$80.049</t>
  </si>
  <si>
    <t>Mi Gusto - Vicente López</t>
  </si>
  <si>
    <t>$110.19</t>
  </si>
  <si>
    <t>$25.312</t>
  </si>
  <si>
    <t>Mi Gusto - Tigre</t>
  </si>
  <si>
    <t>$11.00</t>
  </si>
  <si>
    <t>$82.886</t>
  </si>
  <si>
    <t>Mi Gusto - Villa Adelina</t>
  </si>
  <si>
    <t>$85.85</t>
  </si>
  <si>
    <t>$96.631</t>
  </si>
  <si>
    <t>$35.57</t>
  </si>
  <si>
    <t>$18.089</t>
  </si>
  <si>
    <t>$93.21</t>
  </si>
  <si>
    <t>$119.915</t>
  </si>
  <si>
    <t>$56.069</t>
  </si>
  <si>
    <t>$107.220</t>
  </si>
  <si>
    <t>$174.81</t>
  </si>
  <si>
    <t>$129.163</t>
  </si>
  <si>
    <t>Mi Gusto - San Fernando</t>
  </si>
  <si>
    <t>$16.24</t>
  </si>
  <si>
    <t>$19.631</t>
  </si>
  <si>
    <t>$4.206,60</t>
  </si>
  <si>
    <t>$46.123</t>
  </si>
  <si>
    <t>$108.573</t>
  </si>
  <si>
    <t>$12.82</t>
  </si>
  <si>
    <t>$82.758</t>
  </si>
  <si>
    <t>$112.531</t>
  </si>
  <si>
    <t>$138.774</t>
  </si>
  <si>
    <t>$7.90</t>
  </si>
  <si>
    <t>$30.165</t>
  </si>
  <si>
    <t>$145.191</t>
  </si>
  <si>
    <t>$49.293</t>
  </si>
  <si>
    <t>$1.129</t>
  </si>
  <si>
    <t>Rappi</t>
  </si>
  <si>
    <t>$245.462</t>
  </si>
  <si>
    <t>1.23%</t>
  </si>
  <si>
    <t>6.41%</t>
  </si>
  <si>
    <t>52053.08</t>
  </si>
  <si>
    <t>47.43%</t>
  </si>
  <si>
    <t>$77.686</t>
  </si>
  <si>
    <t>94.07%</t>
  </si>
  <si>
    <t>7.40%</t>
  </si>
  <si>
    <t>$39.557</t>
  </si>
  <si>
    <t>64.19%</t>
  </si>
  <si>
    <t>0.77%</t>
  </si>
  <si>
    <t>95.11%</t>
  </si>
  <si>
    <t>4.34%</t>
  </si>
  <si>
    <t>90800.94</t>
  </si>
  <si>
    <t>50.98%</t>
  </si>
  <si>
    <t>99.72%</t>
  </si>
  <si>
    <t>4.50%</t>
  </si>
  <si>
    <t>$57.315</t>
  </si>
  <si>
    <t>51.63%</t>
  </si>
  <si>
    <t>$189.770</t>
  </si>
  <si>
    <t>97.40%</t>
  </si>
  <si>
    <t>0.83%</t>
  </si>
  <si>
    <t>4.49%</t>
  </si>
  <si>
    <t>226898.21</t>
  </si>
  <si>
    <t>15.63%</t>
  </si>
  <si>
    <t>95.71%</t>
  </si>
  <si>
    <t>6.05%</t>
  </si>
  <si>
    <t>11.86%</t>
  </si>
  <si>
    <t>99.24%</t>
  </si>
  <si>
    <t>0.40%</t>
  </si>
  <si>
    <t>$80.495</t>
  </si>
  <si>
    <t>2.82%</t>
  </si>
  <si>
    <t>$123.325</t>
  </si>
  <si>
    <t>469513.24</t>
  </si>
  <si>
    <t>39.85%</t>
  </si>
  <si>
    <t>99.45%</t>
  </si>
  <si>
    <t>4.46%</t>
  </si>
  <si>
    <t>43.85%</t>
  </si>
  <si>
    <t>99.90%</t>
  </si>
  <si>
    <t>0.15%</t>
  </si>
  <si>
    <t>4.71%</t>
  </si>
  <si>
    <t>$138.269</t>
  </si>
  <si>
    <t>335601.84</t>
  </si>
  <si>
    <t>36.74%</t>
  </si>
  <si>
    <t>92.76%</t>
  </si>
  <si>
    <t>3.81%</t>
  </si>
  <si>
    <t>$99.852</t>
  </si>
  <si>
    <t>36.18%</t>
  </si>
  <si>
    <t>98.01%</t>
  </si>
  <si>
    <t>$11.571,00</t>
  </si>
  <si>
    <t>$38.781</t>
  </si>
  <si>
    <t>3.68%</t>
  </si>
  <si>
    <t>0.69%</t>
  </si>
  <si>
    <t>49.07%</t>
  </si>
  <si>
    <t>95.69%</t>
  </si>
  <si>
    <t>4.28%</t>
  </si>
  <si>
    <t>$33.116</t>
  </si>
  <si>
    <t>52.85%</t>
  </si>
  <si>
    <t>97.04%</t>
  </si>
  <si>
    <t>3.65%</t>
  </si>
  <si>
    <t>$11.555</t>
  </si>
  <si>
    <t>0.61%</t>
  </si>
  <si>
    <t>65.44%</t>
  </si>
  <si>
    <t>3.75%</t>
  </si>
  <si>
    <t>95.04%</t>
  </si>
  <si>
    <t>54318.2</t>
  </si>
  <si>
    <t>44.68%</t>
  </si>
  <si>
    <t>89.32%</t>
  </si>
  <si>
    <t>$14.261,40</t>
  </si>
  <si>
    <t>$69.738</t>
  </si>
  <si>
    <t>5.08%</t>
  </si>
  <si>
    <t>$121.151</t>
  </si>
  <si>
    <t>0.00%</t>
  </si>
  <si>
    <t>40.67%</t>
  </si>
  <si>
    <t>2.38%</t>
  </si>
  <si>
    <t>12841.2</t>
  </si>
  <si>
    <t>98.69%</t>
  </si>
  <si>
    <t>14.28%</t>
  </si>
  <si>
    <t>82.22%</t>
  </si>
  <si>
    <t>6.96%</t>
  </si>
  <si>
    <t>$73.751</t>
  </si>
  <si>
    <t>56.96%</t>
  </si>
  <si>
    <t>99.67%</t>
  </si>
  <si>
    <t>$147.131</t>
  </si>
  <si>
    <t>50.75%</t>
  </si>
  <si>
    <t>91.57%</t>
  </si>
  <si>
    <t>5.83%</t>
  </si>
  <si>
    <t>1.86%</t>
  </si>
  <si>
    <t>44.16%</t>
  </si>
  <si>
    <t>81.41%</t>
  </si>
  <si>
    <t>42.05%</t>
  </si>
  <si>
    <t>$0,00</t>
  </si>
  <si>
    <t>81.90%</t>
  </si>
  <si>
    <t>$100.626</t>
  </si>
  <si>
    <t>0.44%</t>
  </si>
  <si>
    <t>$25.769</t>
  </si>
  <si>
    <t>4.80%</t>
  </si>
  <si>
    <t>2.23%</t>
  </si>
  <si>
    <t>43.75%</t>
  </si>
  <si>
    <t>45.08%</t>
  </si>
  <si>
    <t>99.05%</t>
  </si>
  <si>
    <t>99.89%</t>
  </si>
  <si>
    <t>3.60%</t>
  </si>
  <si>
    <t>6.45%</t>
  </si>
  <si>
    <t>7.69%</t>
  </si>
  <si>
    <t>10.88%</t>
  </si>
  <si>
    <t>10.36%</t>
  </si>
  <si>
    <t>99.78%</t>
  </si>
  <si>
    <t>$103.998</t>
  </si>
  <si>
    <t>95.36%</t>
  </si>
  <si>
    <t>119376.8</t>
  </si>
  <si>
    <t>41.02%</t>
  </si>
  <si>
    <t>100.00%</t>
  </si>
  <si>
    <t>7.31%</t>
  </si>
  <si>
    <t>4.08%</t>
  </si>
  <si>
    <t>65.85%</t>
  </si>
  <si>
    <t>63.26%</t>
  </si>
  <si>
    <t>99.12%</t>
  </si>
  <si>
    <t>3.59%</t>
  </si>
  <si>
    <t>108871.8</t>
  </si>
  <si>
    <t>2.50%</t>
  </si>
  <si>
    <t>60.43%</t>
  </si>
  <si>
    <t>$57.787</t>
  </si>
  <si>
    <t>3.53%</t>
  </si>
  <si>
    <t>111638.4</t>
  </si>
  <si>
    <t>75.22%</t>
  </si>
  <si>
    <t>84.25%</t>
  </si>
  <si>
    <t>0.41%</t>
  </si>
  <si>
    <t>98.77%</t>
  </si>
  <si>
    <t>97.96%</t>
  </si>
  <si>
    <t>3.62%</t>
  </si>
  <si>
    <t>403936.97</t>
  </si>
  <si>
    <t>7.67%</t>
  </si>
  <si>
    <t>7.07%</t>
  </si>
  <si>
    <t>99.01%</t>
  </si>
  <si>
    <t>42191.5</t>
  </si>
  <si>
    <t>4.44%</t>
  </si>
  <si>
    <t>46.90%</t>
  </si>
  <si>
    <t>$38.363</t>
  </si>
  <si>
    <t>92.45%</t>
  </si>
  <si>
    <t>0.18%</t>
  </si>
  <si>
    <t>47.77%</t>
  </si>
  <si>
    <t>88.43%</t>
  </si>
  <si>
    <t>1.64%</t>
  </si>
  <si>
    <t>1.34%</t>
  </si>
  <si>
    <t>31.93%</t>
  </si>
  <si>
    <t>6.60%</t>
  </si>
  <si>
    <t>65932.35</t>
  </si>
  <si>
    <t>66.03%</t>
  </si>
  <si>
    <t>99.39%</t>
  </si>
  <si>
    <t>0.34%</t>
  </si>
  <si>
    <t>57.14%</t>
  </si>
  <si>
    <t>99.87%</t>
  </si>
  <si>
    <t>6.04%</t>
  </si>
  <si>
    <t>2.36%</t>
  </si>
  <si>
    <t>225161.88</t>
  </si>
  <si>
    <t>$10.596</t>
  </si>
  <si>
    <t>58.57%</t>
  </si>
  <si>
    <t>2.98%</t>
  </si>
  <si>
    <t>99.81%</t>
  </si>
  <si>
    <t>37.54%</t>
  </si>
  <si>
    <t>43.78%</t>
  </si>
  <si>
    <t>0.38%</t>
  </si>
  <si>
    <t>4.00%</t>
  </si>
  <si>
    <t>172017.4</t>
  </si>
  <si>
    <t>51.60%</t>
  </si>
  <si>
    <t>8.39%</t>
  </si>
  <si>
    <t>99.09%</t>
  </si>
  <si>
    <t>$41.998</t>
  </si>
  <si>
    <t>217078.2</t>
  </si>
  <si>
    <t>31.29%</t>
  </si>
  <si>
    <t>47.17%</t>
  </si>
  <si>
    <t>98.36%</t>
  </si>
  <si>
    <t>2.94%</t>
  </si>
  <si>
    <t>1.92%</t>
  </si>
  <si>
    <t>41.17%</t>
  </si>
  <si>
    <t>2.56%</t>
  </si>
  <si>
    <t>88.48%</t>
  </si>
  <si>
    <t>3.29%</t>
  </si>
  <si>
    <t>31.73%</t>
  </si>
  <si>
    <t>88.66%</t>
  </si>
  <si>
    <t>157652.6</t>
  </si>
  <si>
    <t>43.58%</t>
  </si>
  <si>
    <t>0.66%</t>
  </si>
  <si>
    <t>34.06%</t>
  </si>
  <si>
    <t>99.33%</t>
  </si>
  <si>
    <t>87.66%</t>
  </si>
  <si>
    <t>60156.66</t>
  </si>
  <si>
    <t>4.86%</t>
  </si>
  <si>
    <t>45.33%</t>
  </si>
  <si>
    <t>96.82%</t>
  </si>
  <si>
    <t>5.97%</t>
  </si>
  <si>
    <t>99965.5</t>
  </si>
  <si>
    <t>51.86%</t>
  </si>
  <si>
    <t>38592.4</t>
  </si>
  <si>
    <t>30.55%</t>
  </si>
  <si>
    <t>19.56%</t>
  </si>
  <si>
    <t>MDL</t>
  </si>
  <si>
    <t>50.00%</t>
  </si>
  <si>
    <t>99.16%</t>
  </si>
  <si>
    <t>79.04%</t>
  </si>
  <si>
    <t>3.73%</t>
  </si>
  <si>
    <t>ND</t>
  </si>
  <si>
    <t>0.78%</t>
  </si>
  <si>
    <t>1.61%</t>
  </si>
  <si>
    <t>33.06%</t>
  </si>
  <si>
    <t>147315.88</t>
  </si>
  <si>
    <t>1.16%</t>
  </si>
  <si>
    <t>4.93%</t>
  </si>
  <si>
    <t>8.80%</t>
  </si>
  <si>
    <t>98.56%</t>
  </si>
  <si>
    <t>39.50%</t>
  </si>
  <si>
    <t>77.10%</t>
  </si>
  <si>
    <t>0.09%</t>
  </si>
  <si>
    <t>206108.8</t>
  </si>
  <si>
    <t>2.40%</t>
  </si>
  <si>
    <t>279371.05</t>
  </si>
  <si>
    <t>35.48%</t>
  </si>
  <si>
    <t>47.04%</t>
  </si>
  <si>
    <t>97.56%</t>
  </si>
  <si>
    <t>4.01%</t>
  </si>
  <si>
    <t>90799.8</t>
  </si>
  <si>
    <t>219271.57</t>
  </si>
  <si>
    <t>60.00%</t>
  </si>
  <si>
    <t>39.65%</t>
  </si>
  <si>
    <t>97.41%</t>
  </si>
  <si>
    <t>3.63%</t>
  </si>
  <si>
    <t>50629.8</t>
  </si>
  <si>
    <t>70.90%</t>
  </si>
  <si>
    <t>4.76%</t>
  </si>
  <si>
    <t>35.37%</t>
  </si>
  <si>
    <t>5.38%</t>
  </si>
  <si>
    <t>34.61%</t>
  </si>
  <si>
    <t>99.44%</t>
  </si>
  <si>
    <t>122195.75</t>
  </si>
  <si>
    <t>2.65%</t>
  </si>
  <si>
    <t>55.49%</t>
  </si>
  <si>
    <t>86.51%</t>
  </si>
  <si>
    <t>54.78%</t>
  </si>
  <si>
    <t>1.44%</t>
  </si>
  <si>
    <t>7.35%</t>
  </si>
  <si>
    <t>5.72%</t>
  </si>
  <si>
    <t>32.35%</t>
  </si>
  <si>
    <t>88.58%</t>
  </si>
  <si>
    <t>215121.02</t>
  </si>
  <si>
    <t>60.68%</t>
  </si>
  <si>
    <t>3.14%</t>
  </si>
  <si>
    <t>64413.89</t>
  </si>
  <si>
    <t>50.31%</t>
  </si>
  <si>
    <t>2.53%</t>
  </si>
  <si>
    <t>72132.5</t>
  </si>
  <si>
    <t>43.45%</t>
  </si>
  <si>
    <t>3.10%</t>
  </si>
  <si>
    <t>3.66%</t>
  </si>
  <si>
    <t>44245.2</t>
  </si>
  <si>
    <t>20.18%</t>
  </si>
  <si>
    <t>40.31%</t>
  </si>
  <si>
    <t>94.65%</t>
  </si>
  <si>
    <t>3.92%</t>
  </si>
  <si>
    <t>84686.15</t>
  </si>
  <si>
    <t>3.50%</t>
  </si>
  <si>
    <t>21.56%</t>
  </si>
  <si>
    <t>122977.02</t>
  </si>
  <si>
    <t>46.50%</t>
  </si>
  <si>
    <t>97.59%</t>
  </si>
  <si>
    <t>1.41%</t>
  </si>
  <si>
    <t>3.38%</t>
  </si>
  <si>
    <t>56271.6</t>
  </si>
  <si>
    <t>12.56%</t>
  </si>
  <si>
    <t>99.41%</t>
  </si>
  <si>
    <t>2.63%</t>
  </si>
  <si>
    <t>67.50%</t>
  </si>
  <si>
    <t>5.88%</t>
  </si>
  <si>
    <t>96.07%</t>
  </si>
  <si>
    <t>10739.09</t>
  </si>
  <si>
    <t>55.88%</t>
  </si>
  <si>
    <t>1.49%</t>
  </si>
  <si>
    <t>7.14%</t>
  </si>
  <si>
    <t>75.39%</t>
  </si>
  <si>
    <t>99.27%</t>
  </si>
  <si>
    <t>0.75%</t>
  </si>
  <si>
    <t>42.63%</t>
  </si>
  <si>
    <t>88.70%</t>
  </si>
  <si>
    <t>8.29%</t>
  </si>
  <si>
    <t>151983.25</t>
  </si>
  <si>
    <t>55.45%</t>
  </si>
  <si>
    <t>1.99%</t>
  </si>
  <si>
    <t>57884.5</t>
  </si>
  <si>
    <t>44.27%</t>
  </si>
  <si>
    <t>98.40%</t>
  </si>
  <si>
    <t>6.16%</t>
  </si>
  <si>
    <t>138440.61</t>
  </si>
  <si>
    <t>54.45%</t>
  </si>
  <si>
    <t>3.26%</t>
  </si>
  <si>
    <t>47.82%</t>
  </si>
  <si>
    <t>91.97%</t>
  </si>
  <si>
    <t>32632.4</t>
  </si>
  <si>
    <t>31.37%</t>
  </si>
  <si>
    <t>99.56%</t>
  </si>
  <si>
    <t>Mi gusto- Hurlingham</t>
  </si>
  <si>
    <t>40.00%</t>
  </si>
  <si>
    <t>99.04%</t>
  </si>
  <si>
    <t>Mi Gusto Balvanera</t>
  </si>
  <si>
    <t>Mi Gusto Villa Crespo</t>
  </si>
  <si>
    <t>Mi Gusto Caballito</t>
  </si>
  <si>
    <t>Mi Gusto Villa Urquiza</t>
  </si>
  <si>
    <t>Mi Gusto Ballester</t>
  </si>
  <si>
    <t>Mi Gusto Belgrano</t>
  </si>
  <si>
    <t>Mi Gusto Floresta</t>
  </si>
  <si>
    <t>Mi Gusto Villa Devoto</t>
  </si>
  <si>
    <t>Mi Gusto Paternal</t>
  </si>
  <si>
    <t>Mi Gusto Las Cañitas</t>
  </si>
  <si>
    <t>Mi Gusto Mataderos</t>
  </si>
  <si>
    <t>Mi Gusto Puerto Madero</t>
  </si>
  <si>
    <t>Mi Gusto Barrancas de Belgrano</t>
  </si>
  <si>
    <t>Mi Gusto Palermo</t>
  </si>
  <si>
    <t>Mi Gusto Florida</t>
  </si>
  <si>
    <t>Mi Gusto Vicente Lopez</t>
  </si>
  <si>
    <t>Mi Gusto Martinez</t>
  </si>
  <si>
    <t>Mi Gusto Villa Adelina</t>
  </si>
  <si>
    <t>Mi Gusto Munro</t>
  </si>
  <si>
    <t>Mi Gusto San Martin</t>
  </si>
  <si>
    <t>Mi Gusto Ituzaingó</t>
  </si>
  <si>
    <t>PEDIDOS YA</t>
  </si>
  <si>
    <t>0.74%</t>
  </si>
  <si>
    <t>$29,937.40</t>
  </si>
  <si>
    <t>2.04%</t>
  </si>
  <si>
    <t>$459,741</t>
  </si>
  <si>
    <t>14.02%</t>
  </si>
  <si>
    <t>0.10%</t>
  </si>
  <si>
    <t>$22,515.00</t>
  </si>
  <si>
    <t>2.70%</t>
  </si>
  <si>
    <t>$2,098,849</t>
  </si>
  <si>
    <t>7.65%</t>
  </si>
  <si>
    <t>0.36%</t>
  </si>
  <si>
    <t>0.07%</t>
  </si>
  <si>
    <t>$0.00</t>
  </si>
  <si>
    <t>2.16%</t>
  </si>
  <si>
    <t>$807,340</t>
  </si>
  <si>
    <t>14.81%</t>
  </si>
  <si>
    <t>0.27%</t>
  </si>
  <si>
    <t>$61,237.80</t>
  </si>
  <si>
    <t>1.58%</t>
  </si>
  <si>
    <t>$600,526</t>
  </si>
  <si>
    <t>15.72%</t>
  </si>
  <si>
    <t>0.87%</t>
  </si>
  <si>
    <t>$75,314.90</t>
  </si>
  <si>
    <t>1.83%</t>
  </si>
  <si>
    <t>$1,158,700</t>
  </si>
  <si>
    <t>14.92%</t>
  </si>
  <si>
    <t>0.54%</t>
  </si>
  <si>
    <t>1.27%</t>
  </si>
  <si>
    <t>$11,764.80</t>
  </si>
  <si>
    <t>2.24%</t>
  </si>
  <si>
    <t>$66,382</t>
  </si>
  <si>
    <t>10.31%</t>
  </si>
  <si>
    <t>$18,719.80</t>
  </si>
  <si>
    <t>2.75%</t>
  </si>
  <si>
    <t>$558,332</t>
  </si>
  <si>
    <t>15.35%</t>
  </si>
  <si>
    <t>$6,817.20</t>
  </si>
  <si>
    <t>3.34%</t>
  </si>
  <si>
    <t>$993,170</t>
  </si>
  <si>
    <t>11.44%</t>
  </si>
  <si>
    <t>Reclamos x n° neto</t>
  </si>
  <si>
    <t>1.22%</t>
  </si>
  <si>
    <t>$239,204</t>
  </si>
  <si>
    <t>15.16%</t>
  </si>
  <si>
    <t>1.97%</t>
  </si>
  <si>
    <t>$4,491.60</t>
  </si>
  <si>
    <t>2.03%</t>
  </si>
  <si>
    <t>$436,285</t>
  </si>
  <si>
    <t>10.65%</t>
  </si>
  <si>
    <t>$52,708.00</t>
  </si>
  <si>
    <t>1.53%</t>
  </si>
  <si>
    <t>$358,987</t>
  </si>
  <si>
    <t>11.35%</t>
  </si>
  <si>
    <t>$13,778.00</t>
  </si>
  <si>
    <t>1.55%</t>
  </si>
  <si>
    <t>$310,803</t>
  </si>
  <si>
    <t>2.61%</t>
  </si>
  <si>
    <t>0.22%</t>
  </si>
  <si>
    <t>$8,887.40</t>
  </si>
  <si>
    <t>$335,666</t>
  </si>
  <si>
    <t>9.53%</t>
  </si>
  <si>
    <t>1.90%</t>
  </si>
  <si>
    <t>$420,241</t>
  </si>
  <si>
    <t>16.48%</t>
  </si>
  <si>
    <t>$48,342.80</t>
  </si>
  <si>
    <t>$1,168,627</t>
  </si>
  <si>
    <t>12.29%</t>
  </si>
  <si>
    <t>$13,950.00</t>
  </si>
  <si>
    <t>$9.997,80</t>
  </si>
  <si>
    <t>0.70%</t>
  </si>
  <si>
    <t>$117,431</t>
  </si>
  <si>
    <t>$215.186</t>
  </si>
  <si>
    <t>Reclamos por %</t>
  </si>
  <si>
    <t>0.04%</t>
  </si>
  <si>
    <t>$3,363.00</t>
  </si>
  <si>
    <t>2.18%</t>
  </si>
  <si>
    <t>$675,303</t>
  </si>
  <si>
    <t>11.45%</t>
  </si>
  <si>
    <t>0.48%</t>
  </si>
  <si>
    <t>$12,448.80</t>
  </si>
  <si>
    <t>$394.409</t>
  </si>
  <si>
    <t>2.28%</t>
  </si>
  <si>
    <t>$469,031</t>
  </si>
  <si>
    <t>21.89%</t>
  </si>
  <si>
    <t>$224.631</t>
  </si>
  <si>
    <t>1.85%</t>
  </si>
  <si>
    <t>$284,131</t>
  </si>
  <si>
    <t>10.99%</t>
  </si>
  <si>
    <t>$15.549,60</t>
  </si>
  <si>
    <t>$195.942</t>
  </si>
  <si>
    <t>0.37%</t>
  </si>
  <si>
    <t>$10,953.00</t>
  </si>
  <si>
    <t>1.65%</t>
  </si>
  <si>
    <t>$223,648</t>
  </si>
  <si>
    <t>10.91%</t>
  </si>
  <si>
    <t>$11.377,20</t>
  </si>
  <si>
    <t>$462.112</t>
  </si>
  <si>
    <t>0.17%</t>
  </si>
  <si>
    <t>$2,713.20</t>
  </si>
  <si>
    <t>$26.847,00</t>
  </si>
  <si>
    <t>$150,115</t>
  </si>
  <si>
    <t>14.90%</t>
  </si>
  <si>
    <t>$22.081,80</t>
  </si>
  <si>
    <t>1.25%</t>
  </si>
  <si>
    <t>$65.615</t>
  </si>
  <si>
    <t>$401,908</t>
  </si>
  <si>
    <t>6.28%</t>
  </si>
  <si>
    <t>$22,336.80</t>
  </si>
  <si>
    <t>$127.101</t>
  </si>
  <si>
    <t>$777,459</t>
  </si>
  <si>
    <t>14.84%</t>
  </si>
  <si>
    <t>$78.378</t>
  </si>
  <si>
    <t>0.33%</t>
  </si>
  <si>
    <t>$24,225.00</t>
  </si>
  <si>
    <t>2.62%</t>
  </si>
  <si>
    <t>$707,184</t>
  </si>
  <si>
    <t>8.22%</t>
  </si>
  <si>
    <t>Pedidos demorados neto</t>
  </si>
  <si>
    <t>$20.189,40</t>
  </si>
  <si>
    <t>$69.648</t>
  </si>
  <si>
    <t>$529,905</t>
  </si>
  <si>
    <t>6.12%</t>
  </si>
  <si>
    <t>$14.215,80</t>
  </si>
  <si>
    <t>$95.398</t>
  </si>
  <si>
    <t>0.20%</t>
  </si>
  <si>
    <t>$34,090.80</t>
  </si>
  <si>
    <t>1.40%</t>
  </si>
  <si>
    <t>$1.198,60</t>
  </si>
  <si>
    <t>$424,635</t>
  </si>
  <si>
    <t>4.97%</t>
  </si>
  <si>
    <t>$110.307</t>
  </si>
  <si>
    <t>$29,211.20</t>
  </si>
  <si>
    <t>$4.731,00</t>
  </si>
  <si>
    <t>1.95%</t>
  </si>
  <si>
    <t>$1,006,462</t>
  </si>
  <si>
    <t>$101.129</t>
  </si>
  <si>
    <t>9.20%</t>
  </si>
  <si>
    <t>11.81%</t>
  </si>
  <si>
    <t>0.05%</t>
  </si>
  <si>
    <t>1.32%</t>
  </si>
  <si>
    <t>$359,773</t>
  </si>
  <si>
    <t>13.14%</t>
  </si>
  <si>
    <t>$105.909</t>
  </si>
  <si>
    <t>0.12%</t>
  </si>
  <si>
    <t>$4,980.60</t>
  </si>
  <si>
    <t>$36.730,80</t>
  </si>
  <si>
    <t>2.08%</t>
  </si>
  <si>
    <t>$1,043,144</t>
  </si>
  <si>
    <t>$320.779</t>
  </si>
  <si>
    <t>8.45%</t>
  </si>
  <si>
    <t>0.65%</t>
  </si>
  <si>
    <t>$25,119.00</t>
  </si>
  <si>
    <t>1.56%</t>
  </si>
  <si>
    <t>$1.849,50</t>
  </si>
  <si>
    <t>$224,644</t>
  </si>
  <si>
    <t>22.03%</t>
  </si>
  <si>
    <t>$5,335.20</t>
  </si>
  <si>
    <t>2.02%</t>
  </si>
  <si>
    <t>$375,017</t>
  </si>
  <si>
    <t>9.42%</t>
  </si>
  <si>
    <t>$166.820</t>
  </si>
  <si>
    <t>$10,342.00</t>
  </si>
  <si>
    <t>1.84%</t>
  </si>
  <si>
    <t>$447,452</t>
  </si>
  <si>
    <t>$5.506,20</t>
  </si>
  <si>
    <t>8.73%</t>
  </si>
  <si>
    <t>Pedidos demorados por %</t>
  </si>
  <si>
    <t>$111.452</t>
  </si>
  <si>
    <t>1.67%</t>
  </si>
  <si>
    <t>$512,740</t>
  </si>
  <si>
    <t>10.81%</t>
  </si>
  <si>
    <t>$42.510,60</t>
  </si>
  <si>
    <t>$144.102</t>
  </si>
  <si>
    <t>$15,722.00</t>
  </si>
  <si>
    <t>2.09%</t>
  </si>
  <si>
    <t>$351,325</t>
  </si>
  <si>
    <t>$6.249</t>
  </si>
  <si>
    <t>0.14%</t>
  </si>
  <si>
    <t>$6,726.00</t>
  </si>
  <si>
    <t>$10.224</t>
  </si>
  <si>
    <t>$447,176</t>
  </si>
  <si>
    <t>7.57%</t>
  </si>
  <si>
    <t>$114.835</t>
  </si>
  <si>
    <t>$67,062.20</t>
  </si>
  <si>
    <t>$1,095,752</t>
  </si>
  <si>
    <t>10.12%</t>
  </si>
  <si>
    <t>$144.972</t>
  </si>
  <si>
    <t>0.13%</t>
  </si>
  <si>
    <t>$6,818.80</t>
  </si>
  <si>
    <t>$1,220,918</t>
  </si>
  <si>
    <t>$6.612,00</t>
  </si>
  <si>
    <t>$183.258</t>
  </si>
  <si>
    <t>$21,340.44</t>
  </si>
  <si>
    <t>$567,931</t>
  </si>
  <si>
    <t>14.77%</t>
  </si>
  <si>
    <t>$2.827,20</t>
  </si>
  <si>
    <t>$72.908</t>
  </si>
  <si>
    <t>1</t>
  </si>
  <si>
    <t>$16.051,20</t>
  </si>
  <si>
    <t>3.22%</t>
  </si>
  <si>
    <t>$140.232</t>
  </si>
  <si>
    <t>34.82%</t>
  </si>
  <si>
    <t>89.13%</t>
  </si>
  <si>
    <t>rappi rappi</t>
  </si>
  <si>
    <t>$17.114,80</t>
  </si>
  <si>
    <t>mercado delivery</t>
  </si>
  <si>
    <t>$356.434</t>
  </si>
  <si>
    <t>cancelaciones</t>
  </si>
  <si>
    <t>0</t>
  </si>
  <si>
    <t>4.03%</t>
  </si>
  <si>
    <t>1074615.59</t>
  </si>
  <si>
    <t>$148.609</t>
  </si>
  <si>
    <t>34.78%</t>
  </si>
  <si>
    <t>96.90%</t>
  </si>
  <si>
    <t>5</t>
  </si>
  <si>
    <t>0.84%</t>
  </si>
  <si>
    <t>0,79%</t>
  </si>
  <si>
    <t>$34.667,40</t>
  </si>
  <si>
    <t>$188.813</t>
  </si>
  <si>
    <t>2.87%</t>
  </si>
  <si>
    <t>189414.75</t>
  </si>
  <si>
    <t>44.83%</t>
  </si>
  <si>
    <t>99.49%</t>
  </si>
  <si>
    <t>2</t>
  </si>
  <si>
    <t>0.58%</t>
  </si>
  <si>
    <t>2,21%</t>
  </si>
  <si>
    <t>$102.850</t>
  </si>
  <si>
    <t>4.13%</t>
  </si>
  <si>
    <t>389436.79</t>
  </si>
  <si>
    <t>49.21%</t>
  </si>
  <si>
    <t>98.37%</t>
  </si>
  <si>
    <t>$143.640</t>
  </si>
  <si>
    <t>0.39%</t>
  </si>
  <si>
    <t>2,00%</t>
  </si>
  <si>
    <t>3.57%</t>
  </si>
  <si>
    <t>438048.44</t>
  </si>
  <si>
    <t>$177.195</t>
  </si>
  <si>
    <t>55.33%</t>
  </si>
  <si>
    <t>90.03%</t>
  </si>
  <si>
    <t>1,57%</t>
  </si>
  <si>
    <t>0.42%</t>
  </si>
  <si>
    <t>$3.720,60</t>
  </si>
  <si>
    <t>5.86%</t>
  </si>
  <si>
    <t>543718.02</t>
  </si>
  <si>
    <t>$176.628</t>
  </si>
  <si>
    <t>58.13%</t>
  </si>
  <si>
    <t>99.52%</t>
  </si>
  <si>
    <t>2,99%</t>
  </si>
  <si>
    <t>$14.018,20</t>
  </si>
  <si>
    <t>$98.683</t>
  </si>
  <si>
    <t>3.71%</t>
  </si>
  <si>
    <t>162659.58</t>
  </si>
  <si>
    <t>42.66%</t>
  </si>
  <si>
    <t>$11.317,20</t>
  </si>
  <si>
    <t>3.19%</t>
  </si>
  <si>
    <t>266200.59</t>
  </si>
  <si>
    <t>$120.840</t>
  </si>
  <si>
    <t>51.26%</t>
  </si>
  <si>
    <t>96.03%</t>
  </si>
  <si>
    <t>Cancelaciones por %</t>
  </si>
  <si>
    <t>cancelaciones %</t>
  </si>
  <si>
    <t>$16.302,00</t>
  </si>
  <si>
    <t>$241.709</t>
  </si>
  <si>
    <t>$11.890,20</t>
  </si>
  <si>
    <t>$186.245</t>
  </si>
  <si>
    <t>$95.282</t>
  </si>
  <si>
    <t>41.66%</t>
  </si>
  <si>
    <t>99.28%</t>
  </si>
  <si>
    <t>1.26%</t>
  </si>
  <si>
    <t>4.62%</t>
  </si>
  <si>
    <t>28817.66</t>
  </si>
  <si>
    <t>63.00%</t>
  </si>
  <si>
    <t>23.33%</t>
  </si>
  <si>
    <t>96.85%</t>
  </si>
  <si>
    <t>76.64%</t>
  </si>
  <si>
    <t>2,04%</t>
  </si>
  <si>
    <t>4.14%</t>
  </si>
  <si>
    <t>210546.04</t>
  </si>
  <si>
    <t>347394.13</t>
  </si>
  <si>
    <t>39.08%</t>
  </si>
  <si>
    <t>82.01%</t>
  </si>
  <si>
    <t>31.47%</t>
  </si>
  <si>
    <t>98.99%</t>
  </si>
  <si>
    <t>5.00%</t>
  </si>
  <si>
    <t>5.51%</t>
  </si>
  <si>
    <t>367575.76</t>
  </si>
  <si>
    <t>222902.03</t>
  </si>
  <si>
    <t>37.33%</t>
  </si>
  <si>
    <t>72.91%</t>
  </si>
  <si>
    <t>99.06%</t>
  </si>
  <si>
    <t>96.42%</t>
  </si>
  <si>
    <t>3.88%</t>
  </si>
  <si>
    <t>207432.2</t>
  </si>
  <si>
    <t>5.24%</t>
  </si>
  <si>
    <t>34.92%</t>
  </si>
  <si>
    <t>223405.28</t>
  </si>
  <si>
    <t>49.27%</t>
  </si>
  <si>
    <t>96.80%</t>
  </si>
  <si>
    <t>2.59%</t>
  </si>
  <si>
    <t>34.73%</t>
  </si>
  <si>
    <t>4.55%</t>
  </si>
  <si>
    <t>173161.66</t>
  </si>
  <si>
    <t>89.25%</t>
  </si>
  <si>
    <t>34.79%</t>
  </si>
  <si>
    <t>99.11%</t>
  </si>
  <si>
    <t>6.49%</t>
  </si>
  <si>
    <t>268217.69</t>
  </si>
  <si>
    <t>44.15%</t>
  </si>
  <si>
    <t>3.79%</t>
  </si>
  <si>
    <t>488597.69</t>
  </si>
  <si>
    <t>42.68%</t>
  </si>
  <si>
    <t>3.12%</t>
  </si>
  <si>
    <t>reclamos</t>
  </si>
  <si>
    <t>0.71%</t>
  </si>
  <si>
    <t>33.81%</t>
  </si>
  <si>
    <t>4.32%</t>
  </si>
  <si>
    <t>9.14%</t>
  </si>
  <si>
    <t>98.61%</t>
  </si>
  <si>
    <t>2.51%</t>
  </si>
  <si>
    <t>95143.2</t>
  </si>
  <si>
    <t>28.93%</t>
  </si>
  <si>
    <t>94.43%</t>
  </si>
  <si>
    <t>2.33%</t>
  </si>
  <si>
    <t>86789.01</t>
  </si>
  <si>
    <t>32.46%</t>
  </si>
  <si>
    <t>90.60%</t>
  </si>
  <si>
    <t>4.77%</t>
  </si>
  <si>
    <t>11.11%</t>
  </si>
  <si>
    <t>3.49%</t>
  </si>
  <si>
    <t>289560.7</t>
  </si>
  <si>
    <t>97.86%</t>
  </si>
  <si>
    <t>5.26%</t>
  </si>
  <si>
    <t>4185.72</t>
  </si>
  <si>
    <t>57.89%</t>
  </si>
  <si>
    <t>99.46%</t>
  </si>
  <si>
    <t>1169066.28</t>
  </si>
  <si>
    <t>10.73%</t>
  </si>
  <si>
    <t>98.29%</t>
  </si>
  <si>
    <t>5.74%</t>
  </si>
  <si>
    <t>25682.4</t>
  </si>
  <si>
    <t>47.12%</t>
  </si>
  <si>
    <t>88.52%</t>
  </si>
  <si>
    <t>547370.28</t>
  </si>
  <si>
    <t>5.06%</t>
  </si>
  <si>
    <t>47.54%</t>
  </si>
  <si>
    <t>99.40%</t>
  </si>
  <si>
    <t>60.12%</t>
  </si>
  <si>
    <t>Reclamos %</t>
  </si>
  <si>
    <t>94.19%</t>
  </si>
  <si>
    <t>1670527.73</t>
  </si>
  <si>
    <t>127707.88</t>
  </si>
  <si>
    <t>47.75%</t>
  </si>
  <si>
    <t>42.74%</t>
  </si>
  <si>
    <t>96.96%</t>
  </si>
  <si>
    <t>99.08%</t>
  </si>
  <si>
    <t>5.12%</t>
  </si>
  <si>
    <t>90059.42</t>
  </si>
  <si>
    <t>48.20%</t>
  </si>
  <si>
    <t>99.37%</t>
  </si>
  <si>
    <t>0,31%</t>
  </si>
  <si>
    <t>0.95%</t>
  </si>
  <si>
    <t>91360.52</t>
  </si>
  <si>
    <t>6.37%</t>
  </si>
  <si>
    <t>95.60%</t>
  </si>
  <si>
    <t>reclamos %</t>
  </si>
  <si>
    <t>1.28%</t>
  </si>
  <si>
    <t>0,12%</t>
  </si>
  <si>
    <t>4.10%</t>
  </si>
  <si>
    <t>20.54%</t>
  </si>
  <si>
    <t>91.66%</t>
  </si>
  <si>
    <t>5.55%</t>
  </si>
  <si>
    <t>89482.4</t>
  </si>
  <si>
    <t>34.12%</t>
  </si>
  <si>
    <t>98.45%</t>
  </si>
  <si>
    <t>0,17%</t>
  </si>
  <si>
    <t>4.02%</t>
  </si>
  <si>
    <t>407715.2</t>
  </si>
  <si>
    <t>12.43%</t>
  </si>
  <si>
    <t>95.10%</t>
  </si>
  <si>
    <t>0.30%</t>
  </si>
  <si>
    <t>4.57%</t>
  </si>
  <si>
    <t>113016.7</t>
  </si>
  <si>
    <t>38.41%</t>
  </si>
  <si>
    <t>98.27%</t>
  </si>
  <si>
    <t>0,47%</t>
  </si>
  <si>
    <t>28.57%</t>
  </si>
  <si>
    <t>95.50%</t>
  </si>
  <si>
    <t>2.91%</t>
  </si>
  <si>
    <t>189652.61</t>
  </si>
  <si>
    <t>Demorados</t>
  </si>
  <si>
    <t>28.69%</t>
  </si>
  <si>
    <t>0,82%</t>
  </si>
  <si>
    <t>demorados</t>
  </si>
  <si>
    <t>0,44%</t>
  </si>
  <si>
    <t>1,28%</t>
  </si>
  <si>
    <t>0,15%</t>
  </si>
  <si>
    <t>Demorados %</t>
  </si>
  <si>
    <t>0,34%</t>
  </si>
  <si>
    <t>demorados%</t>
  </si>
  <si>
    <t>0,23%</t>
  </si>
  <si>
    <t>1,09%</t>
  </si>
  <si>
    <t>$3.750,60</t>
  </si>
  <si>
    <t>$29.135</t>
  </si>
  <si>
    <t>$15.195,00</t>
  </si>
  <si>
    <t>$416.120</t>
  </si>
  <si>
    <t>$5.688,60</t>
  </si>
  <si>
    <t>$119.981</t>
  </si>
  <si>
    <t>$61.187</t>
  </si>
  <si>
    <t>Mi Gusto - Bella Vista</t>
  </si>
  <si>
    <t>$12.117,00</t>
  </si>
  <si>
    <t>$172.506</t>
  </si>
  <si>
    <t>$5.893,80</t>
  </si>
  <si>
    <t>$21.386</t>
  </si>
  <si>
    <t>$20.413,20</t>
  </si>
  <si>
    <t>$103.843</t>
  </si>
  <si>
    <t>$147.072</t>
  </si>
  <si>
    <t>$3.731</t>
  </si>
  <si>
    <t>$179.102</t>
  </si>
  <si>
    <t>$11.524,20</t>
  </si>
  <si>
    <t>$90.269</t>
  </si>
  <si>
    <t>$3.648,60</t>
  </si>
  <si>
    <t>$59.740</t>
  </si>
  <si>
    <t>$108.277</t>
  </si>
  <si>
    <t>$78.876</t>
  </si>
  <si>
    <t>$21.502,20</t>
  </si>
  <si>
    <t>$149.577</t>
  </si>
  <si>
    <t>$3.103,50</t>
  </si>
  <si>
    <t>$191.029</t>
  </si>
  <si>
    <t>$115.995</t>
  </si>
  <si>
    <t>$225.950</t>
  </si>
  <si>
    <t>$10.173,00</t>
  </si>
  <si>
    <t>$60.442</t>
  </si>
  <si>
    <t>$8.119</t>
  </si>
  <si>
    <t>$100.573</t>
  </si>
  <si>
    <t>$3.180,60</t>
  </si>
  <si>
    <t>$51.460</t>
  </si>
  <si>
    <t>$2.067,60</t>
  </si>
  <si>
    <t>$52.720</t>
  </si>
  <si>
    <t>$6.633,60</t>
  </si>
  <si>
    <t>$214.535</t>
  </si>
  <si>
    <t>$3.536,50</t>
  </si>
  <si>
    <t>$423.435</t>
  </si>
  <si>
    <t>$150.317</t>
  </si>
  <si>
    <t>$225.654</t>
  </si>
  <si>
    <t>$107.169</t>
  </si>
  <si>
    <t>$102.429</t>
  </si>
  <si>
    <t>$4.078,00</t>
  </si>
  <si>
    <t>$7.686,60</t>
  </si>
  <si>
    <t>$80.287</t>
  </si>
  <si>
    <t>$212.878</t>
  </si>
  <si>
    <t>$5.163,00</t>
  </si>
  <si>
    <t>$39.742</t>
  </si>
  <si>
    <t>$1.953,60</t>
  </si>
  <si>
    <t>$70.710</t>
  </si>
  <si>
    <t>$8.652,60</t>
  </si>
  <si>
    <t>$130.794</t>
  </si>
  <si>
    <t>$64.291</t>
  </si>
  <si>
    <t>$319.359</t>
  </si>
  <si>
    <t>$27.444</t>
  </si>
  <si>
    <t>$102.038</t>
  </si>
  <si>
    <t>$2.663,00</t>
  </si>
  <si>
    <t>$120.249</t>
  </si>
  <si>
    <t>$64.022</t>
  </si>
  <si>
    <t>$9.895,20</t>
  </si>
  <si>
    <t>$72.731</t>
  </si>
  <si>
    <t>$3.364,50</t>
  </si>
  <si>
    <t>$84.939</t>
  </si>
  <si>
    <t>$14.345,40</t>
  </si>
  <si>
    <t>$136.509</t>
  </si>
  <si>
    <t>$11.326</t>
  </si>
  <si>
    <t>$8.327,80</t>
  </si>
  <si>
    <t>$174.401</t>
  </si>
  <si>
    <t>$104.070</t>
  </si>
  <si>
    <t>$85.969</t>
  </si>
  <si>
    <t>$50.352</t>
  </si>
  <si>
    <t>$15.367,40</t>
  </si>
  <si>
    <t>$5.433,00</t>
  </si>
  <si>
    <t>$199.834</t>
  </si>
  <si>
    <t>$267.536</t>
  </si>
  <si>
    <t>$1.279,50</t>
  </si>
  <si>
    <t>$242.827</t>
  </si>
  <si>
    <t>$170.754</t>
  </si>
  <si>
    <t>$137.032</t>
  </si>
  <si>
    <t>$42.556</t>
  </si>
  <si>
    <t>93.21%</t>
  </si>
  <si>
    <t>$146.827</t>
  </si>
  <si>
    <t>5.73%</t>
  </si>
  <si>
    <t>216593.28</t>
  </si>
  <si>
    <t>29.94%</t>
  </si>
  <si>
    <t>$1.585,60</t>
  </si>
  <si>
    <t>$91.428</t>
  </si>
  <si>
    <t>144850.6</t>
  </si>
  <si>
    <t>31.60%</t>
  </si>
  <si>
    <t>$12.643,40</t>
  </si>
  <si>
    <t>$20.178</t>
  </si>
  <si>
    <t>96.73%</t>
  </si>
  <si>
    <t>$140.005</t>
  </si>
  <si>
    <t>3.46%</t>
  </si>
  <si>
    <t>44.61%</t>
  </si>
  <si>
    <t>97.13%</t>
  </si>
  <si>
    <t>$6.395,40</t>
  </si>
  <si>
    <t>$143.003</t>
  </si>
  <si>
    <t>40.63%</t>
  </si>
  <si>
    <t>94.13%</t>
  </si>
  <si>
    <t>$99.435</t>
  </si>
  <si>
    <t>5.48%</t>
  </si>
  <si>
    <t>87295.7</t>
  </si>
  <si>
    <t>54.85%</t>
  </si>
  <si>
    <t>$825,00</t>
  </si>
  <si>
    <t>$102.032</t>
  </si>
  <si>
    <t>0.79%</t>
  </si>
  <si>
    <t>53747.5</t>
  </si>
  <si>
    <t>49.19%</t>
  </si>
  <si>
    <t>$240.446</t>
  </si>
  <si>
    <t>4.87%</t>
  </si>
  <si>
    <t>37917.8</t>
  </si>
  <si>
    <t>21.95%</t>
  </si>
  <si>
    <t>$54.310</t>
  </si>
  <si>
    <t>91.52%</t>
  </si>
  <si>
    <t>$41.000</t>
  </si>
  <si>
    <t>19.23%</t>
  </si>
  <si>
    <t>$23.824</t>
  </si>
  <si>
    <t>3.03%</t>
  </si>
  <si>
    <t>$234.427</t>
  </si>
  <si>
    <t>66.66%</t>
  </si>
  <si>
    <t>92.49%</t>
  </si>
  <si>
    <t>$36.386</t>
  </si>
  <si>
    <t>6.66%</t>
  </si>
  <si>
    <t>8857.98</t>
  </si>
  <si>
    <t>31.11%</t>
  </si>
  <si>
    <t>92.98%</t>
  </si>
  <si>
    <t>$8.310,60</t>
  </si>
  <si>
    <t>$148.259</t>
  </si>
  <si>
    <t>5.17%</t>
  </si>
  <si>
    <t>$112.030</t>
  </si>
  <si>
    <t>64.65%</t>
  </si>
  <si>
    <t>38.75%</t>
  </si>
  <si>
    <t>99.73%</t>
  </si>
  <si>
    <t>$19.468</t>
  </si>
  <si>
    <t>4.92%</t>
  </si>
  <si>
    <t>71925.48</t>
  </si>
  <si>
    <t>25.00%</t>
  </si>
  <si>
    <t>$12.647,70</t>
  </si>
  <si>
    <t>$337.999</t>
  </si>
  <si>
    <t>4.56%</t>
  </si>
  <si>
    <t>97353.42</t>
  </si>
  <si>
    <t>4.43%</t>
  </si>
  <si>
    <t>36581.4</t>
  </si>
  <si>
    <t>7.38%</t>
  </si>
  <si>
    <t>96.26%</t>
  </si>
  <si>
    <t>$173.909</t>
  </si>
  <si>
    <t>16.45%</t>
  </si>
  <si>
    <t>92.12%</t>
  </si>
  <si>
    <t>$2.022,90</t>
  </si>
  <si>
    <t>$152.534</t>
  </si>
  <si>
    <t>4.72%</t>
  </si>
  <si>
    <t>27.02%</t>
  </si>
  <si>
    <t>0.16%</t>
  </si>
  <si>
    <t>3.78%</t>
  </si>
  <si>
    <t>239615.01</t>
  </si>
  <si>
    <t>5.75%</t>
  </si>
  <si>
    <t>96.04%</t>
  </si>
  <si>
    <t>0.32%</t>
  </si>
  <si>
    <t>6.02%</t>
  </si>
  <si>
    <t>193112.03</t>
  </si>
  <si>
    <t>45.81%</t>
  </si>
  <si>
    <t>3.32%</t>
  </si>
  <si>
    <t>1.88%</t>
  </si>
  <si>
    <t>6.00%</t>
  </si>
  <si>
    <t>35.96%</t>
  </si>
  <si>
    <t>10080.4</t>
  </si>
  <si>
    <t>36.00%</t>
  </si>
  <si>
    <t>99.02%</t>
  </si>
  <si>
    <t>2.10%</t>
  </si>
  <si>
    <t>83771.1</t>
  </si>
  <si>
    <t>0.55%</t>
  </si>
  <si>
    <t>27.73%</t>
  </si>
  <si>
    <t>1.68%</t>
  </si>
  <si>
    <t>64115.38</t>
  </si>
  <si>
    <t>32.30%</t>
  </si>
  <si>
    <t>0.35%</t>
  </si>
  <si>
    <t>179398.64</t>
  </si>
  <si>
    <t>40.14%</t>
  </si>
  <si>
    <t>93.55%</t>
  </si>
  <si>
    <t>235347.04</t>
  </si>
  <si>
    <t>35.55%</t>
  </si>
  <si>
    <t>84.78%</t>
  </si>
  <si>
    <t>7.21%</t>
  </si>
  <si>
    <t>71998.2</t>
  </si>
  <si>
    <t>99041.77</t>
  </si>
  <si>
    <t>35.52%</t>
  </si>
  <si>
    <t>64.72%</t>
  </si>
  <si>
    <t>13232.81</t>
  </si>
  <si>
    <t>13.72%</t>
  </si>
  <si>
    <t>88.84%</t>
  </si>
  <si>
    <t>48.78%</t>
  </si>
  <si>
    <t>34.31%</t>
  </si>
  <si>
    <t>0.73%</t>
  </si>
  <si>
    <t>6.06%</t>
  </si>
  <si>
    <t>30651.86</t>
  </si>
  <si>
    <t>59.84%</t>
  </si>
  <si>
    <t>8.82%</t>
  </si>
  <si>
    <t>66839.21</t>
  </si>
  <si>
    <t>48.52%</t>
  </si>
  <si>
    <t>2.07%</t>
  </si>
  <si>
    <t>24.89%</t>
  </si>
  <si>
    <t>99.58%</t>
  </si>
  <si>
    <t>56935.41</t>
  </si>
  <si>
    <t>34.17%</t>
  </si>
  <si>
    <t>6.25%</t>
  </si>
  <si>
    <t>93378.44</t>
  </si>
  <si>
    <t>98.28%</t>
  </si>
  <si>
    <t>2.66%</t>
  </si>
  <si>
    <t>18635.4</t>
  </si>
  <si>
    <t>14.66%</t>
  </si>
  <si>
    <t>99.59%</t>
  </si>
  <si>
    <t>0.98%</t>
  </si>
  <si>
    <t>1.00%</t>
  </si>
  <si>
    <t>26.00%</t>
  </si>
  <si>
    <t>98.20%</t>
  </si>
  <si>
    <t>151918.4</t>
  </si>
  <si>
    <t>10.14%</t>
  </si>
  <si>
    <t>93.12%</t>
  </si>
  <si>
    <t>0.80%</t>
  </si>
  <si>
    <t>6.61%</t>
  </si>
  <si>
    <t>194281.3</t>
  </si>
  <si>
    <t>40.90%</t>
  </si>
  <si>
    <t>3.44%</t>
  </si>
  <si>
    <t>1.71%</t>
  </si>
  <si>
    <t>27005.2</t>
  </si>
  <si>
    <t>28.76%</t>
  </si>
  <si>
    <t>17.39%</t>
  </si>
  <si>
    <t>11043.6</t>
  </si>
  <si>
    <t>39.13%</t>
  </si>
  <si>
    <t>47.83%</t>
  </si>
  <si>
    <t>$8.105,40</t>
  </si>
  <si>
    <t>$52.625</t>
  </si>
  <si>
    <t>$643.591</t>
  </si>
  <si>
    <t>$111.518</t>
  </si>
  <si>
    <t>$106.601</t>
  </si>
  <si>
    <t>$17.880</t>
  </si>
  <si>
    <t>$217.305</t>
  </si>
  <si>
    <t>$1.185,60</t>
  </si>
  <si>
    <t>$5.928</t>
  </si>
  <si>
    <t>$108.945</t>
  </si>
  <si>
    <t>$216.014</t>
  </si>
  <si>
    <t>$44.545</t>
  </si>
  <si>
    <t>$141.723</t>
  </si>
  <si>
    <t>$4.153,50</t>
  </si>
  <si>
    <t>$4.853</t>
  </si>
  <si>
    <t>$63.717,80</t>
  </si>
  <si>
    <t>$68.789</t>
  </si>
  <si>
    <t>$76.672</t>
  </si>
  <si>
    <t>$62.662</t>
  </si>
  <si>
    <t>$18.103,20</t>
  </si>
  <si>
    <t>$141.533</t>
  </si>
  <si>
    <t>$3.801,60</t>
  </si>
  <si>
    <t>$1.185,00</t>
  </si>
  <si>
    <t>$164.891</t>
  </si>
  <si>
    <t>%  Canceladas</t>
  </si>
  <si>
    <t>Cancelaciones %</t>
  </si>
  <si>
    <t>$195.940</t>
  </si>
  <si>
    <t>$23.921,40</t>
  </si>
  <si>
    <t>$480.818</t>
  </si>
  <si>
    <t>$81.838</t>
  </si>
  <si>
    <t>Mi gusto Ituzaingo</t>
  </si>
  <si>
    <t>Mi gusto Campana</t>
  </si>
  <si>
    <t>$35.401</t>
  </si>
  <si>
    <t>$18.731,50</t>
  </si>
  <si>
    <t>$95.684</t>
  </si>
  <si>
    <t>$2.263.995</t>
  </si>
  <si>
    <t>Mi gusto Villa crespo</t>
  </si>
  <si>
    <t>Mi gusto Florida</t>
  </si>
  <si>
    <t>$18.235</t>
  </si>
  <si>
    <t>$854.124</t>
  </si>
  <si>
    <t>$53.352</t>
  </si>
  <si>
    <t>Mi Gusto- Bella Vista</t>
  </si>
  <si>
    <t>$8.985,48</t>
  </si>
  <si>
    <t>$117.605</t>
  </si>
  <si>
    <t>$132.199</t>
  </si>
  <si>
    <t>Mi gusto Pacheco</t>
  </si>
  <si>
    <t>$73.411</t>
  </si>
  <si>
    <t>$102,60</t>
  </si>
  <si>
    <t>0,27%</t>
  </si>
  <si>
    <t>$129.974</t>
  </si>
  <si>
    <t>$25.749,40</t>
  </si>
  <si>
    <t>$728.710</t>
  </si>
  <si>
    <t>Mi gusto Floresta</t>
  </si>
  <si>
    <t>Mi gusto Jose C Paz</t>
  </si>
  <si>
    <t>$217.828</t>
  </si>
  <si>
    <t>$32.863,80</t>
  </si>
  <si>
    <t>$82.565</t>
  </si>
  <si>
    <t>$1.164.048</t>
  </si>
  <si>
    <t>$84.227</t>
  </si>
  <si>
    <t>4,56%</t>
  </si>
  <si>
    <t>$52.029,60</t>
  </si>
  <si>
    <t>$48.747</t>
  </si>
  <si>
    <t>$21.829</t>
  </si>
  <si>
    <t>0,65%</t>
  </si>
  <si>
    <t>$45.858,00</t>
  </si>
  <si>
    <t>$2.295,60</t>
  </si>
  <si>
    <t>$144.423</t>
  </si>
  <si>
    <t>$610.675</t>
  </si>
  <si>
    <t>$141.357</t>
  </si>
  <si>
    <t>$1.237.511</t>
  </si>
  <si>
    <t>$14.056,20</t>
  </si>
  <si>
    <t>Mi gusto Balvanera</t>
  </si>
  <si>
    <t>$85.168</t>
  </si>
  <si>
    <t>$317.373</t>
  </si>
  <si>
    <t>$80.309</t>
  </si>
  <si>
    <t>Mi gusto Devoto</t>
  </si>
  <si>
    <t>$26.871</t>
  </si>
  <si>
    <t>$24.266,00</t>
  </si>
  <si>
    <t>$442.640</t>
  </si>
  <si>
    <t>Mi gusto Mataderos</t>
  </si>
  <si>
    <t>$17.874,00</t>
  </si>
  <si>
    <t>$159.909</t>
  </si>
  <si>
    <t>0,77%</t>
  </si>
  <si>
    <t>$40.645,20</t>
  </si>
  <si>
    <t>$451.623</t>
  </si>
  <si>
    <t>$64.354</t>
  </si>
  <si>
    <t>Mi gusto Villa urquiza</t>
  </si>
  <si>
    <t>2,25%%</t>
  </si>
  <si>
    <t>Mi gusto Tigre</t>
  </si>
  <si>
    <t>0,96%</t>
  </si>
  <si>
    <t>$80.979,60</t>
  </si>
  <si>
    <t>$320.988</t>
  </si>
  <si>
    <t>2.22%</t>
  </si>
  <si>
    <t>Mi gusto Vicente L</t>
  </si>
  <si>
    <t>23.80%</t>
  </si>
  <si>
    <t>90.07%</t>
  </si>
  <si>
    <t>0,21%</t>
  </si>
  <si>
    <t>$14.708,80</t>
  </si>
  <si>
    <t>$465.177</t>
  </si>
  <si>
    <t>4.78%</t>
  </si>
  <si>
    <t>290149.71</t>
  </si>
  <si>
    <t>14.36%</t>
  </si>
  <si>
    <t>0,06%</t>
  </si>
  <si>
    <t>121395.3</t>
  </si>
  <si>
    <t>$11.890,00</t>
  </si>
  <si>
    <t>18.25%</t>
  </si>
  <si>
    <t>96.24%</t>
  </si>
  <si>
    <t>$430.620</t>
  </si>
  <si>
    <t>2.37%</t>
  </si>
  <si>
    <t>21.35%</t>
  </si>
  <si>
    <t>0,81%</t>
  </si>
  <si>
    <t>$91.703,60</t>
  </si>
  <si>
    <t>$1.313.312</t>
  </si>
  <si>
    <t>2.44%</t>
  </si>
  <si>
    <t>142966.43</t>
  </si>
  <si>
    <t>30.70%</t>
  </si>
  <si>
    <t>95.26%</t>
  </si>
  <si>
    <t>5.69%</t>
  </si>
  <si>
    <t>94769.2</t>
  </si>
  <si>
    <t>31.08%</t>
  </si>
  <si>
    <t>$11.374,00</t>
  </si>
  <si>
    <t>4.65%</t>
  </si>
  <si>
    <t>44180.15</t>
  </si>
  <si>
    <t>25.58%</t>
  </si>
  <si>
    <t>$65.136</t>
  </si>
  <si>
    <t>1.02%</t>
  </si>
  <si>
    <t>95.82%</t>
  </si>
  <si>
    <t>0,14%</t>
  </si>
  <si>
    <t>$889.295</t>
  </si>
  <si>
    <t>4.54%</t>
  </si>
  <si>
    <t>13.63%</t>
  </si>
  <si>
    <t>0,24%</t>
  </si>
  <si>
    <t>6.81%</t>
  </si>
  <si>
    <t>27.27%</t>
  </si>
  <si>
    <t>$618.157</t>
  </si>
  <si>
    <t>23.91%</t>
  </si>
  <si>
    <t>95.64%</t>
  </si>
  <si>
    <t>Mi gusto Belgrano</t>
  </si>
  <si>
    <t>0.86%</t>
  </si>
  <si>
    <t>6.30%</t>
  </si>
  <si>
    <t>85468.21</t>
  </si>
  <si>
    <t>42.34%</t>
  </si>
  <si>
    <t>0,54%</t>
  </si>
  <si>
    <t>$16.899,00</t>
  </si>
  <si>
    <t>$455.214</t>
  </si>
  <si>
    <t>36.92%</t>
  </si>
  <si>
    <t>Mi gusto Munro</t>
  </si>
  <si>
    <t>73346.79</t>
  </si>
  <si>
    <t>30.65%</t>
  </si>
  <si>
    <t>98.62%</t>
  </si>
  <si>
    <t>0,36%</t>
  </si>
  <si>
    <t>$7.034,80</t>
  </si>
  <si>
    <t>$303.755</t>
  </si>
  <si>
    <t>6.47%</t>
  </si>
  <si>
    <t>115250.81</t>
  </si>
  <si>
    <t>13.66%</t>
  </si>
  <si>
    <t>98.43%</t>
  </si>
  <si>
    <t>Mi gusto Caballito</t>
  </si>
  <si>
    <t>6.31%</t>
  </si>
  <si>
    <t>82698.65</t>
  </si>
  <si>
    <t>8.42%</t>
  </si>
  <si>
    <t>0,26%</t>
  </si>
  <si>
    <t>$14.342,00</t>
  </si>
  <si>
    <t>$337.097</t>
  </si>
  <si>
    <t>12.82%</t>
  </si>
  <si>
    <t>88.27%</t>
  </si>
  <si>
    <t>11.71%</t>
  </si>
  <si>
    <t>0,05%</t>
  </si>
  <si>
    <t>174257.78</t>
  </si>
  <si>
    <t>22.52%</t>
  </si>
  <si>
    <t>$481.397</t>
  </si>
  <si>
    <t>6.58%</t>
  </si>
  <si>
    <t>362432.22</t>
  </si>
  <si>
    <t>11.29%</t>
  </si>
  <si>
    <t>89.44%</t>
  </si>
  <si>
    <t>$23.004,00</t>
  </si>
  <si>
    <t>3.70%</t>
  </si>
  <si>
    <t>224146.41</t>
  </si>
  <si>
    <t>$982.869</t>
  </si>
  <si>
    <t>27.77%</t>
  </si>
  <si>
    <t>0,11%</t>
  </si>
  <si>
    <t>10.52%</t>
  </si>
  <si>
    <t>$578.261</t>
  </si>
  <si>
    <t>117739.41</t>
  </si>
  <si>
    <t>37.86%</t>
  </si>
  <si>
    <t>19.04%</t>
  </si>
  <si>
    <t>0,09%</t>
  </si>
  <si>
    <t>77207.74</t>
  </si>
  <si>
    <t>$2.883,60</t>
  </si>
  <si>
    <t>52.38%</t>
  </si>
  <si>
    <t>72.43%</t>
  </si>
  <si>
    <t>$910.760</t>
  </si>
  <si>
    <t>8</t>
  </si>
  <si>
    <t>Mi gusto Villa adelina</t>
  </si>
  <si>
    <t>$24.548,40</t>
  </si>
  <si>
    <t>$593.113</t>
  </si>
  <si>
    <t>Mi gusto Ballester</t>
  </si>
  <si>
    <t>0,30%</t>
  </si>
  <si>
    <t>$27.628,60</t>
  </si>
  <si>
    <t>$1.227.615</t>
  </si>
  <si>
    <t>0,10%</t>
  </si>
  <si>
    <t>$7.129,20</t>
  </si>
  <si>
    <t>$659.880</t>
  </si>
  <si>
    <t>Mi gusto Martinez</t>
  </si>
  <si>
    <t>0,13%</t>
  </si>
  <si>
    <t>$36.366,00</t>
  </si>
  <si>
    <t>$631.486</t>
  </si>
  <si>
    <t>Mi gusto Cañitas</t>
  </si>
  <si>
    <t>0,18%%</t>
  </si>
  <si>
    <t>$325.141</t>
  </si>
  <si>
    <t>0,16%</t>
  </si>
  <si>
    <t>$10.232,60</t>
  </si>
  <si>
    <t>$738.536</t>
  </si>
  <si>
    <t>0,18%</t>
  </si>
  <si>
    <t>$11.084,20</t>
  </si>
  <si>
    <t>$458.837</t>
  </si>
  <si>
    <t>Mi gusto San martín</t>
  </si>
  <si>
    <t>$40.432,80</t>
  </si>
  <si>
    <t>$769.781</t>
  </si>
  <si>
    <t>$29.746,40</t>
  </si>
  <si>
    <t>$613.438</t>
  </si>
  <si>
    <t>$267.167</t>
  </si>
  <si>
    <t>$59.370,30</t>
  </si>
  <si>
    <t>$1.143.516</t>
  </si>
  <si>
    <t>Mi gusto Paternal</t>
  </si>
  <si>
    <t>$15.640,80</t>
  </si>
  <si>
    <t>$1.001.212</t>
  </si>
  <si>
    <t>$12.632,10</t>
  </si>
  <si>
    <t>$698.998</t>
  </si>
  <si>
    <t>3.61%</t>
  </si>
  <si>
    <t>73044.4</t>
  </si>
  <si>
    <t>30.72%</t>
  </si>
  <si>
    <t>84.28%</t>
  </si>
  <si>
    <t>5.23%</t>
  </si>
  <si>
    <t>993469.16</t>
  </si>
  <si>
    <t>31.81%</t>
  </si>
  <si>
    <t>4.22%</t>
  </si>
  <si>
    <t>682082.15</t>
  </si>
  <si>
    <t>38.07%</t>
  </si>
  <si>
    <t>3.76%</t>
  </si>
  <si>
    <t>794537.04</t>
  </si>
  <si>
    <t>43.18%</t>
  </si>
  <si>
    <t>97.51%</t>
  </si>
  <si>
    <t>Mi gusto cañitas</t>
  </si>
  <si>
    <t>Mi gusto San martin</t>
  </si>
  <si>
    <t>0.11%</t>
  </si>
  <si>
    <t>3.45%</t>
  </si>
  <si>
    <t>830969.07</t>
  </si>
  <si>
    <t>37.13%</t>
  </si>
  <si>
    <t>91.25%</t>
  </si>
  <si>
    <t>677755.39</t>
  </si>
  <si>
    <t>50.48%</t>
  </si>
  <si>
    <t>3.89%</t>
  </si>
  <si>
    <t>223487.07</t>
  </si>
  <si>
    <t>38.72%</t>
  </si>
  <si>
    <t>95.63%</t>
  </si>
  <si>
    <t>3.13%</t>
  </si>
  <si>
    <t>154918.81</t>
  </si>
  <si>
    <t>23.13%</t>
  </si>
  <si>
    <t>97.50%</t>
  </si>
  <si>
    <t>2,5%</t>
  </si>
  <si>
    <t>2,7%</t>
  </si>
  <si>
    <t>96.51%</t>
  </si>
  <si>
    <t>Mi gusta Villa crespo</t>
  </si>
  <si>
    <t>0,6%</t>
  </si>
  <si>
    <t>14567.72</t>
  </si>
  <si>
    <t>55.42%</t>
  </si>
  <si>
    <t>98.16%</t>
  </si>
  <si>
    <t>0.49%</t>
  </si>
  <si>
    <t>4.51%</t>
  </si>
  <si>
    <t>252666.78</t>
  </si>
  <si>
    <t>36.09%</t>
  </si>
  <si>
    <t>88.04%</t>
  </si>
  <si>
    <t>1,1%</t>
  </si>
  <si>
    <t>5.01%</t>
  </si>
  <si>
    <t>181050.17</t>
  </si>
  <si>
    <t>65.94%</t>
  </si>
  <si>
    <t>0,7%</t>
  </si>
  <si>
    <t>4.24%</t>
  </si>
  <si>
    <t>174708.81</t>
  </si>
  <si>
    <t>44.24%</t>
  </si>
  <si>
    <t>98.42%</t>
  </si>
  <si>
    <t>0.08%</t>
  </si>
  <si>
    <t>463392.66</t>
  </si>
  <si>
    <t>33.19%</t>
  </si>
  <si>
    <t>98.52%</t>
  </si>
  <si>
    <t>5.28%</t>
  </si>
  <si>
    <t>553465.05</t>
  </si>
  <si>
    <t>41.36%</t>
  </si>
  <si>
    <t>99.43%</t>
  </si>
  <si>
    <t>18,9%</t>
  </si>
  <si>
    <t>0.23%</t>
  </si>
  <si>
    <t>5.10%</t>
  </si>
  <si>
    <t>350227.36</t>
  </si>
  <si>
    <t>7.12%</t>
  </si>
  <si>
    <t>97.73%</t>
  </si>
  <si>
    <t>Mi gusto Villa Urquiza</t>
  </si>
  <si>
    <t>8,6%</t>
  </si>
  <si>
    <t>26</t>
  </si>
  <si>
    <t>0.26%</t>
  </si>
  <si>
    <t>2.47%</t>
  </si>
  <si>
    <t>67106.6</t>
  </si>
  <si>
    <t>19.50%</t>
  </si>
  <si>
    <t>93.14%</t>
  </si>
  <si>
    <t>5.76%</t>
  </si>
  <si>
    <t>29.00%</t>
  </si>
  <si>
    <t>99.38%</t>
  </si>
  <si>
    <t>3,2%</t>
  </si>
  <si>
    <t>9.38%</t>
  </si>
  <si>
    <t>96.32%</t>
  </si>
  <si>
    <t>6,6%</t>
  </si>
  <si>
    <t>Mi gusto Palermo</t>
  </si>
  <si>
    <t>29</t>
  </si>
  <si>
    <t>4.73%</t>
  </si>
  <si>
    <t>860191.44</t>
  </si>
  <si>
    <t>42.33%</t>
  </si>
  <si>
    <t>99.54%</t>
  </si>
  <si>
    <t>1.47%</t>
  </si>
  <si>
    <t>20819.49</t>
  </si>
  <si>
    <t>31.41%</t>
  </si>
  <si>
    <t>98.59%</t>
  </si>
  <si>
    <t>21.51%</t>
  </si>
  <si>
    <t>96</t>
  </si>
  <si>
    <t>60</t>
  </si>
  <si>
    <t>2.43%</t>
  </si>
  <si>
    <t>402362.8</t>
  </si>
  <si>
    <t>31.83%</t>
  </si>
  <si>
    <t>99.85%</t>
  </si>
  <si>
    <t>92</t>
  </si>
  <si>
    <t>15,3%</t>
  </si>
  <si>
    <t>85</t>
  </si>
  <si>
    <t>79</t>
  </si>
  <si>
    <t>71</t>
  </si>
  <si>
    <t>$3.169,20</t>
  </si>
  <si>
    <t>$114.846</t>
  </si>
  <si>
    <t>$342.196</t>
  </si>
  <si>
    <t>$183.689</t>
  </si>
  <si>
    <t>$266.121</t>
  </si>
  <si>
    <t>$74.900</t>
  </si>
  <si>
    <t>$7.569,60</t>
  </si>
  <si>
    <t>17.50%</t>
  </si>
  <si>
    <t>28425.21</t>
  </si>
  <si>
    <t>$404.816</t>
  </si>
  <si>
    <t>45.00%</t>
  </si>
  <si>
    <t>63.46%</t>
  </si>
  <si>
    <t>$10.716</t>
  </si>
  <si>
    <t>$2.838,60</t>
  </si>
  <si>
    <t>$79.439</t>
  </si>
  <si>
    <t>$212.118</t>
  </si>
  <si>
    <t>$46.512</t>
  </si>
  <si>
    <t>$50.831</t>
  </si>
  <si>
    <t>$12.018,00</t>
  </si>
  <si>
    <t>$106.358</t>
  </si>
  <si>
    <t>$63.867</t>
  </si>
  <si>
    <t>$29.927</t>
  </si>
  <si>
    <t>$141.096</t>
  </si>
  <si>
    <t>$325.576</t>
  </si>
  <si>
    <t>$60.561</t>
  </si>
  <si>
    <t>$258.338</t>
  </si>
  <si>
    <t>$105.805</t>
  </si>
  <si>
    <t>$77.948</t>
  </si>
  <si>
    <t>$246.056</t>
  </si>
  <si>
    <t>$23.917</t>
  </si>
  <si>
    <t>$12.458</t>
  </si>
  <si>
    <t>$6.844,20</t>
  </si>
  <si>
    <t>$95.113</t>
  </si>
  <si>
    <t>$52.471</t>
  </si>
  <si>
    <t>$207.806</t>
  </si>
  <si>
    <t>$121.558</t>
  </si>
  <si>
    <t>$205.430</t>
  </si>
  <si>
    <t>$122.379</t>
  </si>
  <si>
    <t>$116.497</t>
  </si>
  <si>
    <t>$108.469</t>
  </si>
  <si>
    <t>$268.883</t>
  </si>
  <si>
    <t>$118.731</t>
  </si>
  <si>
    <t>$93.792</t>
  </si>
  <si>
    <t>$16.412</t>
  </si>
  <si>
    <t>$7.695</t>
  </si>
  <si>
    <t>$20.041,80</t>
  </si>
  <si>
    <t>$314.247</t>
  </si>
  <si>
    <t>$191.927</t>
  </si>
  <si>
    <t>$29.088,40</t>
  </si>
  <si>
    <t>$35.114</t>
  </si>
  <si>
    <t>13827.2</t>
  </si>
  <si>
    <t>13.15%</t>
  </si>
  <si>
    <t>87.61%</t>
  </si>
  <si>
    <t>177411.24</t>
  </si>
  <si>
    <t>17.60%</t>
  </si>
  <si>
    <t>1.79%</t>
  </si>
  <si>
    <t>39222.6</t>
  </si>
  <si>
    <t>14.79%</t>
  </si>
  <si>
    <t>148731.07</t>
  </si>
  <si>
    <t>21.32%</t>
  </si>
  <si>
    <t>4.18%</t>
  </si>
  <si>
    <t>399207.16</t>
  </si>
  <si>
    <t>25.91%</t>
  </si>
  <si>
    <t>95.72%</t>
  </si>
  <si>
    <t>180967.16</t>
  </si>
  <si>
    <t>22.10%</t>
  </si>
  <si>
    <t>96.22%</t>
  </si>
  <si>
    <t>0.92%</t>
  </si>
  <si>
    <t>7.54%</t>
  </si>
  <si>
    <t>80.08%</t>
  </si>
  <si>
    <t>130481.3</t>
  </si>
  <si>
    <t>41829.04</t>
  </si>
  <si>
    <t>42.10%</t>
  </si>
  <si>
    <t>8.23%</t>
  </si>
  <si>
    <t>64271.21</t>
  </si>
  <si>
    <t>23.52%</t>
  </si>
  <si>
    <t>174521.05</t>
  </si>
  <si>
    <t>37.22%</t>
  </si>
  <si>
    <t>20.83%</t>
  </si>
  <si>
    <t>3.48%</t>
  </si>
  <si>
    <t>84855.28</t>
  </si>
  <si>
    <t>19.86%</t>
  </si>
  <si>
    <t>5.78%</t>
  </si>
  <si>
    <t>108898.57</t>
  </si>
  <si>
    <t>20.52%</t>
  </si>
  <si>
    <t>5.68%</t>
  </si>
  <si>
    <t>113976.27</t>
  </si>
  <si>
    <t>6.63%</t>
  </si>
  <si>
    <t>5.05%</t>
  </si>
  <si>
    <t>58777.44</t>
  </si>
  <si>
    <t>15.15%</t>
  </si>
  <si>
    <t>94.48%</t>
  </si>
  <si>
    <t>6.38%</t>
  </si>
  <si>
    <t>17.73%</t>
  </si>
  <si>
    <t>4.29%</t>
  </si>
  <si>
    <t>209278.21</t>
  </si>
  <si>
    <t>7.28%</t>
  </si>
  <si>
    <t>97.24%</t>
  </si>
  <si>
    <t>5.11%</t>
  </si>
  <si>
    <t>43060.21</t>
  </si>
  <si>
    <t>27.16%</t>
  </si>
  <si>
    <t>82785.23</t>
  </si>
  <si>
    <t>28.20%</t>
  </si>
  <si>
    <t>3.07%</t>
  </si>
  <si>
    <t>61429.19</t>
  </si>
  <si>
    <t>28.84%</t>
  </si>
  <si>
    <t>97.03%</t>
  </si>
  <si>
    <t>6.89%</t>
  </si>
  <si>
    <t>53093.2</t>
  </si>
  <si>
    <t>81.70%</t>
  </si>
  <si>
    <t>4</t>
  </si>
  <si>
    <t>9</t>
  </si>
  <si>
    <t>19</t>
  </si>
  <si>
    <t>6</t>
  </si>
  <si>
    <t>7</t>
  </si>
  <si>
    <t>3</t>
  </si>
  <si>
    <t>10</t>
  </si>
  <si>
    <t>$61.625</t>
  </si>
  <si>
    <t>$204.893</t>
  </si>
  <si>
    <t>$63.539</t>
  </si>
  <si>
    <t>$127.674</t>
  </si>
  <si>
    <t>$42.066</t>
  </si>
  <si>
    <t>$237.420</t>
  </si>
  <si>
    <t>$105.306</t>
  </si>
  <si>
    <t>$5.346,60</t>
  </si>
  <si>
    <t>$99.634</t>
  </si>
  <si>
    <t>$20.493</t>
  </si>
  <si>
    <t>$53.736</t>
  </si>
  <si>
    <t>$111.228</t>
  </si>
  <si>
    <t>$1.470,60</t>
  </si>
  <si>
    <t>$91.336</t>
  </si>
  <si>
    <t>$49.554</t>
  </si>
  <si>
    <t>$71.151</t>
  </si>
  <si>
    <t>$186.430</t>
  </si>
  <si>
    <t>$4.825,40</t>
  </si>
  <si>
    <t>$14.030</t>
  </si>
  <si>
    <t>$11.787,60</t>
  </si>
  <si>
    <t>$59.422</t>
  </si>
  <si>
    <t>$54.959</t>
  </si>
  <si>
    <t>$5.027,40</t>
  </si>
  <si>
    <t>$130.758</t>
  </si>
  <si>
    <t>$43.867</t>
  </si>
  <si>
    <t>$28.272</t>
  </si>
  <si>
    <t>$18.069</t>
  </si>
  <si>
    <t>$73.664</t>
  </si>
  <si>
    <t>$245.791</t>
  </si>
  <si>
    <t>$6.030,60</t>
  </si>
  <si>
    <t>$422.005</t>
  </si>
  <si>
    <t>$93.425</t>
  </si>
  <si>
    <t>$84.078</t>
  </si>
  <si>
    <t>$163.834</t>
  </si>
  <si>
    <t>$96.871</t>
  </si>
  <si>
    <t>$10.279,45</t>
  </si>
  <si>
    <t>$207.413</t>
  </si>
  <si>
    <t>$62.818</t>
  </si>
  <si>
    <t>$11.157</t>
  </si>
  <si>
    <t>$75.699</t>
  </si>
  <si>
    <t>$167.947</t>
  </si>
  <si>
    <t>$29.024</t>
  </si>
  <si>
    <t>$18.377</t>
  </si>
  <si>
    <t>$9.427,80</t>
  </si>
  <si>
    <t>$7.057</t>
  </si>
  <si>
    <t>$6.874,20</t>
  </si>
  <si>
    <t>$76.650</t>
  </si>
  <si>
    <t>$101.801</t>
  </si>
  <si>
    <t>$250.754</t>
  </si>
  <si>
    <t>$84.214</t>
  </si>
  <si>
    <t>$222.986</t>
  </si>
  <si>
    <t>99,95</t>
  </si>
  <si>
    <t>$23.175</t>
  </si>
  <si>
    <t>$6.620,20</t>
  </si>
  <si>
    <t>$78.503</t>
  </si>
  <si>
    <t>$195.164</t>
  </si>
  <si>
    <t>100</t>
  </si>
  <si>
    <t>$159.154</t>
  </si>
  <si>
    <t>$37.886</t>
  </si>
  <si>
    <t>$76.601</t>
  </si>
  <si>
    <t>$4.081</t>
  </si>
  <si>
    <t>$9.731</t>
  </si>
  <si>
    <t>$114.592</t>
  </si>
  <si>
    <t>$10.453,80</t>
  </si>
  <si>
    <t>$209.712</t>
  </si>
  <si>
    <t>$59.925</t>
  </si>
  <si>
    <t>$72.090</t>
  </si>
  <si>
    <t>$2.040,60</t>
  </si>
  <si>
    <t>$90.520</t>
  </si>
  <si>
    <t>$23.485</t>
  </si>
  <si>
    <t>$5.391,60</t>
  </si>
  <si>
    <t>$9.495,06</t>
  </si>
  <si>
    <t>$112.332</t>
  </si>
  <si>
    <t>$340.949</t>
  </si>
  <si>
    <t>$38.988</t>
  </si>
  <si>
    <t>$7.066,74</t>
  </si>
  <si>
    <t>$13.559</t>
  </si>
  <si>
    <t>$3.375,60</t>
  </si>
  <si>
    <t>16.66%</t>
  </si>
  <si>
    <t>76.22%</t>
  </si>
  <si>
    <t>$143.123</t>
  </si>
  <si>
    <t>$1.248,45</t>
  </si>
  <si>
    <t>$45.649</t>
  </si>
  <si>
    <t>3.98%</t>
  </si>
  <si>
    <t>339616.21</t>
  </si>
  <si>
    <t>14.24%</t>
  </si>
  <si>
    <t>$3.214,80</t>
  </si>
  <si>
    <t>$199.917</t>
  </si>
  <si>
    <t>4.30%</t>
  </si>
  <si>
    <t>466502.56</t>
  </si>
  <si>
    <t>19.53%</t>
  </si>
  <si>
    <t>97.45%</t>
  </si>
  <si>
    <t>$33.833</t>
  </si>
  <si>
    <t>224312.94</t>
  </si>
  <si>
    <t>28.95%</t>
  </si>
  <si>
    <t>93.82%</t>
  </si>
  <si>
    <t>$42.953</t>
  </si>
  <si>
    <t>$5.741,04</t>
  </si>
  <si>
    <t>5.64%</t>
  </si>
  <si>
    <t>$42.160</t>
  </si>
  <si>
    <t>299561.8</t>
  </si>
  <si>
    <t>42.67%</t>
  </si>
  <si>
    <t>92.95%</t>
  </si>
  <si>
    <t>$2.379,60</t>
  </si>
  <si>
    <t>4.36%</t>
  </si>
  <si>
    <t>182899.4</t>
  </si>
  <si>
    <t>$109.977</t>
  </si>
  <si>
    <t>19.65%</t>
  </si>
  <si>
    <t>97.70%</t>
  </si>
  <si>
    <t>$285.782</t>
  </si>
  <si>
    <t>14.16%</t>
  </si>
  <si>
    <t>$27.645</t>
  </si>
  <si>
    <t>2.20%</t>
  </si>
  <si>
    <t>97.62%</t>
  </si>
  <si>
    <t>$20.668</t>
  </si>
  <si>
    <t>$39.436</t>
  </si>
  <si>
    <t>$21.782,40</t>
  </si>
  <si>
    <t>$33.093</t>
  </si>
  <si>
    <t>$80.508</t>
  </si>
  <si>
    <t>5.66%</t>
  </si>
  <si>
    <t>$199.113</t>
  </si>
  <si>
    <t>33.96%</t>
  </si>
  <si>
    <t>96.63%</t>
  </si>
  <si>
    <t>$67.260</t>
  </si>
  <si>
    <t>4.90%</t>
  </si>
  <si>
    <t>49067.11</t>
  </si>
  <si>
    <t>$77.884</t>
  </si>
  <si>
    <t>18.62%</t>
  </si>
  <si>
    <t>$2.679,00</t>
  </si>
  <si>
    <t>$48.182</t>
  </si>
  <si>
    <t>$15.435,60</t>
  </si>
  <si>
    <t>29.60%</t>
  </si>
  <si>
    <t>$248.614</t>
  </si>
  <si>
    <t>$37.338</t>
  </si>
  <si>
    <t>29.26%</t>
  </si>
  <si>
    <t>$1.812,60</t>
  </si>
  <si>
    <t>$59.689</t>
  </si>
  <si>
    <t>3.36%</t>
  </si>
  <si>
    <t>89315.43</t>
  </si>
  <si>
    <t>$10.040,40</t>
  </si>
  <si>
    <t>99.92%</t>
  </si>
  <si>
    <t>$164.006</t>
  </si>
  <si>
    <t>$145.031</t>
  </si>
  <si>
    <t>69861.8</t>
  </si>
  <si>
    <t>37.74%</t>
  </si>
  <si>
    <t>$18.497</t>
  </si>
  <si>
    <t>$10.444,68</t>
  </si>
  <si>
    <t>$80.971</t>
  </si>
  <si>
    <t>86526.25</t>
  </si>
  <si>
    <t>7.60%</t>
  </si>
  <si>
    <t>$25.342,20</t>
  </si>
  <si>
    <t>$143.086</t>
  </si>
  <si>
    <t>$22.005,42</t>
  </si>
  <si>
    <t>$188.554</t>
  </si>
  <si>
    <t>14.70%</t>
  </si>
  <si>
    <t>1.31%</t>
  </si>
  <si>
    <t>$105.458</t>
  </si>
  <si>
    <t>15.78%</t>
  </si>
  <si>
    <t>$41.911</t>
  </si>
  <si>
    <t>155392.02</t>
  </si>
  <si>
    <t>9.58%</t>
  </si>
  <si>
    <t>95.02%</t>
  </si>
  <si>
    <t>$13.840</t>
  </si>
  <si>
    <t>$101.396</t>
  </si>
  <si>
    <t>188604.2</t>
  </si>
  <si>
    <t>28.61%</t>
  </si>
  <si>
    <t>$58.084</t>
  </si>
  <si>
    <t>$1.189,02</t>
  </si>
  <si>
    <t>$67.922</t>
  </si>
  <si>
    <t>36.73%</t>
  </si>
  <si>
    <t>$45.232</t>
  </si>
  <si>
    <t>$2.378,04</t>
  </si>
  <si>
    <t>1.98%</t>
  </si>
  <si>
    <t>$12.554</t>
  </si>
  <si>
    <t>35.22%</t>
  </si>
  <si>
    <t>96.50%</t>
  </si>
  <si>
    <t>9.09%</t>
  </si>
  <si>
    <t>$93.400</t>
  </si>
  <si>
    <t>2.27%</t>
  </si>
  <si>
    <t>60.99%</t>
  </si>
  <si>
    <t>$101.329</t>
  </si>
  <si>
    <t>$5.061,60</t>
  </si>
  <si>
    <t>$101.898</t>
  </si>
  <si>
    <t>$68.996</t>
  </si>
  <si>
    <t>$46.920</t>
  </si>
  <si>
    <t>$8.071,20</t>
  </si>
  <si>
    <t>$105.520</t>
  </si>
  <si>
    <t>$139.191</t>
  </si>
  <si>
    <t>38718.94</t>
  </si>
  <si>
    <t>11.53%</t>
  </si>
  <si>
    <t>69.02%</t>
  </si>
  <si>
    <t>4.88%</t>
  </si>
  <si>
    <t>27</t>
  </si>
  <si>
    <t>145160.74</t>
  </si>
  <si>
    <t>$153.412</t>
  </si>
  <si>
    <t>10.66%</t>
  </si>
  <si>
    <t>15.04%</t>
  </si>
  <si>
    <t>$28.096</t>
  </si>
  <si>
    <t>1.96%</t>
  </si>
  <si>
    <t>48315.94</t>
  </si>
  <si>
    <t>30.49%</t>
  </si>
  <si>
    <t>$4.286,40</t>
  </si>
  <si>
    <t>92.25%</t>
  </si>
  <si>
    <t>$96.157</t>
  </si>
  <si>
    <t>4.82%</t>
  </si>
  <si>
    <t>18</t>
  </si>
  <si>
    <t>92874.93</t>
  </si>
  <si>
    <t>28.68%</t>
  </si>
  <si>
    <t>90.87%</t>
  </si>
  <si>
    <t>$132.110</t>
  </si>
  <si>
    <t>3.24%</t>
  </si>
  <si>
    <t>109120.68</t>
  </si>
  <si>
    <t>27.31%</t>
  </si>
  <si>
    <t>99.14%</t>
  </si>
  <si>
    <t>$21.117</t>
  </si>
  <si>
    <t>3.37%</t>
  </si>
  <si>
    <t>32526.61</t>
  </si>
  <si>
    <t>8.16%</t>
  </si>
  <si>
    <t>96.93%</t>
  </si>
  <si>
    <t>$105.679</t>
  </si>
  <si>
    <t>20.00%</t>
  </si>
  <si>
    <t>10.00%</t>
  </si>
  <si>
    <t>12098.8</t>
  </si>
  <si>
    <t>$102.493</t>
  </si>
  <si>
    <t>35.13%</t>
  </si>
  <si>
    <t>94.58%</t>
  </si>
  <si>
    <t>32629.6</t>
  </si>
  <si>
    <t>20.20%</t>
  </si>
  <si>
    <t>$62.907</t>
  </si>
  <si>
    <t>5.98%</t>
  </si>
  <si>
    <t>31801.04</t>
  </si>
  <si>
    <t>$131.144</t>
  </si>
  <si>
    <t>24.13%</t>
  </si>
  <si>
    <t>10324.2</t>
  </si>
  <si>
    <t>12.12%</t>
  </si>
  <si>
    <t>99.07%</t>
  </si>
  <si>
    <t>90635.25</t>
  </si>
  <si>
    <t>$101.916</t>
  </si>
  <si>
    <t>3.17%</t>
  </si>
  <si>
    <t>4.23%</t>
  </si>
  <si>
    <t>$126.639</t>
  </si>
  <si>
    <t>4.70%</t>
  </si>
  <si>
    <t>96.53%</t>
  </si>
  <si>
    <t>2.17%</t>
  </si>
  <si>
    <t>$131.608</t>
  </si>
  <si>
    <t>38042.12</t>
  </si>
  <si>
    <t>18.91%</t>
  </si>
  <si>
    <t>99.03%</t>
  </si>
  <si>
    <t>2.46%</t>
  </si>
  <si>
    <t>2.85%</t>
  </si>
  <si>
    <t>12</t>
  </si>
  <si>
    <t>204211.21</t>
  </si>
  <si>
    <t>17.14%</t>
  </si>
  <si>
    <t>87.18%</t>
  </si>
  <si>
    <t>99.65%</t>
  </si>
  <si>
    <t>4.33%</t>
  </si>
  <si>
    <t>92516.85</t>
  </si>
  <si>
    <t>136091.08</t>
  </si>
  <si>
    <t>17.81%</t>
  </si>
  <si>
    <t>8.64%</t>
  </si>
  <si>
    <t>1.69%</t>
  </si>
  <si>
    <t>107007.2</t>
  </si>
  <si>
    <t>5.40%</t>
  </si>
  <si>
    <t>13.55%</t>
  </si>
  <si>
    <t>22.38%</t>
  </si>
  <si>
    <t>0.29%</t>
  </si>
  <si>
    <t>3.31%</t>
  </si>
  <si>
    <t>23.49%</t>
  </si>
  <si>
    <t>3.82%</t>
  </si>
  <si>
    <t>206518.84</t>
  </si>
  <si>
    <t>34.45%</t>
  </si>
  <si>
    <t>91.54%</t>
  </si>
  <si>
    <t>97784.38</t>
  </si>
  <si>
    <t>13.51%</t>
  </si>
  <si>
    <t>98.02%</t>
  </si>
  <si>
    <t>6.13%</t>
  </si>
  <si>
    <t>60942.74</t>
  </si>
  <si>
    <t>17.92%</t>
  </si>
  <si>
    <t>23.84%</t>
  </si>
  <si>
    <t>70.17%</t>
  </si>
  <si>
    <t>7.36%</t>
  </si>
  <si>
    <t>99,84%</t>
  </si>
  <si>
    <t>14.61%</t>
  </si>
  <si>
    <t>99,35%</t>
  </si>
  <si>
    <t>100,00%</t>
  </si>
  <si>
    <t>12.00%</t>
  </si>
  <si>
    <t>43935.17</t>
  </si>
  <si>
    <t>56.00%</t>
  </si>
  <si>
    <t>94.16%</t>
  </si>
  <si>
    <t>7295.45</t>
  </si>
  <si>
    <t>64.17%</t>
  </si>
  <si>
    <t>80.19%</t>
  </si>
  <si>
    <t>97,53%</t>
  </si>
  <si>
    <t>5.79%</t>
  </si>
  <si>
    <t>28.98%</t>
  </si>
  <si>
    <t>25.80%</t>
  </si>
  <si>
    <t>96,51%</t>
  </si>
  <si>
    <t>1.73%</t>
  </si>
  <si>
    <t>13.88%</t>
  </si>
  <si>
    <t>97.97%</t>
  </si>
  <si>
    <t>78015.8</t>
  </si>
  <si>
    <t>30.67%</t>
  </si>
  <si>
    <t>96.83%</t>
  </si>
  <si>
    <t>5.04%</t>
  </si>
  <si>
    <t>92,02%</t>
  </si>
  <si>
    <t>11.59%</t>
  </si>
  <si>
    <t>87.19%</t>
  </si>
  <si>
    <t>17.09%</t>
  </si>
  <si>
    <t>0.19%</t>
  </si>
  <si>
    <t>108744.58</t>
  </si>
  <si>
    <t>5.41%</t>
  </si>
  <si>
    <t>97.76%</t>
  </si>
  <si>
    <t>99,71%</t>
  </si>
  <si>
    <t>4.41%</t>
  </si>
  <si>
    <t>87156.62</t>
  </si>
  <si>
    <t>31.61%</t>
  </si>
  <si>
    <t>35.29%</t>
  </si>
  <si>
    <t>90.74%</t>
  </si>
  <si>
    <t>1.29%</t>
  </si>
  <si>
    <t>27992.4</t>
  </si>
  <si>
    <t>99,98%</t>
  </si>
  <si>
    <t>10.35%</t>
  </si>
  <si>
    <t>63.21%</t>
  </si>
  <si>
    <t>99,93%</t>
  </si>
  <si>
    <t>98,86%</t>
  </si>
  <si>
    <t>99,88%</t>
  </si>
  <si>
    <t>98,47%</t>
  </si>
  <si>
    <t>99,54%</t>
  </si>
  <si>
    <t>$393.620</t>
  </si>
  <si>
    <t>$1.689.961</t>
  </si>
  <si>
    <t>$785.265</t>
  </si>
  <si>
    <t>$22.151,95</t>
  </si>
  <si>
    <t>$837.013</t>
  </si>
  <si>
    <t>$193.521</t>
  </si>
  <si>
    <t>$16.070,80</t>
  </si>
  <si>
    <t>$1.206.219</t>
  </si>
  <si>
    <t>$14.318,40</t>
  </si>
  <si>
    <t>$125.537</t>
  </si>
  <si>
    <t>$13.463,40</t>
  </si>
  <si>
    <t>$400.939</t>
  </si>
  <si>
    <t>$1.022.634</t>
  </si>
  <si>
    <t>$352.957</t>
  </si>
  <si>
    <t>$484.087</t>
  </si>
  <si>
    <t>$15.381,00</t>
  </si>
  <si>
    <t>$335.379</t>
  </si>
  <si>
    <t>$380.155</t>
  </si>
  <si>
    <t>$238.977</t>
  </si>
  <si>
    <t>$404.042</t>
  </si>
  <si>
    <t>$26.588,64</t>
  </si>
  <si>
    <t>$1.160.463</t>
  </si>
  <si>
    <t>$15.997,62</t>
  </si>
  <si>
    <t>$12.385,72</t>
  </si>
  <si>
    <t>$398.220</t>
  </si>
  <si>
    <t>$126.717</t>
  </si>
  <si>
    <t>$13.452,00</t>
  </si>
  <si>
    <t>$1.476.592</t>
  </si>
  <si>
    <t>$578.696</t>
  </si>
  <si>
    <t>$14.016,30</t>
  </si>
  <si>
    <t>$449.534</t>
  </si>
  <si>
    <t>$41.930,20</t>
  </si>
  <si>
    <t>$747.321</t>
  </si>
  <si>
    <t>$50.626,60</t>
  </si>
  <si>
    <t>$352.731</t>
  </si>
  <si>
    <t>$390.991</t>
  </si>
  <si>
    <t>$12.713,00</t>
  </si>
  <si>
    <t>$10.768,44</t>
  </si>
  <si>
    <t>$1.055.241</t>
  </si>
  <si>
    <t>$368.592</t>
  </si>
  <si>
    <t>$7.364,40</t>
  </si>
  <si>
    <t>$85.272</t>
  </si>
  <si>
    <t>$8.068,20</t>
  </si>
  <si>
    <t>$469.623</t>
  </si>
  <si>
    <t>$17.134,20</t>
  </si>
  <si>
    <t>$540.080</t>
  </si>
  <si>
    <t>$626.826</t>
  </si>
  <si>
    <t>$158.696</t>
  </si>
  <si>
    <t>$274.591</t>
  </si>
  <si>
    <t>$205.429</t>
  </si>
  <si>
    <t>$6.703,20</t>
  </si>
  <si>
    <t>$285.082</t>
  </si>
  <si>
    <t>$28.797,60</t>
  </si>
  <si>
    <t>$587.695</t>
  </si>
  <si>
    <t>$135.571</t>
  </si>
  <si>
    <t>$6.418,20</t>
  </si>
  <si>
    <t>$268.287</t>
  </si>
  <si>
    <t>$436.049</t>
  </si>
  <si>
    <t>$358.084</t>
  </si>
  <si>
    <t>$648.174</t>
  </si>
  <si>
    <t>$14.568,84</t>
  </si>
  <si>
    <t>$881.667</t>
  </si>
  <si>
    <t>$21.694,20</t>
  </si>
  <si>
    <t>$11.911,52</t>
  </si>
  <si>
    <t>$716.557</t>
  </si>
  <si>
    <t>$58.566</t>
  </si>
  <si>
    <t>Mi Gusto - La Paternal</t>
  </si>
  <si>
    <t>$37.040,50</t>
  </si>
  <si>
    <t>$422.456</t>
  </si>
  <si>
    <t>$470.062</t>
  </si>
  <si>
    <t>$19.831,44</t>
  </si>
  <si>
    <t>$701.159</t>
  </si>
  <si>
    <t>$754.638</t>
  </si>
  <si>
    <t>$9.975,50</t>
  </si>
  <si>
    <t>$357.877</t>
  </si>
  <si>
    <t>$25.561,08</t>
  </si>
  <si>
    <t>$160.946</t>
  </si>
  <si>
    <t>$271.278</t>
  </si>
  <si>
    <t>$4.081,20</t>
  </si>
  <si>
    <t>$350.478</t>
  </si>
  <si>
    <t>$17.461,02</t>
  </si>
  <si>
    <t>$786.495</t>
  </si>
  <si>
    <t>$8.698,20</t>
  </si>
  <si>
    <t>$327.200</t>
  </si>
  <si>
    <t>$480.956</t>
  </si>
  <si>
    <t>$10.727,40</t>
  </si>
  <si>
    <t>$163.550</t>
  </si>
  <si>
    <t>$27.998,40</t>
  </si>
  <si>
    <t>$12.308,80</t>
  </si>
  <si>
    <t>$486.020</t>
  </si>
  <si>
    <t>$399.188</t>
  </si>
  <si>
    <t>$30.306,85</t>
  </si>
  <si>
    <t>$470.031</t>
  </si>
  <si>
    <t>$309.613</t>
  </si>
  <si>
    <t>$18.319,80</t>
  </si>
  <si>
    <t>$314.582</t>
  </si>
  <si>
    <t>$7.600,80</t>
  </si>
  <si>
    <t>$468.998</t>
  </si>
  <si>
    <t>$30.258</t>
  </si>
  <si>
    <t>$4.602,60</t>
  </si>
  <si>
    <t>$406.848</t>
  </si>
  <si>
    <t>$43.505,20</t>
  </si>
  <si>
    <t>$846.900</t>
  </si>
  <si>
    <t>$5.072,55</t>
  </si>
  <si>
    <t>$676.961</t>
  </si>
  <si>
    <t>$169.268</t>
  </si>
  <si>
    <t>$689.481</t>
  </si>
  <si>
    <t>$402.527</t>
  </si>
  <si>
    <t>$18.388,20</t>
  </si>
  <si>
    <t>$374.043</t>
  </si>
  <si>
    <t>$10.111,80</t>
  </si>
  <si>
    <t>$332.797</t>
  </si>
  <si>
    <t>6.79%</t>
  </si>
  <si>
    <t>52546.14</t>
  </si>
  <si>
    <t>$5.529,00</t>
  </si>
  <si>
    <t>18.51%</t>
  </si>
  <si>
    <t>$227.693</t>
  </si>
  <si>
    <t>81.48%</t>
  </si>
  <si>
    <t>$166.013</t>
  </si>
  <si>
    <t>4.26%</t>
  </si>
  <si>
    <t>902702.58</t>
  </si>
  <si>
    <t>15.70%</t>
  </si>
  <si>
    <t>$23.356,80</t>
  </si>
  <si>
    <t>$774.730</t>
  </si>
  <si>
    <t>órdenes Canceladas</t>
  </si>
  <si>
    <t>2.90%</t>
  </si>
  <si>
    <t>724878.66</t>
  </si>
  <si>
    <t>15.66%</t>
  </si>
  <si>
    <t>99.19%</t>
  </si>
  <si>
    <t>$13.220,90</t>
  </si>
  <si>
    <t>awt</t>
  </si>
  <si>
    <t>$510.505</t>
  </si>
  <si>
    <t>Mi Gusto Escobar</t>
  </si>
  <si>
    <t>629328.95</t>
  </si>
  <si>
    <t>$2.659,62</t>
  </si>
  <si>
    <t>25.33%</t>
  </si>
  <si>
    <t>$13.094,34</t>
  </si>
  <si>
    <t>$78.785</t>
  </si>
  <si>
    <t>$451.050</t>
  </si>
  <si>
    <t>93,80%</t>
  </si>
  <si>
    <t>1150254.13</t>
  </si>
  <si>
    <t>35.66%</t>
  </si>
  <si>
    <t>$39.489,10</t>
  </si>
  <si>
    <t>92.99%</t>
  </si>
  <si>
    <t>$418.172</t>
  </si>
  <si>
    <t>$311.307</t>
  </si>
  <si>
    <t>Mi Gusto- Bella Vista.</t>
  </si>
  <si>
    <t>84,98%</t>
  </si>
  <si>
    <t>5.36%</t>
  </si>
  <si>
    <t>552386.51</t>
  </si>
  <si>
    <t>$82.530</t>
  </si>
  <si>
    <t>21.77%</t>
  </si>
  <si>
    <t>$4.309,20</t>
  </si>
  <si>
    <t>$102.092</t>
  </si>
  <si>
    <t>93,04%</t>
  </si>
  <si>
    <t>3.43%</t>
  </si>
  <si>
    <t>147891.72</t>
  </si>
  <si>
    <t>2.96%</t>
  </si>
  <si>
    <t>$9.538,50</t>
  </si>
  <si>
    <t>29603.2</t>
  </si>
  <si>
    <t>11.67%</t>
  </si>
  <si>
    <t>95.41%</t>
  </si>
  <si>
    <t>$66.373</t>
  </si>
  <si>
    <t>21.48%</t>
  </si>
  <si>
    <t>83.82%</t>
  </si>
  <si>
    <t>99,61%</t>
  </si>
  <si>
    <t>195013.92</t>
  </si>
  <si>
    <t>6.90%</t>
  </si>
  <si>
    <t>99.30%</t>
  </si>
  <si>
    <t>512033.64</t>
  </si>
  <si>
    <t>$89.561</t>
  </si>
  <si>
    <t>98,76%</t>
  </si>
  <si>
    <t>99.25%</t>
  </si>
  <si>
    <t>Mi Gusto - Barrancas de Belgrano</t>
  </si>
  <si>
    <t>2.81%</t>
  </si>
  <si>
    <t>42.85%</t>
  </si>
  <si>
    <t>3.99%</t>
  </si>
  <si>
    <t>441966.17</t>
  </si>
  <si>
    <t>94,82%</t>
  </si>
  <si>
    <t>2.76%</t>
  </si>
  <si>
    <t>$60.183</t>
  </si>
  <si>
    <t>284353.06</t>
  </si>
  <si>
    <t>27.53%</t>
  </si>
  <si>
    <t>95,44%</t>
  </si>
  <si>
    <t>99.13%</t>
  </si>
  <si>
    <t>1.39%</t>
  </si>
  <si>
    <t>8.37%</t>
  </si>
  <si>
    <t>147366.21</t>
  </si>
  <si>
    <t>$34.933</t>
  </si>
  <si>
    <t>43.34%</t>
  </si>
  <si>
    <t>558759.87</t>
  </si>
  <si>
    <t>97.47%</t>
  </si>
  <si>
    <t>96,67%</t>
  </si>
  <si>
    <t>19.95%</t>
  </si>
  <si>
    <t>92.20%</t>
  </si>
  <si>
    <t>0.53%</t>
  </si>
  <si>
    <t>$115.979</t>
  </si>
  <si>
    <t>212986.07</t>
  </si>
  <si>
    <t>32.07%</t>
  </si>
  <si>
    <t>5.54%</t>
  </si>
  <si>
    <t>94,73%</t>
  </si>
  <si>
    <t>95.24%</t>
  </si>
  <si>
    <t>291310.79</t>
  </si>
  <si>
    <t>12.11%</t>
  </si>
  <si>
    <t>99.60%</t>
  </si>
  <si>
    <t>5.57%</t>
  </si>
  <si>
    <t>$100.695</t>
  </si>
  <si>
    <t>440102.55</t>
  </si>
  <si>
    <t>3.08%</t>
  </si>
  <si>
    <t>32.09%</t>
  </si>
  <si>
    <t>96,27%</t>
  </si>
  <si>
    <t>43608.64</t>
  </si>
  <si>
    <t>18.83%</t>
  </si>
  <si>
    <t>$19.542</t>
  </si>
  <si>
    <t>9.37%</t>
  </si>
  <si>
    <t>26714.8</t>
  </si>
  <si>
    <t>99,43%</t>
  </si>
  <si>
    <t>27.69%</t>
  </si>
  <si>
    <t>15.62%</t>
  </si>
  <si>
    <t>$74.893</t>
  </si>
  <si>
    <t>3.09%</t>
  </si>
  <si>
    <t>6.10%</t>
  </si>
  <si>
    <t>96,84%</t>
  </si>
  <si>
    <t>140884.32</t>
  </si>
  <si>
    <t>213257.36</t>
  </si>
  <si>
    <t>35.21%</t>
  </si>
  <si>
    <t>17.65%</t>
  </si>
  <si>
    <t>Mi Gusto - Las Cañitas</t>
  </si>
  <si>
    <t>$5.897</t>
  </si>
  <si>
    <t>95,81%</t>
  </si>
  <si>
    <t>269026.24</t>
  </si>
  <si>
    <t>13.87%</t>
  </si>
  <si>
    <t>365426.83</t>
  </si>
  <si>
    <t>31.65%</t>
  </si>
  <si>
    <t>$242.572</t>
  </si>
  <si>
    <t>95,33%</t>
  </si>
  <si>
    <t>4.63%</t>
  </si>
  <si>
    <t>301085.97</t>
  </si>
  <si>
    <t>96.65%</t>
  </si>
  <si>
    <t>4.19%</t>
  </si>
  <si>
    <t>308562.17</t>
  </si>
  <si>
    <t>$51.871</t>
  </si>
  <si>
    <t>5.56%</t>
  </si>
  <si>
    <t>91,13%</t>
  </si>
  <si>
    <t>5.20%</t>
  </si>
  <si>
    <t>143940.03</t>
  </si>
  <si>
    <t>$3.620,64</t>
  </si>
  <si>
    <t>3.39%</t>
  </si>
  <si>
    <t>126073.04</t>
  </si>
  <si>
    <t>$171.677</t>
  </si>
  <si>
    <t>12.27%</t>
  </si>
  <si>
    <t>94.40%</t>
  </si>
  <si>
    <t>91,64%</t>
  </si>
  <si>
    <t>5.16%</t>
  </si>
  <si>
    <t>54274.51</t>
  </si>
  <si>
    <t>27.30%</t>
  </si>
  <si>
    <t>99.80%</t>
  </si>
  <si>
    <t>4.52%</t>
  </si>
  <si>
    <t>233308.87</t>
  </si>
  <si>
    <t>$70.386</t>
  </si>
  <si>
    <t>17.21%</t>
  </si>
  <si>
    <t>99,68%</t>
  </si>
  <si>
    <t>154697.62</t>
  </si>
  <si>
    <t>12.77%</t>
  </si>
  <si>
    <t>98.60%</t>
  </si>
  <si>
    <t>$27.544</t>
  </si>
  <si>
    <t>798325.19</t>
  </si>
  <si>
    <t>95,50%</t>
  </si>
  <si>
    <t>3.23%</t>
  </si>
  <si>
    <t>95.37%</t>
  </si>
  <si>
    <t>93566.62</t>
  </si>
  <si>
    <t>12.92%</t>
  </si>
  <si>
    <t>$58.319</t>
  </si>
  <si>
    <t>464373.86</t>
  </si>
  <si>
    <t>27.56%</t>
  </si>
  <si>
    <t>4.06%</t>
  </si>
  <si>
    <t>231772.61</t>
  </si>
  <si>
    <t>98,08%</t>
  </si>
  <si>
    <t>4.60%</t>
  </si>
  <si>
    <t>98.54%</t>
  </si>
  <si>
    <t>$11.890</t>
  </si>
  <si>
    <t>5.02%</t>
  </si>
  <si>
    <t>3.96%</t>
  </si>
  <si>
    <t>130113.91</t>
  </si>
  <si>
    <t>89,29%</t>
  </si>
  <si>
    <t>124190.03</t>
  </si>
  <si>
    <t>9.90%</t>
  </si>
  <si>
    <t>97.91%</t>
  </si>
  <si>
    <t>94.99%</t>
  </si>
  <si>
    <t>0.47%</t>
  </si>
  <si>
    <t>$41.101</t>
  </si>
  <si>
    <t>7.42%</t>
  </si>
  <si>
    <t>277744.9</t>
  </si>
  <si>
    <t>10.39%</t>
  </si>
  <si>
    <t>69.17%</t>
  </si>
  <si>
    <t>397904.64</t>
  </si>
  <si>
    <t>Mi Gusto - Vicente Lopez</t>
  </si>
  <si>
    <t>25.72%</t>
  </si>
  <si>
    <t>98.31%</t>
  </si>
  <si>
    <t>$11.919</t>
  </si>
  <si>
    <t>97,43%</t>
  </si>
  <si>
    <t>87736.04</t>
  </si>
  <si>
    <t>16.57%</t>
  </si>
  <si>
    <t>8.69%</t>
  </si>
  <si>
    <t>259925.91</t>
  </si>
  <si>
    <t>13.52%</t>
  </si>
  <si>
    <t>70.50%</t>
  </si>
  <si>
    <t>$62.219</t>
  </si>
  <si>
    <t>97,92%</t>
  </si>
  <si>
    <t>4.64%</t>
  </si>
  <si>
    <t>769547.25</t>
  </si>
  <si>
    <t>9.12%</t>
  </si>
  <si>
    <t>99.10%</t>
  </si>
  <si>
    <t>Mi Gusto - Villa Devoto</t>
  </si>
  <si>
    <t>$12.820</t>
  </si>
  <si>
    <t>95,20%</t>
  </si>
  <si>
    <t>392338.7</t>
  </si>
  <si>
    <t>17.44%</t>
  </si>
  <si>
    <t>99.35%</t>
  </si>
  <si>
    <t>$140.167</t>
  </si>
  <si>
    <t>97,51%</t>
  </si>
  <si>
    <t>345739.04</t>
  </si>
  <si>
    <t>24.12%</t>
  </si>
  <si>
    <t>97.15%</t>
  </si>
  <si>
    <t>$43.234</t>
  </si>
  <si>
    <t>97,23%</t>
  </si>
  <si>
    <t>138604.53</t>
  </si>
  <si>
    <t>15.67%</t>
  </si>
  <si>
    <t>$147.098</t>
  </si>
  <si>
    <t>98,79%</t>
  </si>
  <si>
    <t>$32.285</t>
  </si>
  <si>
    <t>99,34%</t>
  </si>
  <si>
    <t>$137.268</t>
  </si>
  <si>
    <t>96,60%</t>
  </si>
  <si>
    <t>$54.756</t>
  </si>
  <si>
    <t>99,82%</t>
  </si>
  <si>
    <t>$85.683</t>
  </si>
  <si>
    <t>93,76%</t>
  </si>
  <si>
    <t>$62.126</t>
  </si>
  <si>
    <t>MI Gusto Cañitas</t>
  </si>
  <si>
    <t>95,48%</t>
  </si>
  <si>
    <t>$23.220</t>
  </si>
  <si>
    <t>99,59%</t>
  </si>
  <si>
    <t>$2.280,00</t>
  </si>
  <si>
    <t>$160.265</t>
  </si>
  <si>
    <t>$2.496,90</t>
  </si>
  <si>
    <t>$66.764</t>
  </si>
  <si>
    <t>99,74%</t>
  </si>
  <si>
    <t>$122.254</t>
  </si>
  <si>
    <t>$82.482</t>
  </si>
  <si>
    <t>89,74%</t>
  </si>
  <si>
    <t>135320.85</t>
  </si>
  <si>
    <t>$9.230</t>
  </si>
  <si>
    <t>97,94%</t>
  </si>
  <si>
    <t>85.54%</t>
  </si>
  <si>
    <t>4.05%</t>
  </si>
  <si>
    <t>213799.64</t>
  </si>
  <si>
    <t>22453.41</t>
  </si>
  <si>
    <t>14.57%</t>
  </si>
  <si>
    <t>99.63%</t>
  </si>
  <si>
    <t>73065.27</t>
  </si>
  <si>
    <t>99665.81</t>
  </si>
  <si>
    <t>9.70%</t>
  </si>
  <si>
    <t>0.28%</t>
  </si>
  <si>
    <t>361.74</t>
  </si>
  <si>
    <t>37431.33</t>
  </si>
  <si>
    <t>21.52%</t>
  </si>
  <si>
    <t>49663.08</t>
  </si>
  <si>
    <t>39492.2</t>
  </si>
  <si>
    <t>24.88%</t>
  </si>
  <si>
    <t>91.58%</t>
  </si>
  <si>
    <t>4.83%</t>
  </si>
  <si>
    <t>114004.4</t>
  </si>
  <si>
    <t>17.87%</t>
  </si>
  <si>
    <t>9.16%</t>
  </si>
  <si>
    <t>18.84%</t>
  </si>
  <si>
    <t>20.40%</t>
  </si>
  <si>
    <t>22.61%</t>
  </si>
  <si>
    <t>3.55%</t>
  </si>
  <si>
    <t>26.62%</t>
  </si>
  <si>
    <t>32.60%</t>
  </si>
  <si>
    <t>35301.3</t>
  </si>
  <si>
    <t>6.92%</t>
  </si>
  <si>
    <t>98.71%</t>
  </si>
  <si>
    <t>41459.2</t>
  </si>
  <si>
    <t>11.04%</t>
  </si>
  <si>
    <t>93.76%</t>
  </si>
  <si>
    <t>1.12%</t>
  </si>
  <si>
    <t>4.59%</t>
  </si>
  <si>
    <t>15535.17</t>
  </si>
  <si>
    <t>11.49%</t>
  </si>
  <si>
    <t>102120.62</t>
  </si>
  <si>
    <t>23077.04</t>
  </si>
  <si>
    <t>6.80%</t>
  </si>
  <si>
    <t>29536.88</t>
  </si>
  <si>
    <t>29.81%</t>
  </si>
  <si>
    <t>2.32%</t>
  </si>
  <si>
    <t>11.62%</t>
  </si>
  <si>
    <t>4.16%</t>
  </si>
  <si>
    <t>83883.64</t>
  </si>
  <si>
    <t>9.52%</t>
  </si>
  <si>
    <t>93,60%</t>
  </si>
  <si>
    <t>21.87%</t>
  </si>
  <si>
    <t>41.82%</t>
  </si>
  <si>
    <t>99,25%</t>
  </si>
  <si>
    <t>99,30%</t>
  </si>
  <si>
    <t>99,22%</t>
  </si>
  <si>
    <t>93,66%</t>
  </si>
  <si>
    <t>98,93%</t>
  </si>
  <si>
    <t>99,31%</t>
  </si>
  <si>
    <t>97,00%</t>
  </si>
  <si>
    <t>99,91%</t>
  </si>
  <si>
    <t>92,80%</t>
  </si>
  <si>
    <t>95,34%</t>
  </si>
  <si>
    <t>99,15%</t>
  </si>
  <si>
    <t>99,65%</t>
  </si>
  <si>
    <t>99,87%</t>
  </si>
  <si>
    <t>99,94%</t>
  </si>
  <si>
    <t>98,17%</t>
  </si>
  <si>
    <t>96,63%</t>
  </si>
  <si>
    <t>% demora</t>
  </si>
  <si>
    <t>85,86%</t>
  </si>
  <si>
    <t>$103.030</t>
  </si>
  <si>
    <t>97,07%</t>
  </si>
  <si>
    <t>$110.276</t>
  </si>
  <si>
    <t>$10.674</t>
  </si>
  <si>
    <t>98,67%</t>
  </si>
  <si>
    <t>$61.314</t>
  </si>
  <si>
    <t>97,15%</t>
  </si>
  <si>
    <t>$4.446</t>
  </si>
  <si>
    <t>98,56%</t>
  </si>
  <si>
    <t>$33.184</t>
  </si>
  <si>
    <t>$26.628</t>
  </si>
  <si>
    <t>$34.132</t>
  </si>
  <si>
    <t>99,80%</t>
  </si>
  <si>
    <t>$60.747</t>
  </si>
  <si>
    <t>96,56%</t>
  </si>
  <si>
    <t>$53.937</t>
  </si>
  <si>
    <t>98,36%</t>
  </si>
  <si>
    <t>$41.867</t>
  </si>
  <si>
    <t>98,21%</t>
  </si>
  <si>
    <t>$32.658</t>
  </si>
  <si>
    <t>99,56%</t>
  </si>
  <si>
    <t>$66.991</t>
  </si>
  <si>
    <t>93,87%</t>
  </si>
  <si>
    <t>98,59%</t>
  </si>
  <si>
    <t>Mi Gusto -  Paternal</t>
  </si>
  <si>
    <t>$77.829</t>
  </si>
  <si>
    <t>$84.802</t>
  </si>
  <si>
    <t>98,62%</t>
  </si>
  <si>
    <t>97,98%</t>
  </si>
  <si>
    <t>$4.829,00</t>
  </si>
  <si>
    <t>$19.814</t>
  </si>
  <si>
    <t>93,22%</t>
  </si>
  <si>
    <t>98,94%</t>
  </si>
  <si>
    <t>$35.553</t>
  </si>
  <si>
    <t>97,69%</t>
  </si>
  <si>
    <t>$3.798</t>
  </si>
  <si>
    <t>99,23%</t>
  </si>
  <si>
    <t>99,03%</t>
  </si>
  <si>
    <t>$20.406</t>
  </si>
  <si>
    <t>99,27%</t>
  </si>
  <si>
    <t>90,65%</t>
  </si>
  <si>
    <t>99,58%</t>
  </si>
  <si>
    <t>$50.012</t>
  </si>
  <si>
    <t>97,38%</t>
  </si>
  <si>
    <t>98,43%</t>
  </si>
  <si>
    <t>$84.427</t>
  </si>
  <si>
    <t>98,81%</t>
  </si>
  <si>
    <t>99,85%</t>
  </si>
  <si>
    <t>$13.691</t>
  </si>
  <si>
    <t>98,69%</t>
  </si>
  <si>
    <t>$44.037</t>
  </si>
  <si>
    <t>$105.678</t>
  </si>
  <si>
    <t>98,99%</t>
  </si>
  <si>
    <t>$113.228</t>
  </si>
  <si>
    <t>97,04%</t>
  </si>
  <si>
    <t>99,05%</t>
  </si>
  <si>
    <t>$9.642</t>
  </si>
  <si>
    <t>97,56%</t>
  </si>
  <si>
    <t>$825</t>
  </si>
  <si>
    <t>98,84%</t>
  </si>
  <si>
    <t>96,31%</t>
  </si>
  <si>
    <t>89,48%</t>
  </si>
  <si>
    <t>97,40%</t>
  </si>
  <si>
    <t>$76.676</t>
  </si>
  <si>
    <t>94,98%</t>
  </si>
  <si>
    <t>99,17%</t>
  </si>
  <si>
    <t>99,76%</t>
  </si>
  <si>
    <t>96,58%</t>
  </si>
  <si>
    <t>99,10%</t>
  </si>
  <si>
    <t>$10.659</t>
  </si>
  <si>
    <t>98,34%</t>
  </si>
  <si>
    <t>98,32%</t>
  </si>
  <si>
    <t>$42.439</t>
  </si>
  <si>
    <t>99,29%</t>
  </si>
  <si>
    <t>99,83%</t>
  </si>
  <si>
    <t>$57.565</t>
  </si>
  <si>
    <t>92,91%</t>
  </si>
  <si>
    <t>98,02%</t>
  </si>
  <si>
    <t>93,08%</t>
  </si>
  <si>
    <t>$161.568</t>
  </si>
  <si>
    <t>99,79%</t>
  </si>
  <si>
    <t>91,09%</t>
  </si>
  <si>
    <t>96,24%</t>
  </si>
  <si>
    <t>99,44%</t>
  </si>
  <si>
    <t>$57.516</t>
  </si>
  <si>
    <t>98,88%</t>
  </si>
  <si>
    <t>$12.994</t>
  </si>
  <si>
    <t>99,90%</t>
  </si>
  <si>
    <t>97,58%</t>
  </si>
  <si>
    <t>89,85%</t>
  </si>
  <si>
    <t>94,72%</t>
  </si>
  <si>
    <t>Mi gusto Jose C paz</t>
  </si>
  <si>
    <t>99,11%</t>
  </si>
  <si>
    <t>99,46%</t>
  </si>
  <si>
    <t>37.93%</t>
  </si>
  <si>
    <t>99,51%</t>
  </si>
  <si>
    <t>83.00%</t>
  </si>
  <si>
    <t>95,37%</t>
  </si>
  <si>
    <t>78,49%</t>
  </si>
  <si>
    <t>3.52%</t>
  </si>
  <si>
    <t>189971.9</t>
  </si>
  <si>
    <t>89003.71</t>
  </si>
  <si>
    <t>30.25%</t>
  </si>
  <si>
    <t>$181.544</t>
  </si>
  <si>
    <t>86203.08</t>
  </si>
  <si>
    <t>13.95%</t>
  </si>
  <si>
    <t>90.64%</t>
  </si>
  <si>
    <t>$291.126</t>
  </si>
  <si>
    <t>96,44%</t>
  </si>
  <si>
    <t>7.37%</t>
  </si>
  <si>
    <t>121464.52</t>
  </si>
  <si>
    <t>14.75%</t>
  </si>
  <si>
    <t>$48.026</t>
  </si>
  <si>
    <t>16.33%</t>
  </si>
  <si>
    <t>$13.906</t>
  </si>
  <si>
    <t>33.33%</t>
  </si>
  <si>
    <t>8.33%</t>
  </si>
  <si>
    <t>$230.512</t>
  </si>
  <si>
    <t>3.33%</t>
  </si>
  <si>
    <t>$1.778,40</t>
  </si>
  <si>
    <t>15.45%</t>
  </si>
  <si>
    <t>$29.606</t>
  </si>
  <si>
    <t>98.57%</t>
  </si>
  <si>
    <t>99,55%</t>
  </si>
  <si>
    <t>5.15%</t>
  </si>
  <si>
    <t>131625.2</t>
  </si>
  <si>
    <t>27.83%</t>
  </si>
  <si>
    <t>97,41%</t>
  </si>
  <si>
    <t>87.58%</t>
  </si>
  <si>
    <t>$102.375</t>
  </si>
  <si>
    <t>96,43%</t>
  </si>
  <si>
    <t>7.18%</t>
  </si>
  <si>
    <t>52420.3</t>
  </si>
  <si>
    <t>15.68%</t>
  </si>
  <si>
    <t>$165.021</t>
  </si>
  <si>
    <t>25.67%</t>
  </si>
  <si>
    <t>99.18%</t>
  </si>
  <si>
    <t>$9.154,20</t>
  </si>
  <si>
    <t>$11.668,90</t>
  </si>
  <si>
    <t>$73.131</t>
  </si>
  <si>
    <t>$2.094</t>
  </si>
  <si>
    <t>15.07%</t>
  </si>
  <si>
    <t>91,46%</t>
  </si>
  <si>
    <t>38523.67</t>
  </si>
  <si>
    <t>$350.427</t>
  </si>
  <si>
    <t>$60.313</t>
  </si>
  <si>
    <t>$152.865</t>
  </si>
  <si>
    <t>11.51%</t>
  </si>
  <si>
    <t>99,32%</t>
  </si>
  <si>
    <t>100352.11</t>
  </si>
  <si>
    <t>$4.622,10</t>
  </si>
  <si>
    <t>$10.892</t>
  </si>
  <si>
    <t>$97.709</t>
  </si>
  <si>
    <t>0.99%</t>
  </si>
  <si>
    <t>95,02%</t>
  </si>
  <si>
    <t>97,08%</t>
  </si>
  <si>
    <t>$50.142</t>
  </si>
  <si>
    <t>$123.198</t>
  </si>
  <si>
    <t>1.78%</t>
  </si>
  <si>
    <t>$137.516</t>
  </si>
  <si>
    <t>9.43%</t>
  </si>
  <si>
    <t>62.09%</t>
  </si>
  <si>
    <t>$144.643</t>
  </si>
  <si>
    <t>$34.316</t>
  </si>
  <si>
    <t>$246.000</t>
  </si>
  <si>
    <t>86,65%</t>
  </si>
  <si>
    <t>96,94%</t>
  </si>
  <si>
    <t>89.33%</t>
  </si>
  <si>
    <t>$129.760</t>
  </si>
  <si>
    <t>$6.121,80</t>
  </si>
  <si>
    <t>4.61%</t>
  </si>
  <si>
    <t>225696.63</t>
  </si>
  <si>
    <t>$245.489</t>
  </si>
  <si>
    <t>9.69%</t>
  </si>
  <si>
    <t>97.60%</t>
  </si>
  <si>
    <t>$1.295,50</t>
  </si>
  <si>
    <t>97,89%</t>
  </si>
  <si>
    <t>56646.2</t>
  </si>
  <si>
    <t>14.78%</t>
  </si>
  <si>
    <t>$76.817</t>
  </si>
  <si>
    <t>$72.369</t>
  </si>
  <si>
    <t>0.72%</t>
  </si>
  <si>
    <t>98,58%</t>
  </si>
  <si>
    <t>99,39%</t>
  </si>
  <si>
    <t>$131.227</t>
  </si>
  <si>
    <t>123200.71</t>
  </si>
  <si>
    <t>24.72%</t>
  </si>
  <si>
    <t>$87.984</t>
  </si>
  <si>
    <t>$4.833,60</t>
  </si>
  <si>
    <t>$10.192</t>
  </si>
  <si>
    <t>8696.13</t>
  </si>
  <si>
    <t>$141.423</t>
  </si>
  <si>
    <t>16.00%</t>
  </si>
  <si>
    <t>99.20%</t>
  </si>
  <si>
    <t>99,62%</t>
  </si>
  <si>
    <t>$3.727,80</t>
  </si>
  <si>
    <t>Mi Gusto - Maschwitz</t>
  </si>
  <si>
    <t>$5.136</t>
  </si>
  <si>
    <t>98,45%</t>
  </si>
  <si>
    <t>$87.239</t>
  </si>
  <si>
    <t>$38.890</t>
  </si>
  <si>
    <t>99,67%</t>
  </si>
  <si>
    <t>$19.854</t>
  </si>
  <si>
    <t>$33.529</t>
  </si>
  <si>
    <t>$108.101</t>
  </si>
  <si>
    <t>$147.061</t>
  </si>
  <si>
    <t>$32.758</t>
  </si>
  <si>
    <t>$2.085,60</t>
  </si>
  <si>
    <t>$1.128,60</t>
  </si>
  <si>
    <t>$67.910</t>
  </si>
  <si>
    <t>$139.341</t>
  </si>
  <si>
    <t>$48.218</t>
  </si>
  <si>
    <t>$108.930</t>
  </si>
  <si>
    <t>$116.577</t>
  </si>
  <si>
    <t>99,19%</t>
  </si>
  <si>
    <t>$50.104</t>
  </si>
  <si>
    <t>$7.136,40</t>
  </si>
  <si>
    <t>$52.632</t>
  </si>
  <si>
    <t>$125.986</t>
  </si>
  <si>
    <t>$82.437</t>
  </si>
  <si>
    <t>$134.893</t>
  </si>
  <si>
    <t>$17.341</t>
  </si>
  <si>
    <t>$196.248</t>
  </si>
  <si>
    <t>99,52%</t>
  </si>
  <si>
    <t>$118.264</t>
  </si>
  <si>
    <t>$416.003</t>
  </si>
  <si>
    <t>98,39%</t>
  </si>
  <si>
    <t>$87.043</t>
  </si>
  <si>
    <t>$57.288</t>
  </si>
  <si>
    <t>$24.940</t>
  </si>
  <si>
    <t>$16.176,60</t>
  </si>
  <si>
    <t>$64.268</t>
  </si>
  <si>
    <t>$126.018</t>
  </si>
  <si>
    <t>97,85%</t>
  </si>
  <si>
    <t>$38.909</t>
  </si>
  <si>
    <t>$69.961</t>
  </si>
  <si>
    <t>$97.235</t>
  </si>
  <si>
    <t>95,31%</t>
  </si>
  <si>
    <t>$11.286</t>
  </si>
  <si>
    <t>$5.244,00</t>
  </si>
  <si>
    <t>$44.998</t>
  </si>
  <si>
    <t>$113.368</t>
  </si>
  <si>
    <t>98,37%</t>
  </si>
  <si>
    <t>$50.562</t>
  </si>
  <si>
    <t>$28.751</t>
  </si>
  <si>
    <t>$17.579</t>
  </si>
  <si>
    <t>$111.559</t>
  </si>
  <si>
    <t>99,04%</t>
  </si>
  <si>
    <t>$149.994</t>
  </si>
  <si>
    <t>98,55%</t>
  </si>
  <si>
    <t>$12.892</t>
  </si>
  <si>
    <t>$59.536</t>
  </si>
  <si>
    <t>$18.048,60</t>
  </si>
  <si>
    <t>$82.878</t>
  </si>
  <si>
    <t>99,57%</t>
  </si>
  <si>
    <t>$59.767</t>
  </si>
  <si>
    <t>$10.874</t>
  </si>
  <si>
    <t>$33.676</t>
  </si>
  <si>
    <t>$203.682</t>
  </si>
  <si>
    <t>99,96%</t>
  </si>
  <si>
    <t>$22.344</t>
  </si>
  <si>
    <t>$126.753</t>
  </si>
  <si>
    <t>$77.091</t>
  </si>
  <si>
    <t>$1.800,00</t>
  </si>
  <si>
    <t>$200.881</t>
  </si>
  <si>
    <t>$119.771</t>
  </si>
  <si>
    <t>$243.403</t>
  </si>
  <si>
    <t>$126.683</t>
  </si>
  <si>
    <t>$17.350,80</t>
  </si>
  <si>
    <t>$100.902</t>
  </si>
  <si>
    <t>$56.168</t>
  </si>
  <si>
    <t>$132.549</t>
  </si>
  <si>
    <t>99,75%</t>
  </si>
  <si>
    <t>95,22%</t>
  </si>
  <si>
    <t>$145.069</t>
  </si>
  <si>
    <t>$62.472</t>
  </si>
  <si>
    <t>98,98%</t>
  </si>
  <si>
    <t>$16.873</t>
  </si>
  <si>
    <t>$69.967</t>
  </si>
  <si>
    <t>$45.391</t>
  </si>
  <si>
    <t>$131.883</t>
  </si>
  <si>
    <t>$30.267</t>
  </si>
  <si>
    <t>77.83%</t>
  </si>
  <si>
    <t>$28.010</t>
  </si>
  <si>
    <t>$83.487</t>
  </si>
  <si>
    <t>88931.32</t>
  </si>
  <si>
    <t>18.80%</t>
  </si>
  <si>
    <t>$45.222</t>
  </si>
  <si>
    <t>$77.582</t>
  </si>
  <si>
    <t>97,62%</t>
  </si>
  <si>
    <t>99,78%</t>
  </si>
  <si>
    <t>11.96%</t>
  </si>
  <si>
    <t>$9.092,20</t>
  </si>
  <si>
    <t>$329.946</t>
  </si>
  <si>
    <t>$90.216</t>
  </si>
  <si>
    <t>97,57%</t>
  </si>
  <si>
    <t>97,25%</t>
  </si>
  <si>
    <t>2.89%</t>
  </si>
  <si>
    <t>8881.52</t>
  </si>
  <si>
    <t>24.34%</t>
  </si>
  <si>
    <t>$48.399</t>
  </si>
  <si>
    <t>0.25%</t>
  </si>
  <si>
    <t>2.57%</t>
  </si>
  <si>
    <t>$40.097</t>
  </si>
  <si>
    <t>9.02%</t>
  </si>
  <si>
    <t>93.19%</t>
  </si>
  <si>
    <t>97,65%</t>
  </si>
  <si>
    <t>$34.543</t>
  </si>
  <si>
    <t>$4.491,60</t>
  </si>
  <si>
    <t>$1.026</t>
  </si>
  <si>
    <t>$156.232</t>
  </si>
  <si>
    <t>99.15%</t>
  </si>
  <si>
    <t>88,78%</t>
  </si>
  <si>
    <t>4.31%</t>
  </si>
  <si>
    <t>$4.477</t>
  </si>
  <si>
    <t>21.58%</t>
  </si>
  <si>
    <t>$3.529,90</t>
  </si>
  <si>
    <t>5.35%</t>
  </si>
  <si>
    <t>$107.844</t>
  </si>
  <si>
    <t>1568.32</t>
  </si>
  <si>
    <t>35.71%</t>
  </si>
  <si>
    <t>$145.489</t>
  </si>
  <si>
    <t>2.48%</t>
  </si>
  <si>
    <t>99,40%</t>
  </si>
  <si>
    <t>45381.03</t>
  </si>
  <si>
    <t>10.86%</t>
  </si>
  <si>
    <t>99.55%</t>
  </si>
  <si>
    <t>23.68%</t>
  </si>
  <si>
    <t>4.39%</t>
  </si>
  <si>
    <t>89.73%</t>
  </si>
  <si>
    <t>91.33%</t>
  </si>
  <si>
    <t>5703.33</t>
  </si>
  <si>
    <t>17.58%</t>
  </si>
  <si>
    <t>98.11%</t>
  </si>
  <si>
    <t>24941.38</t>
  </si>
  <si>
    <t>61.01%</t>
  </si>
  <si>
    <t>75271.65</t>
  </si>
  <si>
    <t>14.54%</t>
  </si>
  <si>
    <t>1.63%</t>
  </si>
  <si>
    <t>3324.28</t>
  </si>
  <si>
    <t>2.34%</t>
  </si>
  <si>
    <t>36.06%</t>
  </si>
  <si>
    <t>23790.92</t>
  </si>
  <si>
    <t>8.98%</t>
  </si>
  <si>
    <t>97.77%</t>
  </si>
  <si>
    <t>3.77%</t>
  </si>
  <si>
    <t>5.63%</t>
  </si>
  <si>
    <t>9719.87</t>
  </si>
  <si>
    <t>2.80%</t>
  </si>
  <si>
    <t>148291.18</t>
  </si>
  <si>
    <t>16.03%</t>
  </si>
  <si>
    <t>15.49%</t>
  </si>
  <si>
    <t>98.05%</t>
  </si>
  <si>
    <t>2.19%</t>
  </si>
  <si>
    <t>8.13%</t>
  </si>
  <si>
    <t>23092.48</t>
  </si>
  <si>
    <t>4.47%</t>
  </si>
  <si>
    <t>100324.12</t>
  </si>
  <si>
    <t>96.39%</t>
  </si>
  <si>
    <t>23.11%</t>
  </si>
  <si>
    <t>92.44%</t>
  </si>
  <si>
    <t>23.88%</t>
  </si>
  <si>
    <t>6.36%</t>
  </si>
  <si>
    <t>33924.61</t>
  </si>
  <si>
    <t>46731.5</t>
  </si>
  <si>
    <t>28.18%</t>
  </si>
  <si>
    <t>12.72%</t>
  </si>
  <si>
    <t>3.51%</t>
  </si>
  <si>
    <t>1.66%</t>
  </si>
  <si>
    <t>9.56%</t>
  </si>
  <si>
    <t>99.26%</t>
  </si>
  <si>
    <t>3.05%</t>
  </si>
  <si>
    <t>81260.2</t>
  </si>
  <si>
    <t>21.37%</t>
  </si>
  <si>
    <t>13.91%</t>
  </si>
  <si>
    <t>3.06%</t>
  </si>
  <si>
    <t>3.87%</t>
  </si>
  <si>
    <t>919.35</t>
  </si>
  <si>
    <t>12.88%</t>
  </si>
  <si>
    <t>51.11%</t>
  </si>
  <si>
    <t>95.90%</t>
  </si>
  <si>
    <t>12.40%</t>
  </si>
  <si>
    <t>2.31%</t>
  </si>
  <si>
    <t>5.18%</t>
  </si>
  <si>
    <t>128399.2</t>
  </si>
  <si>
    <t>16.20%</t>
  </si>
  <si>
    <t>5.22%</t>
  </si>
  <si>
    <t>95.49%</t>
  </si>
  <si>
    <t>46322.1</t>
  </si>
  <si>
    <t>7.84%</t>
  </si>
  <si>
    <t>90.80%</t>
  </si>
  <si>
    <t>16047.75</t>
  </si>
  <si>
    <t>44.08%</t>
  </si>
  <si>
    <t>97.88%</t>
  </si>
  <si>
    <t>3.01%</t>
  </si>
  <si>
    <t>443.38</t>
  </si>
  <si>
    <t>8.43%</t>
  </si>
  <si>
    <t>81.72%</t>
  </si>
  <si>
    <t>5.03%</t>
  </si>
  <si>
    <t>39923.09</t>
  </si>
  <si>
    <t>10370.4</t>
  </si>
  <si>
    <t>6.52%</t>
  </si>
  <si>
    <t>90.02%</t>
  </si>
  <si>
    <t>24.30%</t>
  </si>
  <si>
    <t>7.27%</t>
  </si>
  <si>
    <t>28255.71</t>
  </si>
  <si>
    <t>36.36%</t>
  </si>
  <si>
    <t>22251.27</t>
  </si>
  <si>
    <t>17.32%</t>
  </si>
  <si>
    <t>18.77%</t>
  </si>
  <si>
    <t>2.73%</t>
  </si>
  <si>
    <t>35543.75</t>
  </si>
  <si>
    <t>17.06%</t>
  </si>
  <si>
    <t>97.34%</t>
  </si>
  <si>
    <t>0.52%</t>
  </si>
  <si>
    <t>4.81%</t>
  </si>
  <si>
    <t>3.67%</t>
  </si>
  <si>
    <t>44980.52</t>
  </si>
  <si>
    <t>3.15%</t>
  </si>
  <si>
    <t>19652.9</t>
  </si>
  <si>
    <t>23.29%</t>
  </si>
  <si>
    <t>97.78%</t>
  </si>
  <si>
    <t>16.31%</t>
  </si>
  <si>
    <t>5.25%</t>
  </si>
  <si>
    <t>99.57%</t>
  </si>
  <si>
    <t>16082.6</t>
  </si>
  <si>
    <t>68900.1</t>
  </si>
  <si>
    <t>10888.8</t>
  </si>
  <si>
    <t>4.04%</t>
  </si>
  <si>
    <t>94.38%</t>
  </si>
  <si>
    <t>98.79%</t>
  </si>
  <si>
    <t>0.60%</t>
  </si>
  <si>
    <t>0.46%</t>
  </si>
  <si>
    <t>119163.4</t>
  </si>
  <si>
    <t>7.01%</t>
  </si>
  <si>
    <t>103844.67</t>
  </si>
  <si>
    <t>16383.68</t>
  </si>
  <si>
    <t>15.96%</t>
  </si>
  <si>
    <t>98.98%</t>
  </si>
  <si>
    <t>87.85%</t>
  </si>
  <si>
    <t>10.29%</t>
  </si>
  <si>
    <t>90977.62</t>
  </si>
  <si>
    <t>48434.29</t>
  </si>
  <si>
    <t>18.15%</t>
  </si>
  <si>
    <t>97.11%</t>
  </si>
  <si>
    <t>3.93%</t>
  </si>
  <si>
    <t>12763.41</t>
  </si>
  <si>
    <t>65221.07</t>
  </si>
  <si>
    <t>6.15%</t>
  </si>
  <si>
    <t>210730.71</t>
  </si>
  <si>
    <t>215054.65</t>
  </si>
  <si>
    <t>9.85%</t>
  </si>
  <si>
    <t>28.94%</t>
  </si>
  <si>
    <t>97.58%</t>
  </si>
  <si>
    <t>15630.65</t>
  </si>
  <si>
    <t>38.23%</t>
  </si>
  <si>
    <t>16.82%</t>
  </si>
  <si>
    <t>99.84%</t>
  </si>
  <si>
    <t>5.95%</t>
  </si>
  <si>
    <t>4.67%</t>
  </si>
  <si>
    <t>62822.4</t>
  </si>
  <si>
    <t>111218.44</t>
  </si>
  <si>
    <t>24.60%</t>
  </si>
  <si>
    <t>29.13%</t>
  </si>
  <si>
    <t>86.41%</t>
  </si>
  <si>
    <t>47682.3</t>
  </si>
  <si>
    <t>11.76%</t>
  </si>
  <si>
    <t>49724.4</t>
  </si>
  <si>
    <t>10.87%</t>
  </si>
  <si>
    <t>98.72%</t>
  </si>
  <si>
    <t>4.11%</t>
  </si>
  <si>
    <t>106009.01</t>
  </si>
  <si>
    <t>17.96%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</si>
</sst>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yyyy.m"/>
    <numFmt numFmtId="167" formatCode="0.0%"/>
  </numFmts>
  <fonts count="30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Arial"/>
      <scheme val="minor"/>
    </font>
    <font>
      <color rgb="FF000000"/>
      <name val="Poppins"/>
    </font>
    <font>
      <sz val="11.0"/>
      <color rgb="FF000000"/>
      <name val="Poppins"/>
    </font>
    <font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Poppins"/>
    </font>
    <font>
      <sz val="11.0"/>
      <color rgb="FF000000"/>
      <name val="&quot;Aptos Narrow&quot;"/>
    </font>
    <font>
      <color rgb="FF000000"/>
      <name val="Roboto"/>
    </font>
    <font>
      <sz val="11.0"/>
      <color rgb="FF000000"/>
      <name val="Arial"/>
    </font>
    <font>
      <color theme="1"/>
      <name val="Arial"/>
    </font>
    <font>
      <sz val="11.0"/>
      <color rgb="FF1B1E23"/>
      <name val="Arial"/>
    </font>
    <font>
      <color rgb="FF000000"/>
      <name val="Arial"/>
    </font>
    <font>
      <color theme="1"/>
      <name val="Proxima Nova"/>
    </font>
    <font>
      <color rgb="FF000000"/>
      <name val="Proxima Nova"/>
    </font>
    <font>
      <b/>
      <color rgb="FF000000"/>
      <name val="Arial"/>
      <scheme val="minor"/>
    </font>
    <font>
      <sz val="16.0"/>
      <color theme="1"/>
      <name val="Arial"/>
      <scheme val="minor"/>
    </font>
    <font>
      <sz val="11.0"/>
      <color rgb="FF000000"/>
      <name val="Roboto"/>
    </font>
    <font>
      <sz val="18.0"/>
      <color theme="1"/>
      <name val="Arial"/>
      <scheme val="minor"/>
    </font>
    <font>
      <sz val="17.0"/>
      <color theme="1"/>
      <name val="Arial"/>
      <scheme val="minor"/>
    </font>
    <font>
      <b/>
      <color theme="1"/>
      <name val="Arial"/>
      <scheme val="minor"/>
    </font>
    <font>
      <color theme="1"/>
      <name val="Poppins"/>
    </font>
    <font>
      <sz val="11.0"/>
      <color theme="1"/>
      <name val="Aptos Narrow"/>
    </font>
    <font>
      <b/>
      <i/>
      <color theme="1"/>
      <name val="Proxima Nova"/>
    </font>
    <font>
      <b/>
      <color theme="1"/>
      <name val="Proxima Nova"/>
    </font>
    <font>
      <sz val="11.0"/>
      <color rgb="FF000000"/>
      <name val="Aptos Narrow"/>
    </font>
    <font>
      <color rgb="FF434343"/>
      <name val="Roboto"/>
    </font>
    <font>
      <sz val="11.0"/>
      <color theme="1"/>
      <name val="Arial"/>
    </font>
    <font>
      <b/>
      <color theme="1"/>
      <name val="Arial"/>
    </font>
  </fonts>
  <fills count="58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4F6F8"/>
        <bgColor rgb="FFF4F6F8"/>
      </patternFill>
    </fill>
    <fill>
      <patternFill patternType="solid">
        <fgColor rgb="FFF38F86"/>
        <bgColor rgb="FFF38F86"/>
      </patternFill>
    </fill>
    <fill>
      <patternFill patternType="solid">
        <fgColor rgb="FFFACBC7"/>
        <bgColor rgb="FFFACBC7"/>
      </patternFill>
    </fill>
    <fill>
      <patternFill patternType="solid">
        <fgColor rgb="FFFACDCA"/>
        <bgColor rgb="FFFACDCA"/>
      </patternFill>
    </fill>
    <fill>
      <patternFill patternType="solid">
        <fgColor rgb="FFF2857C"/>
        <bgColor rgb="FFF2857C"/>
      </patternFill>
    </fill>
    <fill>
      <patternFill patternType="solid">
        <fgColor rgb="FFFBDBD8"/>
        <bgColor rgb="FFFBDBD8"/>
      </patternFill>
    </fill>
    <fill>
      <patternFill patternType="solid">
        <fgColor rgb="FFF07268"/>
        <bgColor rgb="FFF07268"/>
      </patternFill>
    </fill>
    <fill>
      <patternFill patternType="solid">
        <fgColor rgb="FFF18077"/>
        <bgColor rgb="FFF18077"/>
      </patternFill>
    </fill>
    <fill>
      <patternFill patternType="solid">
        <fgColor rgb="FFEA4335"/>
        <bgColor rgb="FFEA4335"/>
      </patternFill>
    </fill>
    <fill>
      <patternFill patternType="solid">
        <fgColor rgb="FFF7B2AD"/>
        <bgColor rgb="FFF7B2AD"/>
      </patternFill>
    </fill>
    <fill>
      <patternFill patternType="solid">
        <fgColor rgb="FFF6A6A0"/>
        <bgColor rgb="FFF6A6A0"/>
      </patternFill>
    </fill>
    <fill>
      <patternFill patternType="solid">
        <fgColor rgb="FFF8C0BB"/>
        <bgColor rgb="FFF8C0BB"/>
      </patternFill>
    </fill>
    <fill>
      <patternFill patternType="solid">
        <fgColor rgb="FFF8BEB9"/>
        <bgColor rgb="FFF8BEB9"/>
      </patternFill>
    </fill>
    <fill>
      <patternFill patternType="solid">
        <fgColor rgb="FFF3948C"/>
        <bgColor rgb="FFF3948C"/>
      </patternFill>
    </fill>
    <fill>
      <patternFill patternType="solid">
        <fgColor rgb="FFF9C7C2"/>
        <bgColor rgb="FFF9C7C2"/>
      </patternFill>
    </fill>
    <fill>
      <patternFill patternType="solid">
        <fgColor rgb="FFF3938B"/>
        <bgColor rgb="FFF3938B"/>
      </patternFill>
    </fill>
    <fill>
      <patternFill patternType="solid">
        <fgColor rgb="FFF59F98"/>
        <bgColor rgb="FFF59F98"/>
      </patternFill>
    </fill>
    <fill>
      <patternFill patternType="solid">
        <fgColor rgb="FFF49B93"/>
        <bgColor rgb="FFF49B93"/>
      </patternFill>
    </fill>
    <fill>
      <patternFill patternType="solid">
        <fgColor rgb="FFFACFCC"/>
        <bgColor rgb="FFFACFCC"/>
      </patternFill>
    </fill>
    <fill>
      <patternFill patternType="solid">
        <fgColor rgb="FFF49891"/>
        <bgColor rgb="FFF49891"/>
      </patternFill>
    </fill>
    <fill>
      <patternFill patternType="solid">
        <fgColor rgb="FFFACCC8"/>
        <bgColor rgb="FFFACCC8"/>
      </patternFill>
    </fill>
    <fill>
      <patternFill patternType="solid">
        <fgColor rgb="FFF17D74"/>
        <bgColor rgb="FFF17D74"/>
      </patternFill>
    </fill>
    <fill>
      <patternFill patternType="solid">
        <fgColor rgb="FFF17B71"/>
        <bgColor rgb="FFF17B71"/>
      </patternFill>
    </fill>
    <fill>
      <patternFill patternType="solid">
        <fgColor rgb="FFF8BDB8"/>
        <bgColor rgb="FFF8BDB8"/>
      </patternFill>
    </fill>
    <fill>
      <patternFill patternType="solid">
        <fgColor rgb="FFF4958D"/>
        <bgColor rgb="FFF4958D"/>
      </patternFill>
    </fill>
    <fill>
      <patternFill patternType="solid">
        <fgColor rgb="FFFCE2E0"/>
        <bgColor rgb="FFFCE2E0"/>
      </patternFill>
    </fill>
    <fill>
      <patternFill patternType="solid">
        <fgColor rgb="FFF39088"/>
        <bgColor rgb="FFF39088"/>
      </patternFill>
    </fill>
    <fill>
      <patternFill patternType="solid">
        <fgColor rgb="FFF7B4AE"/>
        <bgColor rgb="FFF7B4AE"/>
      </patternFill>
    </fill>
    <fill>
      <patternFill patternType="solid">
        <fgColor rgb="FFF2887F"/>
        <bgColor rgb="FFF2887F"/>
      </patternFill>
    </fill>
    <fill>
      <patternFill patternType="solid">
        <fgColor rgb="FFF28980"/>
        <bgColor rgb="FFF28980"/>
      </patternFill>
    </fill>
    <fill>
      <patternFill patternType="solid">
        <fgColor rgb="FFF3928A"/>
        <bgColor rgb="FFF3928A"/>
      </patternFill>
    </fill>
    <fill>
      <patternFill patternType="solid">
        <fgColor rgb="FFFAD1CD"/>
        <bgColor rgb="FFFAD1CD"/>
      </patternFill>
    </fill>
    <fill>
      <patternFill patternType="solid">
        <fgColor rgb="FFF38D85"/>
        <bgColor rgb="FFF38D85"/>
      </patternFill>
    </fill>
    <fill>
      <patternFill patternType="solid">
        <fgColor rgb="FFF9C1BD"/>
        <bgColor rgb="FFF9C1BD"/>
      </patternFill>
    </fill>
    <fill>
      <patternFill patternType="solid">
        <fgColor rgb="FFF18177"/>
        <bgColor rgb="FFF18177"/>
      </patternFill>
    </fill>
    <fill>
      <patternFill patternType="solid">
        <fgColor rgb="FFF8B9B4"/>
        <bgColor rgb="FFF8B9B4"/>
      </patternFill>
    </fill>
    <fill>
      <patternFill patternType="solid">
        <fgColor rgb="FFEB4537"/>
        <bgColor rgb="FFEB4537"/>
      </patternFill>
    </fill>
    <fill>
      <patternFill patternType="solid">
        <fgColor rgb="FFF9C3BF"/>
        <bgColor rgb="FFF9C3BF"/>
      </patternFill>
    </fill>
    <fill>
      <patternFill patternType="solid">
        <fgColor rgb="FFF6F8F9"/>
        <bgColor rgb="FFF6F8F9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E67C73"/>
        <bgColor rgb="FFE67C73"/>
      </patternFill>
    </fill>
    <fill>
      <patternFill patternType="solid">
        <fgColor rgb="FFFCECEC"/>
        <bgColor rgb="FFFCECEC"/>
      </patternFill>
    </fill>
    <fill>
      <patternFill patternType="solid">
        <fgColor rgb="FFF9CB9C"/>
        <bgColor rgb="FFF9CB9C"/>
      </patternFill>
    </fill>
    <fill>
      <patternFill patternType="solid">
        <fgColor rgb="FFFAE5E3"/>
        <bgColor rgb="FFFAE5E3"/>
      </patternFill>
    </fill>
    <fill>
      <patternFill patternType="solid">
        <fgColor rgb="FFF9DEDE"/>
        <bgColor rgb="FFF9DEDE"/>
      </patternFill>
    </fill>
    <fill>
      <patternFill patternType="solid">
        <fgColor rgb="FFB7E1CD"/>
        <bgColor rgb="FFB7E1CD"/>
      </patternFill>
    </fill>
    <fill>
      <patternFill patternType="solid">
        <fgColor rgb="FFE78279"/>
        <bgColor rgb="FFE78279"/>
      </patternFill>
    </fill>
    <fill>
      <patternFill patternType="solid">
        <fgColor rgb="FFFAE5E5"/>
        <bgColor rgb="FFFAE5E5"/>
      </patternFill>
    </fill>
    <fill>
      <patternFill patternType="solid">
        <fgColor rgb="FFEEA8A8"/>
        <bgColor rgb="FFEEA8A8"/>
      </patternFill>
    </fill>
    <fill>
      <patternFill patternType="solid">
        <fgColor rgb="FFF9DDDB"/>
        <bgColor rgb="FFF9DDDB"/>
      </patternFill>
    </fill>
    <fill>
      <patternFill patternType="solid">
        <fgColor rgb="FFF8D9D9"/>
        <bgColor rgb="FFF8D9D9"/>
      </patternFill>
    </fill>
    <fill>
      <patternFill patternType="solid">
        <fgColor rgb="FFF9DFDC"/>
        <bgColor rgb="FFF9DFDC"/>
      </patternFill>
    </fill>
    <fill>
      <patternFill patternType="solid">
        <fgColor rgb="FFF4C8C8"/>
        <bgColor rgb="FFF4C8C8"/>
      </patternFill>
    </fill>
    <fill>
      <patternFill patternType="solid">
        <fgColor rgb="FFEB968F"/>
        <bgColor rgb="FFEB968F"/>
      </patternFill>
    </fill>
    <fill>
      <patternFill patternType="solid">
        <fgColor rgb="FFEC9F9F"/>
        <bgColor rgb="FFEC9F9F"/>
      </patternFill>
    </fill>
    <fill>
      <patternFill patternType="solid">
        <fgColor rgb="FFF9E0E0"/>
        <bgColor rgb="FFF9E0E0"/>
      </patternFill>
    </fill>
    <fill>
      <patternFill patternType="solid">
        <fgColor rgb="FFEFA9A3"/>
        <bgColor rgb="FFEFA9A3"/>
      </patternFill>
    </fill>
    <fill>
      <patternFill patternType="solid">
        <fgColor rgb="FFF7D8D8"/>
        <bgColor rgb="FFF7D8D8"/>
      </patternFill>
    </fill>
    <fill>
      <patternFill patternType="solid">
        <fgColor rgb="FFF9DFDD"/>
        <bgColor rgb="FFF9DFDD"/>
      </patternFill>
    </fill>
    <fill>
      <patternFill patternType="solid">
        <fgColor rgb="FFEA9999"/>
        <bgColor rgb="FFEA9999"/>
      </patternFill>
    </fill>
    <fill>
      <patternFill patternType="solid">
        <fgColor rgb="FFF7D7D7"/>
        <bgColor rgb="FFF7D7D7"/>
      </patternFill>
    </fill>
    <fill>
      <patternFill patternType="solid">
        <fgColor rgb="FFFAE3E1"/>
        <bgColor rgb="FFFAE3E1"/>
      </patternFill>
    </fill>
    <fill>
      <patternFill patternType="solid">
        <fgColor rgb="FFFDF5F5"/>
        <bgColor rgb="FFFDF5F5"/>
      </patternFill>
    </fill>
    <fill>
      <patternFill patternType="solid">
        <fgColor rgb="FFFEF7F7"/>
        <bgColor rgb="FFFEF7F7"/>
      </patternFill>
    </fill>
    <fill>
      <patternFill patternType="solid">
        <fgColor rgb="FFEEA49E"/>
        <bgColor rgb="FFEEA49E"/>
      </patternFill>
    </fill>
    <fill>
      <patternFill patternType="solid">
        <fgColor rgb="FFFCF0F0"/>
        <bgColor rgb="FFFCF0F0"/>
      </patternFill>
    </fill>
    <fill>
      <patternFill patternType="solid">
        <fgColor rgb="FFFBECEC"/>
        <bgColor rgb="FFFBECEC"/>
      </patternFill>
    </fill>
    <fill>
      <patternFill patternType="solid">
        <fgColor rgb="FFFBE7E6"/>
        <bgColor rgb="FFFBE7E6"/>
      </patternFill>
    </fill>
    <fill>
      <patternFill patternType="solid">
        <fgColor rgb="FFF3C4C4"/>
        <bgColor rgb="FFF3C4C4"/>
      </patternFill>
    </fill>
    <fill>
      <patternFill patternType="solid">
        <fgColor rgb="FFFAE7E7"/>
        <bgColor rgb="FFFAE7E7"/>
      </patternFill>
    </fill>
    <fill>
      <patternFill patternType="solid">
        <fgColor rgb="FFF5CBCB"/>
        <bgColor rgb="FFF5CBCB"/>
      </patternFill>
    </fill>
    <fill>
      <patternFill patternType="solid">
        <fgColor rgb="FFF2BDBD"/>
        <bgColor rgb="FFF2BDBD"/>
      </patternFill>
    </fill>
    <fill>
      <patternFill patternType="solid">
        <fgColor rgb="FFF4C6C6"/>
        <bgColor rgb="FFF4C6C6"/>
      </patternFill>
    </fill>
    <fill>
      <patternFill patternType="solid">
        <fgColor rgb="FFF6D3D3"/>
        <bgColor rgb="FFF6D3D3"/>
      </patternFill>
    </fill>
    <fill>
      <patternFill patternType="solid">
        <fgColor rgb="FFF4CACA"/>
        <bgColor rgb="FFF4CACA"/>
      </patternFill>
    </fill>
    <fill>
      <patternFill patternType="solid">
        <fgColor rgb="FFF0B3B3"/>
        <bgColor rgb="FFF0B3B3"/>
      </patternFill>
    </fill>
    <fill>
      <patternFill patternType="solid">
        <fgColor rgb="FFFDF1F1"/>
        <bgColor rgb="FFFDF1F1"/>
      </patternFill>
    </fill>
    <fill>
      <patternFill patternType="solid">
        <fgColor rgb="FFFCF1F1"/>
        <bgColor rgb="FFFCF1F1"/>
      </patternFill>
    </fill>
    <fill>
      <patternFill patternType="solid">
        <fgColor rgb="FFFEF8F8"/>
        <bgColor rgb="FFFEF8F8"/>
      </patternFill>
    </fill>
    <fill>
      <patternFill patternType="solid">
        <fgColor rgb="FFF8DDDD"/>
        <bgColor rgb="FFF8DDDD"/>
      </patternFill>
    </fill>
    <fill>
      <patternFill patternType="solid">
        <fgColor rgb="FFFCDEDB"/>
        <bgColor rgb="FFFCDEDB"/>
      </patternFill>
    </fill>
    <fill>
      <patternFill patternType="solid">
        <fgColor rgb="FFFEF3F3"/>
        <bgColor rgb="FFFEF3F3"/>
      </patternFill>
    </fill>
    <fill>
      <patternFill patternType="solid">
        <fgColor rgb="FFFAD0CC"/>
        <bgColor rgb="FFFAD0CC"/>
      </patternFill>
    </fill>
    <fill>
      <patternFill patternType="solid">
        <fgColor rgb="FFF4948C"/>
        <bgColor rgb="FFF4948C"/>
      </patternFill>
    </fill>
    <fill>
      <patternFill patternType="solid">
        <fgColor rgb="FFFFFDFD"/>
        <bgColor rgb="FFFFFDFD"/>
      </patternFill>
    </fill>
    <fill>
      <patternFill patternType="solid">
        <fgColor rgb="FFEF6B60"/>
        <bgColor rgb="FFEF6B60"/>
      </patternFill>
    </fill>
    <fill>
      <patternFill patternType="solid">
        <fgColor rgb="FFFACAC6"/>
        <bgColor rgb="FFFACAC6"/>
      </patternFill>
    </fill>
    <fill>
      <patternFill patternType="solid">
        <fgColor rgb="FFFFF9F8"/>
        <bgColor rgb="FFFFF9F8"/>
      </patternFill>
    </fill>
    <fill>
      <patternFill patternType="solid">
        <fgColor rgb="FFFFFEFE"/>
        <bgColor rgb="FFFFFEFE"/>
      </patternFill>
    </fill>
    <fill>
      <patternFill patternType="solid">
        <fgColor rgb="FFF7B5B0"/>
        <bgColor rgb="FFF7B5B0"/>
      </patternFill>
    </fill>
    <fill>
      <patternFill patternType="solid">
        <fgColor rgb="FFFBD8D5"/>
        <bgColor rgb="FFFBD8D5"/>
      </patternFill>
    </fill>
    <fill>
      <patternFill patternType="solid">
        <fgColor rgb="FFF4978F"/>
        <bgColor rgb="FFF4978F"/>
      </patternFill>
    </fill>
    <fill>
      <patternFill patternType="solid">
        <fgColor rgb="FFF49A93"/>
        <bgColor rgb="FFF49A93"/>
      </patternFill>
    </fill>
    <fill>
      <patternFill patternType="solid">
        <fgColor rgb="FFFDE5E3"/>
        <bgColor rgb="FFFDE5E3"/>
      </patternFill>
    </fill>
    <fill>
      <patternFill patternType="solid">
        <fgColor rgb="FFFFF7F6"/>
        <bgColor rgb="FFFFF7F6"/>
      </patternFill>
    </fill>
    <fill>
      <patternFill patternType="solid">
        <fgColor rgb="FFF9C5C1"/>
        <bgColor rgb="FFF9C5C1"/>
      </patternFill>
    </fill>
    <fill>
      <patternFill patternType="solid">
        <fgColor rgb="FFFDEAE9"/>
        <bgColor rgb="FFFDEAE9"/>
      </patternFill>
    </fill>
    <fill>
      <patternFill patternType="solid">
        <fgColor rgb="FFF9CAC6"/>
        <bgColor rgb="FFF9CAC6"/>
      </patternFill>
    </fill>
    <fill>
      <patternFill patternType="solid">
        <fgColor rgb="FFFEF6F5"/>
        <bgColor rgb="FFFEF6F5"/>
      </patternFill>
    </fill>
    <fill>
      <patternFill patternType="solid">
        <fgColor rgb="FFFDECEB"/>
        <bgColor rgb="FFFDECEB"/>
      </patternFill>
    </fill>
    <fill>
      <patternFill patternType="solid">
        <fgColor rgb="FFEC5448"/>
        <bgColor rgb="FFEC5448"/>
      </patternFill>
    </fill>
    <fill>
      <patternFill patternType="solid">
        <fgColor rgb="FFED5C50"/>
        <bgColor rgb="FFED5C50"/>
      </patternFill>
    </fill>
    <fill>
      <patternFill patternType="solid">
        <fgColor rgb="FFFAD0CD"/>
        <bgColor rgb="FFFAD0CD"/>
      </patternFill>
    </fill>
    <fill>
      <patternFill patternType="solid">
        <fgColor rgb="FFFFFAFA"/>
        <bgColor rgb="FFFFFAFA"/>
      </patternFill>
    </fill>
    <fill>
      <patternFill patternType="solid">
        <fgColor rgb="FFF59D96"/>
        <bgColor rgb="FFF59D96"/>
      </patternFill>
    </fill>
    <fill>
      <patternFill patternType="solid">
        <fgColor rgb="FFFDECEA"/>
        <bgColor rgb="FFFDECEA"/>
      </patternFill>
    </fill>
    <fill>
      <patternFill patternType="solid">
        <fgColor rgb="FFEE665B"/>
        <bgColor rgb="FFEE665B"/>
      </patternFill>
    </fill>
    <fill>
      <patternFill patternType="solid">
        <fgColor rgb="FFF8BBB6"/>
        <bgColor rgb="FFF8BBB6"/>
      </patternFill>
    </fill>
    <fill>
      <patternFill patternType="solid">
        <fgColor rgb="FFF5A19A"/>
        <bgColor rgb="FFF5A19A"/>
      </patternFill>
    </fill>
    <fill>
      <patternFill patternType="solid">
        <fgColor rgb="FFFFFBFB"/>
        <bgColor rgb="FFFFFBFB"/>
      </patternFill>
    </fill>
    <fill>
      <patternFill patternType="solid">
        <fgColor rgb="FFFEF4F3"/>
        <bgColor rgb="FFFEF4F3"/>
      </patternFill>
    </fill>
    <fill>
      <patternFill patternType="solid">
        <fgColor rgb="FFFFF8F7"/>
        <bgColor rgb="FFFFF8F7"/>
      </patternFill>
    </fill>
    <fill>
      <patternFill patternType="solid">
        <fgColor rgb="FFF38E85"/>
        <bgColor rgb="FFF38E85"/>
      </patternFill>
    </fill>
    <fill>
      <patternFill patternType="solid">
        <fgColor rgb="FFF8BCB7"/>
        <bgColor rgb="FFF8BCB7"/>
      </patternFill>
    </fill>
    <fill>
      <patternFill patternType="solid">
        <fgColor rgb="FFFDE6E4"/>
        <bgColor rgb="FFFDE6E4"/>
      </patternFill>
    </fill>
    <fill>
      <patternFill patternType="solid">
        <fgColor rgb="FFF8BAB5"/>
        <bgColor rgb="FFF8BAB5"/>
      </patternFill>
    </fill>
    <fill>
      <patternFill patternType="solid">
        <fgColor rgb="FFF6ACA6"/>
        <bgColor rgb="FFF6ACA6"/>
      </patternFill>
    </fill>
    <fill>
      <patternFill patternType="solid">
        <fgColor rgb="FFF8BEBA"/>
        <bgColor rgb="FFF8BEBA"/>
      </patternFill>
    </fill>
    <fill>
      <patternFill patternType="solid">
        <fgColor rgb="FFF2837A"/>
        <bgColor rgb="FFF2837A"/>
      </patternFill>
    </fill>
    <fill>
      <patternFill patternType="solid">
        <fgColor rgb="FFF2877F"/>
        <bgColor rgb="FFF2877F"/>
      </patternFill>
    </fill>
    <fill>
      <patternFill patternType="solid">
        <fgColor rgb="FFF9C4BF"/>
        <bgColor rgb="FFF9C4BF"/>
      </patternFill>
    </fill>
    <fill>
      <patternFill patternType="solid">
        <fgColor rgb="FFFDE9E7"/>
        <bgColor rgb="FFFDE9E7"/>
      </patternFill>
    </fill>
    <fill>
      <patternFill patternType="solid">
        <fgColor rgb="FFFBD5D2"/>
        <bgColor rgb="FFFBD5D2"/>
      </patternFill>
    </fill>
    <fill>
      <patternFill patternType="solid">
        <fgColor rgb="FFFEF5F4"/>
        <bgColor rgb="FFFEF5F4"/>
      </patternFill>
    </fill>
    <fill>
      <patternFill patternType="solid">
        <fgColor rgb="FFFDEBE9"/>
        <bgColor rgb="FFFDEBE9"/>
      </patternFill>
    </fill>
    <fill>
      <patternFill patternType="solid">
        <fgColor rgb="FFF7AFA9"/>
        <bgColor rgb="FFF7AFA9"/>
      </patternFill>
    </fill>
    <fill>
      <patternFill patternType="solid">
        <fgColor rgb="FFF6AFA9"/>
        <bgColor rgb="FFF6AFA9"/>
      </patternFill>
    </fill>
    <fill>
      <patternFill patternType="solid">
        <fgColor rgb="FFFCE1DF"/>
        <bgColor rgb="FFFCE1DF"/>
      </patternFill>
    </fill>
    <fill>
      <patternFill patternType="solid">
        <fgColor rgb="FFFACECA"/>
        <bgColor rgb="FFFACECA"/>
      </patternFill>
    </fill>
    <fill>
      <patternFill patternType="solid">
        <fgColor rgb="FFFACFCB"/>
        <bgColor rgb="FFFACFCB"/>
      </patternFill>
    </fill>
    <fill>
      <patternFill patternType="solid">
        <fgColor rgb="FFFBDAD7"/>
        <bgColor rgb="FFFBDAD7"/>
      </patternFill>
    </fill>
    <fill>
      <patternFill patternType="solid">
        <fgColor rgb="FFFBD6D3"/>
        <bgColor rgb="FFFBD6D3"/>
      </patternFill>
    </fill>
    <fill>
      <patternFill patternType="solid">
        <fgColor rgb="FFFCE2DF"/>
        <bgColor rgb="FFFCE2DF"/>
      </patternFill>
    </fill>
    <fill>
      <patternFill patternType="solid">
        <fgColor rgb="FFFAD2CE"/>
        <bgColor rgb="FFFAD2CE"/>
      </patternFill>
    </fill>
    <fill>
      <patternFill patternType="solid">
        <fgColor rgb="FFF9C9C5"/>
        <bgColor rgb="FFF9C9C5"/>
      </patternFill>
    </fill>
    <fill>
      <patternFill patternType="solid">
        <fgColor rgb="FFFDEBEA"/>
        <bgColor rgb="FFFDEBEA"/>
      </patternFill>
    </fill>
    <fill>
      <patternFill patternType="solid">
        <fgColor rgb="FFFFF8F8"/>
        <bgColor rgb="FFFFF8F8"/>
      </patternFill>
    </fill>
    <fill>
      <patternFill patternType="solid">
        <fgColor rgb="FFF9C8C4"/>
        <bgColor rgb="FFF9C8C4"/>
      </patternFill>
    </fill>
    <fill>
      <patternFill patternType="solid">
        <fgColor rgb="FFFCE0DE"/>
        <bgColor rgb="FFFCE0DE"/>
      </patternFill>
    </fill>
    <fill>
      <patternFill patternType="solid">
        <fgColor rgb="FFFEEEEC"/>
        <bgColor rgb="FFFEEEEC"/>
      </patternFill>
    </fill>
    <fill>
      <patternFill patternType="solid">
        <fgColor rgb="FFFCDFDD"/>
        <bgColor rgb="FFFCDFDD"/>
      </patternFill>
    </fill>
    <fill>
      <patternFill patternType="solid">
        <fgColor rgb="FFF0776D"/>
        <bgColor rgb="FFF0776D"/>
      </patternFill>
    </fill>
    <fill>
      <patternFill patternType="solid">
        <fgColor rgb="FFF7B6B0"/>
        <bgColor rgb="FFF7B6B0"/>
      </patternFill>
    </fill>
    <fill>
      <patternFill patternType="solid">
        <fgColor rgb="FFEE5F53"/>
        <bgColor rgb="FFEE5F53"/>
      </patternFill>
    </fill>
    <fill>
      <patternFill patternType="solid">
        <fgColor rgb="FFF17E74"/>
        <bgColor rgb="FFF17E74"/>
      </patternFill>
    </fill>
    <fill>
      <patternFill patternType="solid">
        <fgColor rgb="FFF6ABA5"/>
        <bgColor rgb="FFF6ABA5"/>
      </patternFill>
    </fill>
    <fill>
      <patternFill patternType="solid">
        <fgColor rgb="FFFACECB"/>
        <bgColor rgb="FFFACECB"/>
      </patternFill>
    </fill>
    <fill>
      <patternFill patternType="solid">
        <fgColor rgb="FFF5A29B"/>
        <bgColor rgb="FFF5A29B"/>
      </patternFill>
    </fill>
    <fill>
      <patternFill patternType="solid">
        <fgColor rgb="FFF6ADA7"/>
        <bgColor rgb="FFF6ADA7"/>
      </patternFill>
    </fill>
    <fill>
      <patternFill patternType="solid">
        <fgColor rgb="FFFFF7F7"/>
        <bgColor rgb="FFFFF7F7"/>
      </patternFill>
    </fill>
    <fill>
      <patternFill patternType="solid">
        <fgColor rgb="FFF7B3AD"/>
        <bgColor rgb="FFF7B3AD"/>
      </patternFill>
    </fill>
    <fill>
      <patternFill patternType="solid">
        <fgColor rgb="FFF49C95"/>
        <bgColor rgb="FFF49C95"/>
      </patternFill>
    </fill>
    <fill>
      <patternFill patternType="solid">
        <fgColor rgb="FFF6A8A1"/>
        <bgColor rgb="FFF6A8A1"/>
      </patternFill>
    </fill>
    <fill>
      <patternFill patternType="solid">
        <fgColor rgb="FFFBD7D4"/>
        <bgColor rgb="FFFBD7D4"/>
      </patternFill>
    </fill>
    <fill>
      <patternFill patternType="solid">
        <fgColor rgb="FFFCDFDC"/>
        <bgColor rgb="FFFCDFDC"/>
      </patternFill>
    </fill>
    <fill>
      <patternFill patternType="solid">
        <fgColor rgb="FFFBDAD8"/>
        <bgColor rgb="FFFBDAD8"/>
      </patternFill>
    </fill>
    <fill>
      <patternFill patternType="solid">
        <fgColor rgb="FFFEF3F2"/>
        <bgColor rgb="FFFEF3F2"/>
      </patternFill>
    </fill>
    <fill>
      <patternFill patternType="solid">
        <fgColor rgb="FFFCDCD9"/>
        <bgColor rgb="FFFCDCD9"/>
      </patternFill>
    </fill>
    <fill>
      <patternFill patternType="solid">
        <fgColor rgb="FFF9C8C3"/>
        <bgColor rgb="FFF9C8C3"/>
      </patternFill>
    </fill>
    <fill>
      <patternFill patternType="solid">
        <fgColor rgb="FFFCE5E3"/>
        <bgColor rgb="FFFCE5E3"/>
      </patternFill>
    </fill>
    <fill>
      <patternFill patternType="solid">
        <fgColor rgb="FFF5A49E"/>
        <bgColor rgb="FFF5A49E"/>
      </patternFill>
    </fill>
    <fill>
      <patternFill patternType="solid">
        <fgColor rgb="FFEF6A5F"/>
        <bgColor rgb="FFEF6A5F"/>
      </patternFill>
    </fill>
    <fill>
      <patternFill patternType="solid">
        <fgColor rgb="FFFDE8E6"/>
        <bgColor rgb="FFFDE8E6"/>
      </patternFill>
    </fill>
    <fill>
      <patternFill patternType="solid">
        <fgColor rgb="FFFCE0DD"/>
        <bgColor rgb="FFFCE0DD"/>
      </patternFill>
    </fill>
    <fill>
      <patternFill patternType="solid">
        <fgColor rgb="FFF5A39C"/>
        <bgColor rgb="FFF5A39C"/>
      </patternFill>
    </fill>
    <fill>
      <patternFill patternType="solid">
        <fgColor rgb="FFFCDDDB"/>
        <bgColor rgb="FFFCDDDB"/>
      </patternFill>
    </fill>
    <fill>
      <patternFill patternType="solid">
        <fgColor rgb="FFF8C1BC"/>
        <bgColor rgb="FFF8C1BC"/>
      </patternFill>
    </fill>
    <fill>
      <patternFill patternType="solid">
        <fgColor rgb="FFF6AEA8"/>
        <bgColor rgb="FFF6AEA8"/>
      </patternFill>
    </fill>
    <fill>
      <patternFill patternType="solid">
        <fgColor rgb="FFFFFEFD"/>
        <bgColor rgb="FFFFFEFD"/>
      </patternFill>
    </fill>
    <fill>
      <patternFill patternType="solid">
        <fgColor rgb="FFF7B7B1"/>
        <bgColor rgb="FFF7B7B1"/>
      </patternFill>
    </fill>
    <fill>
      <patternFill patternType="solid">
        <fgColor rgb="FFFAD2CF"/>
        <bgColor rgb="FFFAD2CF"/>
      </patternFill>
    </fill>
    <fill>
      <patternFill patternType="solid">
        <fgColor rgb="FFFDE7E5"/>
        <bgColor rgb="FFFDE7E5"/>
      </patternFill>
    </fill>
    <fill>
      <patternFill patternType="solid">
        <fgColor rgb="FFFACCC9"/>
        <bgColor rgb="FFFACCC9"/>
      </patternFill>
    </fill>
    <fill>
      <patternFill patternType="solid">
        <fgColor rgb="FFF6A8A2"/>
        <bgColor rgb="FFF6A8A2"/>
      </patternFill>
    </fill>
    <fill>
      <patternFill patternType="solid">
        <fgColor rgb="FFF9C2BD"/>
        <bgColor rgb="FFF9C2BD"/>
      </patternFill>
    </fill>
    <fill>
      <patternFill patternType="solid">
        <fgColor rgb="FFF9C4C0"/>
        <bgColor rgb="FFF9C4C0"/>
      </patternFill>
    </fill>
    <fill>
      <patternFill patternType="solid">
        <fgColor rgb="FFF7B3AE"/>
        <bgColor rgb="FFF7B3AE"/>
      </patternFill>
    </fill>
    <fill>
      <patternFill patternType="solid">
        <fgColor rgb="FFFFFCFC"/>
        <bgColor rgb="FFFFFCFC"/>
      </patternFill>
    </fill>
    <fill>
      <patternFill patternType="solid">
        <fgColor rgb="FFF5A099"/>
        <bgColor rgb="FFF5A099"/>
      </patternFill>
    </fill>
    <fill>
      <patternFill patternType="solid">
        <fgColor rgb="FFFEF2F1"/>
        <bgColor rgb="FFFEF2F1"/>
      </patternFill>
    </fill>
    <fill>
      <patternFill patternType="solid">
        <fgColor rgb="FFF7B4AF"/>
        <bgColor rgb="FFF7B4AF"/>
      </patternFill>
    </fill>
    <fill>
      <patternFill patternType="solid">
        <fgColor rgb="FFF9C6C2"/>
        <bgColor rgb="FFF9C6C2"/>
      </patternFill>
    </fill>
    <fill>
      <patternFill patternType="solid">
        <fgColor rgb="FFF6A9A2"/>
        <bgColor rgb="FFF6A9A2"/>
      </patternFill>
    </fill>
    <fill>
      <patternFill patternType="solid">
        <fgColor rgb="FFF38F87"/>
        <bgColor rgb="FFF38F87"/>
      </patternFill>
    </fill>
    <fill>
      <patternFill patternType="solid">
        <fgColor rgb="FFFDE8E7"/>
        <bgColor rgb="FFFDE8E7"/>
      </patternFill>
    </fill>
    <fill>
      <patternFill patternType="solid">
        <fgColor rgb="FFFDEDEC"/>
        <bgColor rgb="FFFDEDEC"/>
      </patternFill>
    </fill>
    <fill>
      <patternFill patternType="solid">
        <fgColor rgb="FFF0766B"/>
        <bgColor rgb="FFF0766B"/>
      </patternFill>
    </fill>
    <fill>
      <patternFill patternType="solid">
        <fgColor rgb="FFFBE6E4"/>
        <bgColor rgb="FFFBE6E4"/>
      </patternFill>
    </fill>
    <fill>
      <patternFill patternType="solid">
        <fgColor rgb="FFFAE1DF"/>
        <bgColor rgb="FFFAE1DF"/>
      </patternFill>
    </fill>
    <fill>
      <patternFill patternType="solid">
        <fgColor rgb="FFFDF3F2"/>
        <bgColor rgb="FFFDF3F2"/>
      </patternFill>
    </fill>
    <fill>
      <patternFill patternType="solid">
        <fgColor rgb="FFF0ADA7"/>
        <bgColor rgb="FFF0ADA7"/>
      </patternFill>
    </fill>
    <fill>
      <patternFill patternType="solid">
        <fgColor rgb="FFF5CBC7"/>
        <bgColor rgb="FFF5CBC7"/>
      </patternFill>
    </fill>
    <fill>
      <patternFill patternType="solid">
        <fgColor rgb="FFE98880"/>
        <bgColor rgb="FFE98880"/>
      </patternFill>
    </fill>
    <fill>
      <patternFill patternType="solid">
        <fgColor rgb="FFEC9992"/>
        <bgColor rgb="FFEC9992"/>
      </patternFill>
    </fill>
    <fill>
      <patternFill patternType="solid">
        <fgColor rgb="FFF38C83"/>
        <bgColor rgb="FFF38C83"/>
      </patternFill>
    </fill>
    <fill>
      <patternFill patternType="solid">
        <fgColor rgb="FFF8D7D4"/>
        <bgColor rgb="FFF8D7D4"/>
      </patternFill>
    </fill>
    <fill>
      <patternFill patternType="solid">
        <fgColor rgb="FFF8D6D3"/>
        <bgColor rgb="FFF8D6D3"/>
      </patternFill>
    </fill>
    <fill>
      <patternFill patternType="solid">
        <fgColor rgb="FFF9C7C3"/>
        <bgColor rgb="FFF9C7C3"/>
      </patternFill>
    </fill>
    <fill>
      <patternFill patternType="solid">
        <fgColor rgb="FFF6CDC9"/>
        <bgColor rgb="FFF6CDC9"/>
      </patternFill>
    </fill>
    <fill>
      <patternFill patternType="solid">
        <fgColor rgb="FFED9F99"/>
        <bgColor rgb="FFED9F99"/>
      </patternFill>
    </fill>
    <fill>
      <patternFill patternType="solid">
        <fgColor rgb="FFB6D7A8"/>
        <bgColor rgb="FFB6D7A8"/>
      </patternFill>
    </fill>
    <fill>
      <patternFill patternType="solid">
        <fgColor rgb="FFED574A"/>
        <bgColor rgb="FFED574A"/>
      </patternFill>
    </fill>
    <fill>
      <patternFill patternType="solid">
        <fgColor rgb="FFFAE2E0"/>
        <bgColor rgb="FFFAE2E0"/>
      </patternFill>
    </fill>
    <fill>
      <patternFill patternType="solid">
        <fgColor rgb="FFF6AAA4"/>
        <bgColor rgb="FFF6AAA4"/>
      </patternFill>
    </fill>
    <fill>
      <patternFill patternType="solid">
        <fgColor rgb="FFF7D5D2"/>
        <bgColor rgb="FFF7D5D2"/>
      </patternFill>
    </fill>
    <fill>
      <patternFill patternType="solid">
        <fgColor rgb="FFFEF9F8"/>
        <bgColor rgb="FFFEF9F8"/>
      </patternFill>
    </fill>
    <fill>
      <patternFill patternType="solid">
        <fgColor rgb="FFF7B6B1"/>
        <bgColor rgb="FFF7B6B1"/>
      </patternFill>
    </fill>
    <fill>
      <patternFill patternType="solid">
        <fgColor rgb="FFF7B2AC"/>
        <bgColor rgb="FFF7B2AC"/>
      </patternFill>
    </fill>
    <fill>
      <patternFill patternType="solid">
        <fgColor rgb="FFFEEFEE"/>
        <bgColor rgb="FFFEEFEE"/>
      </patternFill>
    </fill>
    <fill>
      <patternFill patternType="solid">
        <fgColor rgb="FFF8DAD8"/>
        <bgColor rgb="FFF8DAD8"/>
      </patternFill>
    </fill>
    <fill>
      <patternFill patternType="solid">
        <fgColor rgb="FFF9DBD9"/>
        <bgColor rgb="FFF9DBD9"/>
      </patternFill>
    </fill>
    <fill>
      <patternFill patternType="solid">
        <fgColor rgb="FFF38E86"/>
        <bgColor rgb="FFF38E86"/>
      </patternFill>
    </fill>
    <fill>
      <patternFill patternType="solid">
        <fgColor rgb="FFFCDEDC"/>
        <bgColor rgb="FFFCDEDC"/>
      </patternFill>
    </fill>
    <fill>
      <patternFill patternType="solid">
        <fgColor rgb="FFFDEAE8"/>
        <bgColor rgb="FFFDEAE8"/>
      </patternFill>
    </fill>
    <fill>
      <patternFill patternType="solid">
        <fgColor rgb="FFFCDDDA"/>
        <bgColor rgb="FFFCDDDA"/>
      </patternFill>
    </fill>
    <fill>
      <patternFill patternType="solid">
        <fgColor rgb="FFFCE4E2"/>
        <bgColor rgb="FFFCE4E2"/>
      </patternFill>
    </fill>
    <fill>
      <patternFill patternType="solid">
        <fgColor rgb="FFFFFCFB"/>
        <bgColor rgb="FFFFFCFB"/>
      </patternFill>
    </fill>
    <fill>
      <patternFill patternType="solid">
        <fgColor rgb="FFF9DEDB"/>
        <bgColor rgb="FFF9DEDB"/>
      </patternFill>
    </fill>
    <fill>
      <patternFill patternType="solid">
        <fgColor rgb="FFF7B0AA"/>
        <bgColor rgb="FFF7B0AA"/>
      </patternFill>
    </fill>
    <fill>
      <patternFill patternType="solid">
        <fgColor rgb="FFF6CDCA"/>
        <bgColor rgb="FFF6CDCA"/>
      </patternFill>
    </fill>
    <fill>
      <patternFill patternType="solid">
        <fgColor rgb="FFFCEEED"/>
        <bgColor rgb="FFFCEEED"/>
      </patternFill>
    </fill>
    <fill>
      <patternFill patternType="solid">
        <fgColor rgb="FFFCE3E1"/>
        <bgColor rgb="FFFCE3E1"/>
      </patternFill>
    </fill>
    <fill>
      <patternFill patternType="solid">
        <fgColor rgb="FFFBD9D6"/>
        <bgColor rgb="FFFBD9D6"/>
      </patternFill>
    </fill>
    <fill>
      <patternFill patternType="solid">
        <fgColor rgb="FFEE665A"/>
        <bgColor rgb="FFEE665A"/>
      </patternFill>
    </fill>
    <fill>
      <patternFill patternType="solid">
        <fgColor rgb="FFF5A59E"/>
        <bgColor rgb="FFF5A59E"/>
      </patternFill>
    </fill>
    <fill>
      <patternFill patternType="solid">
        <fgColor rgb="FFF17D73"/>
        <bgColor rgb="FFF17D73"/>
      </patternFill>
    </fill>
    <fill>
      <patternFill patternType="solid">
        <fgColor rgb="FFEE6054"/>
        <bgColor rgb="FFEE6054"/>
      </patternFill>
    </fill>
    <fill>
      <patternFill patternType="solid">
        <fgColor rgb="FFF5A69F"/>
        <bgColor rgb="FFF5A69F"/>
      </patternFill>
    </fill>
    <fill>
      <patternFill patternType="solid">
        <fgColor rgb="FFFACDC9"/>
        <bgColor rgb="FFFACDC9"/>
      </patternFill>
    </fill>
    <fill>
      <patternFill patternType="solid">
        <fgColor rgb="FFF49B94"/>
        <bgColor rgb="FFF49B94"/>
      </patternFill>
    </fill>
    <fill>
      <patternFill patternType="solid">
        <fgColor rgb="FFF49991"/>
        <bgColor rgb="FFF49991"/>
      </patternFill>
    </fill>
    <fill>
      <patternFill patternType="solid">
        <fgColor rgb="FFEF6D62"/>
        <bgColor rgb="FFEF6D62"/>
      </patternFill>
    </fill>
    <fill>
      <patternFill patternType="solid">
        <fgColor rgb="FFFEF0EF"/>
        <bgColor rgb="FFFEF0EF"/>
      </patternFill>
    </fill>
    <fill>
      <patternFill patternType="solid">
        <fgColor rgb="FFFEEEED"/>
        <bgColor rgb="FFFEEEED"/>
      </patternFill>
    </fill>
    <fill>
      <patternFill patternType="solid">
        <fgColor rgb="FFF8BFBA"/>
        <bgColor rgb="FFF8BFBA"/>
      </patternFill>
    </fill>
    <fill>
      <patternFill patternType="solid">
        <fgColor rgb="FFF7B7B2"/>
        <bgColor rgb="FFF7B7B2"/>
      </patternFill>
    </fill>
    <fill>
      <patternFill patternType="solid">
        <fgColor rgb="FFFEF1F0"/>
        <bgColor rgb="FFFEF1F0"/>
      </patternFill>
    </fill>
    <fill>
      <patternFill patternType="solid">
        <fgColor rgb="FFEF6C61"/>
        <bgColor rgb="FFEF6C61"/>
      </patternFill>
    </fill>
    <fill>
      <patternFill patternType="solid">
        <fgColor rgb="FFF9C3BE"/>
        <bgColor rgb="FFF9C3BE"/>
      </patternFill>
    </fill>
    <fill>
      <patternFill patternType="solid">
        <fgColor rgb="FFF38D84"/>
        <bgColor rgb="FFF38D84"/>
      </patternFill>
    </fill>
    <fill>
      <patternFill patternType="solid">
        <fgColor rgb="FFEB473A"/>
        <bgColor rgb="FFEB473A"/>
      </patternFill>
    </fill>
    <fill>
      <patternFill patternType="solid">
        <fgColor rgb="FFF8BFBB"/>
        <bgColor rgb="FFF8BFBB"/>
      </patternFill>
    </fill>
    <fill>
      <patternFill patternType="solid">
        <fgColor rgb="FFF0756B"/>
        <bgColor rgb="FFF0756B"/>
      </patternFill>
    </fill>
    <fill>
      <patternFill patternType="solid">
        <fgColor rgb="FFF1B8B8"/>
        <bgColor rgb="FFF1B8B8"/>
      </patternFill>
    </fill>
    <fill>
      <patternFill patternType="solid">
        <fgColor rgb="FFFAE6E6"/>
        <bgColor rgb="FFFAE6E6"/>
      </patternFill>
    </fill>
    <fill>
      <patternFill patternType="solid">
        <fgColor rgb="FFFCEEEC"/>
        <bgColor rgb="FFFCEEEC"/>
      </patternFill>
    </fill>
    <fill>
      <patternFill patternType="solid">
        <fgColor rgb="FFF4C9C9"/>
        <bgColor rgb="FFF4C9C9"/>
      </patternFill>
    </fill>
    <fill>
      <patternFill patternType="solid">
        <fgColor rgb="FFFDF4F4"/>
        <bgColor rgb="FFFDF4F4"/>
      </patternFill>
    </fill>
    <fill>
      <patternFill patternType="solid">
        <fgColor rgb="FFEEACAC"/>
        <bgColor rgb="FFEEACAC"/>
      </patternFill>
    </fill>
    <fill>
      <patternFill patternType="solid">
        <fgColor rgb="FFFF0000"/>
        <bgColor rgb="FFFF0000"/>
      </patternFill>
    </fill>
    <fill>
      <patternFill patternType="solid">
        <fgColor rgb="FFFCEEEE"/>
        <bgColor rgb="FFFCEEEE"/>
      </patternFill>
    </fill>
    <fill>
      <patternFill patternType="solid">
        <fgColor rgb="FFFCEDED"/>
        <bgColor rgb="FFFCEDED"/>
      </patternFill>
    </fill>
    <fill>
      <patternFill patternType="solid">
        <fgColor rgb="FFEFB0B0"/>
        <bgColor rgb="FFEFB0B0"/>
      </patternFill>
    </fill>
    <fill>
      <patternFill patternType="solid">
        <fgColor rgb="FFFCECEB"/>
        <bgColor rgb="FFFCECEB"/>
      </patternFill>
    </fill>
    <fill>
      <patternFill patternType="solid">
        <fgColor rgb="FFF1B4AF"/>
        <bgColor rgb="FFF1B4AF"/>
      </patternFill>
    </fill>
    <fill>
      <patternFill patternType="solid">
        <fgColor rgb="FFF5C9C5"/>
        <bgColor rgb="FFF5C9C5"/>
      </patternFill>
    </fill>
    <fill>
      <patternFill patternType="solid">
        <fgColor rgb="FFF7D4D4"/>
        <bgColor rgb="FFF7D4D4"/>
      </patternFill>
    </fill>
    <fill>
      <patternFill patternType="solid">
        <fgColor rgb="FFF9DFDF"/>
        <bgColor rgb="FFF9DFDF"/>
      </patternFill>
    </fill>
    <fill>
      <patternFill patternType="solid">
        <fgColor rgb="FFFDF0EF"/>
        <bgColor rgb="FFFDF0EF"/>
      </patternFill>
    </fill>
    <fill>
      <patternFill patternType="solid">
        <fgColor rgb="FFF3C3C3"/>
        <bgColor rgb="FFF3C3C3"/>
      </patternFill>
    </fill>
    <fill>
      <patternFill patternType="solid">
        <fgColor rgb="FFFFE599"/>
        <bgColor rgb="FFFFE599"/>
      </patternFill>
    </fill>
    <fill>
      <patternFill patternType="solid">
        <fgColor rgb="FFED5D51"/>
        <bgColor rgb="FFED5D51"/>
      </patternFill>
    </fill>
    <fill>
      <patternFill patternType="solid">
        <fgColor rgb="FFF7B1AB"/>
        <bgColor rgb="FFF7B1AB"/>
      </patternFill>
    </fill>
    <fill>
      <patternFill patternType="solid">
        <fgColor rgb="FFF17F76"/>
        <bgColor rgb="FFF17F76"/>
      </patternFill>
    </fill>
    <fill>
      <patternFill patternType="solid">
        <fgColor rgb="FF93C47D"/>
        <bgColor rgb="FF93C47D"/>
      </patternFill>
    </fill>
    <fill>
      <patternFill patternType="solid">
        <fgColor rgb="FFC8E2BD"/>
        <bgColor rgb="FFC8E2BD"/>
      </patternFill>
    </fill>
    <fill>
      <patternFill patternType="solid">
        <fgColor rgb="FFF49D95"/>
        <bgColor rgb="FFF49D95"/>
      </patternFill>
    </fill>
    <fill>
      <patternFill patternType="solid">
        <fgColor rgb="FFFDEDEB"/>
        <bgColor rgb="FFFDEDEB"/>
      </patternFill>
    </fill>
    <fill>
      <patternFill patternType="solid">
        <fgColor rgb="FFF07066"/>
        <bgColor rgb="FFF07066"/>
      </patternFill>
    </fill>
    <fill>
      <patternFill patternType="solid">
        <fgColor rgb="FFF18278"/>
        <bgColor rgb="FFF18278"/>
      </patternFill>
    </fill>
    <fill>
      <patternFill patternType="solid">
        <fgColor rgb="FFEC5346"/>
        <bgColor rgb="FFEC5346"/>
      </patternFill>
    </fill>
    <fill>
      <patternFill patternType="solid">
        <fgColor rgb="FFEB4639"/>
        <bgColor rgb="FFEB4639"/>
      </patternFill>
    </fill>
    <fill>
      <patternFill patternType="solid">
        <fgColor rgb="FFF1EDD8"/>
        <bgColor rgb="FFF1EDD8"/>
      </patternFill>
    </fill>
    <fill>
      <patternFill patternType="solid">
        <fgColor rgb="FFF4968E"/>
        <bgColor rgb="FFF4968E"/>
      </patternFill>
    </fill>
    <fill>
      <patternFill patternType="solid">
        <fgColor rgb="FFF0766C"/>
        <bgColor rgb="FFF0766C"/>
      </patternFill>
    </fill>
    <fill>
      <patternFill patternType="solid">
        <fgColor rgb="FFF8C0BC"/>
        <bgColor rgb="FFF8C0BC"/>
      </patternFill>
    </fill>
    <fill>
      <patternFill patternType="solid">
        <fgColor rgb="FFFCE1DE"/>
        <bgColor rgb="FFFCE1DE"/>
      </patternFill>
    </fill>
    <fill>
      <patternFill patternType="solid">
        <fgColor rgb="FFFBD9D7"/>
        <bgColor rgb="FFFBD9D7"/>
      </patternFill>
    </fill>
    <fill>
      <patternFill patternType="solid">
        <fgColor rgb="FFEB4A3C"/>
        <bgColor rgb="FFEB4A3C"/>
      </patternFill>
    </fill>
    <fill>
      <patternFill patternType="solid">
        <fgColor rgb="FFF9C2BE"/>
        <bgColor rgb="FFF9C2BE"/>
      </patternFill>
    </fill>
    <fill>
      <patternFill patternType="solid">
        <fgColor rgb="FFF49C94"/>
        <bgColor rgb="FFF49C94"/>
      </patternFill>
    </fill>
    <fill>
      <patternFill patternType="solid">
        <fgColor rgb="FFFBD3D0"/>
        <bgColor rgb="FFFBD3D0"/>
      </patternFill>
    </fill>
    <fill>
      <patternFill patternType="solid">
        <fgColor rgb="FFF5A098"/>
        <bgColor rgb="FFF5A098"/>
      </patternFill>
    </fill>
    <fill>
      <patternFill patternType="solid">
        <fgColor rgb="FFEE675C"/>
        <bgColor rgb="FFEE675C"/>
      </patternFill>
    </fill>
    <fill>
      <patternFill patternType="solid">
        <fgColor rgb="FFF8B9B3"/>
        <bgColor rgb="FFF8B9B3"/>
      </patternFill>
    </fill>
    <fill>
      <patternFill patternType="solid">
        <fgColor rgb="FFF39087"/>
        <bgColor rgb="FFF39087"/>
      </patternFill>
    </fill>
    <fill>
      <patternFill patternType="solid">
        <fgColor rgb="FFF8B8B3"/>
        <bgColor rgb="FFF8B8B3"/>
      </patternFill>
    </fill>
    <fill>
      <patternFill patternType="solid">
        <fgColor rgb="FFEB483B"/>
        <bgColor rgb="FFEB483B"/>
      </patternFill>
    </fill>
    <fill>
      <patternFill patternType="solid">
        <fgColor rgb="FFF8BBB5"/>
        <bgColor rgb="FFF8BBB5"/>
      </patternFill>
    </fill>
    <fill>
      <patternFill patternType="solid">
        <fgColor rgb="FFF59E97"/>
        <bgColor rgb="FFF59E97"/>
      </patternFill>
    </fill>
    <fill>
      <patternFill patternType="solid">
        <fgColor rgb="FFF6AAA3"/>
        <bgColor rgb="FFF6AAA3"/>
      </patternFill>
    </fill>
    <fill>
      <patternFill patternType="solid">
        <fgColor rgb="FFFFF9F9"/>
        <bgColor rgb="FFFFF9F9"/>
      </patternFill>
    </fill>
    <fill>
      <patternFill patternType="solid">
        <fgColor rgb="FFFEF6F6"/>
        <bgColor rgb="FFFEF6F6"/>
      </patternFill>
    </fill>
    <fill>
      <patternFill patternType="solid">
        <fgColor rgb="FFF2847B"/>
        <bgColor rgb="FFF2847B"/>
      </patternFill>
    </fill>
    <fill>
      <patternFill patternType="solid">
        <fgColor rgb="FFFBDCD9"/>
        <bgColor rgb="FFFBDCD9"/>
      </patternFill>
    </fill>
    <fill>
      <patternFill patternType="solid">
        <fgColor rgb="FFFBD4D0"/>
        <bgColor rgb="FFFBD4D0"/>
      </patternFill>
    </fill>
    <fill>
      <patternFill patternType="solid">
        <fgColor rgb="FFF9C9C4"/>
        <bgColor rgb="FFF9C9C4"/>
      </patternFill>
    </fill>
    <fill>
      <patternFill patternType="solid">
        <fgColor rgb="FFFDE9E8"/>
        <bgColor rgb="FFFDE9E8"/>
      </patternFill>
    </fill>
    <fill>
      <patternFill patternType="solid">
        <fgColor rgb="FFEB4739"/>
        <bgColor rgb="FFEB4739"/>
      </patternFill>
    </fill>
    <fill>
      <patternFill patternType="solid">
        <fgColor rgb="FFFFFFFE"/>
        <bgColor rgb="FFFFFFFE"/>
      </patternFill>
    </fill>
    <fill>
      <patternFill patternType="solid">
        <fgColor rgb="FFED574B"/>
        <bgColor rgb="FFED574B"/>
      </patternFill>
    </fill>
    <fill>
      <patternFill patternType="solid">
        <fgColor rgb="FFF17E75"/>
        <bgColor rgb="FFF17E75"/>
      </patternFill>
    </fill>
    <fill>
      <patternFill patternType="solid">
        <fgColor rgb="FFFFFAF9"/>
        <bgColor rgb="FFFFFAF9"/>
      </patternFill>
    </fill>
    <fill>
      <patternFill patternType="solid">
        <fgColor rgb="FFFBD4D1"/>
        <bgColor rgb="FFFBD4D1"/>
      </patternFill>
    </fill>
    <fill>
      <patternFill patternType="solid">
        <fgColor rgb="FFFDE6E5"/>
        <bgColor rgb="FFFDE6E5"/>
      </patternFill>
    </fill>
    <fill>
      <patternFill patternType="solid">
        <fgColor rgb="FFFBDBD9"/>
        <bgColor rgb="FFFBDBD9"/>
      </patternFill>
    </fill>
    <fill>
      <patternFill patternType="solid">
        <fgColor rgb="FFEE6257"/>
        <bgColor rgb="FFEE6257"/>
      </patternFill>
    </fill>
    <fill>
      <patternFill patternType="solid">
        <fgColor rgb="FFFAD3CF"/>
        <bgColor rgb="FFFAD3CF"/>
      </patternFill>
    </fill>
    <fill>
      <patternFill patternType="solid">
        <fgColor rgb="FFFEF5F5"/>
        <bgColor rgb="FFFEF5F5"/>
      </patternFill>
    </fill>
    <fill>
      <patternFill patternType="solid">
        <fgColor rgb="FFFAD1CE"/>
        <bgColor rgb="FFFAD1CE"/>
      </patternFill>
    </fill>
    <fill>
      <patternFill patternType="solid">
        <fgColor rgb="FFEF6F65"/>
        <bgColor rgb="FFEF6F65"/>
      </patternFill>
    </fill>
    <fill>
      <patternFill patternType="solid">
        <fgColor rgb="FFF39289"/>
        <bgColor rgb="FFF39289"/>
      </patternFill>
    </fill>
    <fill>
      <patternFill patternType="solid">
        <fgColor rgb="FFF6ABA4"/>
        <bgColor rgb="FFF6ABA4"/>
      </patternFill>
    </fill>
    <fill>
      <patternFill patternType="solid">
        <fgColor rgb="FFF6A9A3"/>
        <bgColor rgb="FFF6A9A3"/>
      </patternFill>
    </fill>
    <fill>
      <patternFill patternType="solid">
        <fgColor rgb="FFF07368"/>
        <bgColor rgb="FFF07368"/>
      </patternFill>
    </fill>
    <fill>
      <patternFill patternType="solid">
        <fgColor rgb="FFEE6155"/>
        <bgColor rgb="FFEE6155"/>
      </patternFill>
    </fill>
    <fill>
      <patternFill patternType="solid">
        <fgColor rgb="FFF0786E"/>
        <bgColor rgb="FFF0786E"/>
      </patternFill>
    </fill>
    <fill>
      <patternFill patternType="solid">
        <fgColor rgb="FFF8BAB4"/>
        <bgColor rgb="FFF8BAB4"/>
      </patternFill>
    </fill>
    <fill>
      <patternFill patternType="solid">
        <fgColor rgb="FFFCDCDA"/>
        <bgColor rgb="FFFCDCDA"/>
      </patternFill>
    </fill>
    <fill>
      <patternFill patternType="solid">
        <fgColor rgb="FFF28981"/>
        <bgColor rgb="FFF28981"/>
      </patternFill>
    </fill>
    <fill>
      <patternFill patternType="solid">
        <fgColor rgb="FFF9C6C1"/>
        <bgColor rgb="FFF9C6C1"/>
      </patternFill>
    </fill>
    <fill>
      <patternFill patternType="solid">
        <fgColor rgb="FFFFFBFA"/>
        <bgColor rgb="FFFFFBFA"/>
      </patternFill>
    </fill>
    <fill>
      <patternFill patternType="solid">
        <fgColor rgb="FFF28379"/>
        <bgColor rgb="FFF28379"/>
      </patternFill>
    </fill>
    <fill>
      <patternFill patternType="solid">
        <fgColor rgb="FFFDF3F3"/>
        <bgColor rgb="FFFDF3F3"/>
      </patternFill>
    </fill>
    <fill>
      <patternFill patternType="solid">
        <fgColor rgb="FFF28279"/>
        <bgColor rgb="FFF28279"/>
      </patternFill>
    </fill>
    <fill>
      <patternFill patternType="solid">
        <fgColor rgb="FFF6D1D1"/>
        <bgColor rgb="FFF6D1D1"/>
      </patternFill>
    </fill>
    <fill>
      <patternFill patternType="solid">
        <fgColor rgb="FFFDF2F2"/>
        <bgColor rgb="FFFDF2F2"/>
      </patternFill>
    </fill>
    <fill>
      <patternFill patternType="solid">
        <fgColor rgb="FFF3C2C2"/>
        <bgColor rgb="FFF3C2C2"/>
      </patternFill>
    </fill>
    <fill>
      <patternFill patternType="solid">
        <fgColor rgb="FFF6A7A0"/>
        <bgColor rgb="FFF6A7A0"/>
      </patternFill>
    </fill>
    <fill>
      <patternFill patternType="solid">
        <fgColor rgb="FFF7B5AF"/>
        <bgColor rgb="FFF7B5AF"/>
      </patternFill>
    </fill>
    <fill>
      <patternFill patternType="solid">
        <fgColor rgb="FFF9C5C0"/>
        <bgColor rgb="FFF9C5C0"/>
      </patternFill>
    </fill>
    <fill>
      <patternFill patternType="solid">
        <fgColor rgb="FFF5CECE"/>
        <bgColor rgb="FFF5CECE"/>
      </patternFill>
    </fill>
    <fill>
      <patternFill patternType="solid">
        <fgColor rgb="FFF8DBDB"/>
        <bgColor rgb="FFF8DBDB"/>
      </patternFill>
    </fill>
    <fill>
      <patternFill patternType="solid">
        <fgColor rgb="FFFBE9E9"/>
        <bgColor rgb="FFFBE9E9"/>
      </patternFill>
    </fill>
    <fill>
      <patternFill patternType="solid">
        <fgColor rgb="FFFEFAFA"/>
        <bgColor rgb="FFFEFAFA"/>
      </patternFill>
    </fill>
    <fill>
      <patternFill patternType="solid">
        <fgColor rgb="FFF6D2D2"/>
        <bgColor rgb="FFF6D2D2"/>
      </patternFill>
    </fill>
    <fill>
      <patternFill patternType="solid">
        <fgColor rgb="FFF8D9D6"/>
        <bgColor rgb="FFF8D9D6"/>
      </patternFill>
    </fill>
    <fill>
      <patternFill patternType="solid">
        <fgColor rgb="FFF5C9C6"/>
        <bgColor rgb="FFF5C9C6"/>
      </patternFill>
    </fill>
    <fill>
      <patternFill patternType="solid">
        <fgColor rgb="FFFBEAEA"/>
        <bgColor rgb="FFFBEAEA"/>
      </patternFill>
    </fill>
    <fill>
      <patternFill patternType="solid">
        <fgColor rgb="FFFAE4E4"/>
        <bgColor rgb="FFFAE4E4"/>
      </patternFill>
    </fill>
    <fill>
      <patternFill patternType="solid">
        <fgColor rgb="FFFCF0EE"/>
        <bgColor rgb="FFFCF0EE"/>
      </patternFill>
    </fill>
    <fill>
      <patternFill patternType="solid">
        <fgColor rgb="FFF9DEDC"/>
        <bgColor rgb="FFF9DEDC"/>
      </patternFill>
    </fill>
    <fill>
      <patternFill patternType="solid">
        <fgColor rgb="FFFAE4E3"/>
        <bgColor rgb="FFFAE4E3"/>
      </patternFill>
    </fill>
    <fill>
      <patternFill patternType="solid">
        <fgColor rgb="FFF2BFBF"/>
        <bgColor rgb="FFF2BFBF"/>
      </patternFill>
    </fill>
    <fill>
      <patternFill patternType="solid">
        <fgColor rgb="FFF2BBB7"/>
        <bgColor rgb="FFF2BBB7"/>
      </patternFill>
    </fill>
    <fill>
      <patternFill patternType="solid">
        <fgColor rgb="FFFBEBEB"/>
        <bgColor rgb="FFFBEBEB"/>
      </patternFill>
    </fill>
    <fill>
      <patternFill patternType="solid">
        <fgColor rgb="FFEC9891"/>
        <bgColor rgb="FFEC9891"/>
      </patternFill>
    </fill>
    <fill>
      <patternFill patternType="solid">
        <fgColor rgb="FFFEF7F6"/>
        <bgColor rgb="FFFEF7F6"/>
      </patternFill>
    </fill>
    <fill>
      <patternFill patternType="solid">
        <fgColor rgb="FFF1BBBB"/>
        <bgColor rgb="FFF1BBBB"/>
      </patternFill>
    </fill>
    <fill>
      <patternFill patternType="solid">
        <fgColor rgb="FFF7D6D6"/>
        <bgColor rgb="FFF7D6D6"/>
      </patternFill>
    </fill>
    <fill>
      <patternFill patternType="solid">
        <fgColor rgb="FFF9DBD8"/>
        <bgColor rgb="FFF9DBD8"/>
      </patternFill>
    </fill>
    <fill>
      <patternFill patternType="solid">
        <fgColor rgb="FFFDF2F1"/>
        <bgColor rgb="FFFDF2F1"/>
      </patternFill>
    </fill>
    <fill>
      <patternFill patternType="solid">
        <fgColor rgb="FFFEF9F9"/>
        <bgColor rgb="FFFEF9F9"/>
      </patternFill>
    </fill>
    <fill>
      <patternFill patternType="solid">
        <fgColor rgb="FFF0B4B4"/>
        <bgColor rgb="FFF0B4B4"/>
      </patternFill>
    </fill>
    <fill>
      <patternFill patternType="solid">
        <fgColor rgb="FFEF6E64"/>
        <bgColor rgb="FFEF6E64"/>
      </patternFill>
    </fill>
    <fill>
      <patternFill patternType="solid">
        <fgColor rgb="FFF49A92"/>
        <bgColor rgb="FFF49A92"/>
      </patternFill>
    </fill>
    <fill>
      <patternFill patternType="solid">
        <fgColor rgb="FFF5A59F"/>
        <bgColor rgb="FFF5A59F"/>
      </patternFill>
    </fill>
    <fill>
      <patternFill patternType="solid">
        <fgColor rgb="FFED594C"/>
        <bgColor rgb="FFED594C"/>
      </patternFill>
    </fill>
    <fill>
      <patternFill patternType="solid">
        <fgColor rgb="FFF7D4D1"/>
        <bgColor rgb="FFF7D4D1"/>
      </patternFill>
    </fill>
    <fill>
      <patternFill patternType="solid">
        <fgColor rgb="FFF7F1CD"/>
        <bgColor rgb="FFF7F1CD"/>
      </patternFill>
    </fill>
    <fill>
      <patternFill patternType="solid">
        <fgColor rgb="FFF6F0CD"/>
        <bgColor rgb="FFF6F0CD"/>
      </patternFill>
    </fill>
    <fill>
      <patternFill patternType="solid">
        <fgColor rgb="FFF2B8B3"/>
        <bgColor rgb="FFF2B8B3"/>
      </patternFill>
    </fill>
    <fill>
      <patternFill patternType="solid">
        <fgColor rgb="FFD9EAD3"/>
        <bgColor rgb="FFD9EAD3"/>
      </patternFill>
    </fill>
    <fill>
      <patternFill patternType="solid">
        <fgColor rgb="FFFDEDCC"/>
        <bgColor rgb="FFFDEDCC"/>
      </patternFill>
    </fill>
    <fill>
      <patternFill patternType="solid">
        <fgColor rgb="FFF8DDCC"/>
        <bgColor rgb="FFF8DDCC"/>
      </patternFill>
    </fill>
    <fill>
      <patternFill patternType="solid">
        <fgColor rgb="FFEFEFCF"/>
        <bgColor rgb="FFEFEFCF"/>
      </patternFill>
    </fill>
    <fill>
      <patternFill patternType="solid">
        <fgColor rgb="FFFCE8CC"/>
        <bgColor rgb="FFFCE8CC"/>
      </patternFill>
    </fill>
    <fill>
      <patternFill patternType="solid">
        <fgColor rgb="FFFEF1CC"/>
        <bgColor rgb="FFFEF1CC"/>
      </patternFill>
    </fill>
    <fill>
      <patternFill patternType="solid">
        <fgColor rgb="FFFEF2CC"/>
        <bgColor rgb="FFFEF2CC"/>
      </patternFill>
    </fill>
    <fill>
      <patternFill patternType="solid">
        <fgColor rgb="FFFAE1CC"/>
        <bgColor rgb="FFFAE1CC"/>
      </patternFill>
    </fill>
    <fill>
      <patternFill patternType="solid">
        <fgColor rgb="FFF3BFBA"/>
        <bgColor rgb="FFF3BFBA"/>
      </patternFill>
    </fill>
    <fill>
      <patternFill patternType="solid">
        <fgColor rgb="FFF9F1CD"/>
        <bgColor rgb="FFF9F1CD"/>
      </patternFill>
    </fill>
    <fill>
      <patternFill patternType="solid">
        <fgColor rgb="FFF49890"/>
        <bgColor rgb="FFF49890"/>
      </patternFill>
    </fill>
    <fill>
      <patternFill patternType="solid">
        <fgColor rgb="FFE9877F"/>
        <bgColor rgb="FFE9877F"/>
      </patternFill>
    </fill>
    <fill>
      <patternFill patternType="solid">
        <fgColor rgb="FFF5F0CD"/>
        <bgColor rgb="FFF5F0CD"/>
      </patternFill>
    </fill>
    <fill>
      <patternFill patternType="solid">
        <fgColor rgb="FFF7B8B2"/>
        <bgColor rgb="FFF7B8B2"/>
      </patternFill>
    </fill>
    <fill>
      <patternFill patternType="solid">
        <fgColor rgb="FFF9DECC"/>
        <bgColor rgb="FFF9DECC"/>
      </patternFill>
    </fill>
    <fill>
      <patternFill patternType="solid">
        <fgColor rgb="FFF8F1CD"/>
        <bgColor rgb="FFF8F1CD"/>
      </patternFill>
    </fill>
    <fill>
      <patternFill patternType="solid">
        <fgColor rgb="FFF17B72"/>
        <bgColor rgb="FFF17B72"/>
      </patternFill>
    </fill>
    <fill>
      <patternFill patternType="solid">
        <fgColor rgb="FFFDF5F4"/>
        <bgColor rgb="FFFDF5F4"/>
      </patternFill>
    </fill>
    <fill>
      <patternFill patternType="solid">
        <fgColor rgb="FFF4CCCC"/>
        <bgColor rgb="FFF4CCCC"/>
      </patternFill>
    </fill>
    <fill>
      <patternFill patternType="solid">
        <fgColor rgb="FFF17F75"/>
        <bgColor rgb="FFF17F75"/>
      </patternFill>
    </fill>
    <fill>
      <patternFill patternType="solid">
        <fgColor rgb="FFFDEECC"/>
        <bgColor rgb="FFFDEECC"/>
      </patternFill>
    </fill>
    <fill>
      <patternFill patternType="solid">
        <fgColor rgb="FFE98A82"/>
        <bgColor rgb="FFE98A82"/>
      </patternFill>
    </fill>
    <fill>
      <patternFill patternType="solid">
        <fgColor rgb="FFFAF1CD"/>
        <bgColor rgb="FFFAF1CD"/>
      </patternFill>
    </fill>
    <fill>
      <patternFill patternType="solid">
        <fgColor rgb="FFFEF0CC"/>
        <bgColor rgb="FFFEF0CC"/>
      </patternFill>
    </fill>
    <fill>
      <patternFill patternType="solid">
        <fgColor rgb="FFEDEFCF"/>
        <bgColor rgb="FFEDEFCF"/>
      </patternFill>
    </fill>
    <fill>
      <patternFill patternType="solid">
        <fgColor rgb="FFF8DBCC"/>
        <bgColor rgb="FFF8DBCC"/>
      </patternFill>
    </fill>
    <fill>
      <patternFill patternType="solid">
        <fgColor rgb="FFE8EED0"/>
        <bgColor rgb="FFE8EED0"/>
      </patternFill>
    </fill>
    <fill>
      <patternFill patternType="solid">
        <fgColor rgb="FFFBF2CC"/>
        <bgColor rgb="FFFBF2CC"/>
      </patternFill>
    </fill>
    <fill>
      <patternFill patternType="solid">
        <fgColor rgb="FFDCEBD2"/>
        <bgColor rgb="FFDCEBD2"/>
      </patternFill>
    </fill>
    <fill>
      <patternFill patternType="solid">
        <fgColor rgb="FFFCEBE9"/>
        <bgColor rgb="FFFCEBE9"/>
      </patternFill>
    </fill>
    <fill>
      <patternFill patternType="solid">
        <fgColor rgb="FFFAE2CC"/>
        <bgColor rgb="FFFAE2CC"/>
      </patternFill>
    </fill>
    <fill>
      <patternFill patternType="solid">
        <fgColor rgb="FFF4F0CE"/>
        <bgColor rgb="FFF4F0CE"/>
      </patternFill>
    </fill>
    <fill>
      <patternFill patternType="solid">
        <fgColor rgb="FFF6D3CC"/>
        <bgColor rgb="FFF6D3CC"/>
      </patternFill>
    </fill>
    <fill>
      <patternFill patternType="solid">
        <fgColor rgb="FFF0EFCE"/>
        <bgColor rgb="FFF0EFCE"/>
      </patternFill>
    </fill>
    <fill>
      <patternFill patternType="solid">
        <fgColor rgb="FFF6D6CC"/>
        <bgColor rgb="FFF6D6CC"/>
      </patternFill>
    </fill>
    <fill>
      <patternFill patternType="solid">
        <fgColor rgb="FFFDF4F3"/>
        <bgColor rgb="FFFDF4F3"/>
      </patternFill>
    </fill>
    <fill>
      <patternFill patternType="solid">
        <fgColor rgb="FFF7D7CC"/>
        <bgColor rgb="FFF7D7CC"/>
      </patternFill>
    </fill>
    <fill>
      <patternFill patternType="solid">
        <fgColor rgb="FFE5EDD0"/>
        <bgColor rgb="FFE5EDD0"/>
      </patternFill>
    </fill>
    <fill>
      <patternFill patternType="solid">
        <fgColor rgb="FFEE655A"/>
        <bgColor rgb="FFEE655A"/>
      </patternFill>
    </fill>
    <fill>
      <patternFill patternType="solid">
        <fgColor rgb="FFF4CFCC"/>
        <bgColor rgb="FFF4CFCC"/>
      </patternFill>
    </fill>
    <fill>
      <patternFill patternType="solid">
        <fgColor rgb="FFFAE4CC"/>
        <bgColor rgb="FFFAE4CC"/>
      </patternFill>
    </fill>
    <fill>
      <patternFill patternType="solid">
        <fgColor rgb="FFF9CAC5"/>
        <bgColor rgb="FFF9CAC5"/>
      </patternFill>
    </fill>
    <fill>
      <patternFill patternType="solid">
        <fgColor rgb="FFFCF2CC"/>
        <bgColor rgb="FFFCF2CC"/>
      </patternFill>
    </fill>
    <fill>
      <patternFill patternType="solid">
        <fgColor rgb="FFFCEDEB"/>
        <bgColor rgb="FFFCEDEB"/>
      </patternFill>
    </fill>
    <fill>
      <patternFill patternType="solid">
        <fgColor rgb="FFF2F0CE"/>
        <bgColor rgb="FFF2F0CE"/>
      </patternFill>
    </fill>
    <fill>
      <patternFill patternType="solid">
        <fgColor rgb="FFE2ECD1"/>
        <bgColor rgb="FFE2ECD1"/>
      </patternFill>
    </fill>
    <fill>
      <patternFill patternType="solid">
        <fgColor rgb="FFFFF2CC"/>
        <bgColor rgb="FFFFF2CC"/>
      </patternFill>
    </fill>
    <fill>
      <patternFill patternType="solid">
        <fgColor rgb="FFFCE7CC"/>
        <bgColor rgb="FFFCE7CC"/>
      </patternFill>
    </fill>
    <fill>
      <patternFill patternType="solid">
        <fgColor rgb="FFFCEBEA"/>
        <bgColor rgb="FFFCEBEA"/>
      </patternFill>
    </fill>
    <fill>
      <patternFill patternType="solid">
        <fgColor rgb="FFF7D6CC"/>
        <bgColor rgb="FFF7D6CC"/>
      </patternFill>
    </fill>
    <fill>
      <patternFill patternType="solid">
        <fgColor rgb="FFF1B2AC"/>
        <bgColor rgb="FFF1B2AC"/>
      </patternFill>
    </fill>
    <fill>
      <patternFill patternType="solid">
        <fgColor rgb="FFFBEAE8"/>
        <bgColor rgb="FFFBEAE8"/>
      </patternFill>
    </fill>
    <fill>
      <patternFill patternType="solid">
        <fgColor rgb="FFE6EDD0"/>
        <bgColor rgb="FFE6EDD0"/>
      </patternFill>
    </fill>
    <fill>
      <patternFill patternType="solid">
        <fgColor rgb="FFDEEBD2"/>
        <bgColor rgb="FFDEEBD2"/>
      </patternFill>
    </fill>
    <fill>
      <patternFill patternType="solid">
        <fgColor rgb="FFFBE5CC"/>
        <bgColor rgb="FFFBE5CC"/>
      </patternFill>
    </fill>
    <fill>
      <patternFill patternType="solid">
        <fgColor rgb="FFF18178"/>
        <bgColor rgb="FFF18178"/>
      </patternFill>
    </fill>
    <fill>
      <patternFill patternType="solid">
        <fgColor rgb="FFF4CECC"/>
        <bgColor rgb="FFF4CECC"/>
      </patternFill>
    </fill>
    <fill>
      <patternFill patternType="solid">
        <fgColor rgb="FFFBEAE9"/>
        <bgColor rgb="FFFBEAE9"/>
      </patternFill>
    </fill>
    <fill>
      <patternFill patternType="solid">
        <fgColor rgb="FFF9DFCC"/>
        <bgColor rgb="FFF9DFCC"/>
      </patternFill>
    </fill>
    <fill>
      <patternFill patternType="solid">
        <fgColor rgb="FFDDEBD2"/>
        <bgColor rgb="FFDDEBD2"/>
      </patternFill>
    </fill>
    <fill>
      <patternFill patternType="solid">
        <fgColor rgb="FFF1B3AE"/>
        <bgColor rgb="FFF1B3AE"/>
      </patternFill>
    </fill>
    <fill>
      <patternFill patternType="solid">
        <fgColor rgb="FFE7EDD0"/>
        <bgColor rgb="FFE7EDD0"/>
      </patternFill>
    </fill>
    <fill>
      <patternFill patternType="solid">
        <fgColor rgb="FFEEEFCF"/>
        <bgColor rgb="FFEEEFCF"/>
      </patternFill>
    </fill>
    <fill>
      <patternFill patternType="solid">
        <fgColor rgb="FFF5A49D"/>
        <bgColor rgb="FFF5A49D"/>
      </patternFill>
    </fill>
    <fill>
      <patternFill patternType="solid">
        <fgColor rgb="FFEFA8A2"/>
        <bgColor rgb="FFEFA8A2"/>
      </patternFill>
    </fill>
    <fill>
      <patternFill patternType="solid">
        <fgColor rgb="FFEFEFCE"/>
        <bgColor rgb="FFEFEFCE"/>
      </patternFill>
    </fill>
    <fill>
      <patternFill patternType="solid">
        <fgColor rgb="FFE9EED0"/>
        <bgColor rgb="FFE9EED0"/>
      </patternFill>
    </fill>
    <fill>
      <patternFill patternType="solid">
        <fgColor rgb="FFFCE9CC"/>
        <bgColor rgb="FFFCE9CC"/>
      </patternFill>
    </fill>
    <fill>
      <patternFill patternType="solid">
        <fgColor rgb="FFFAE3CC"/>
        <bgColor rgb="FFFAE3CC"/>
      </patternFill>
    </fill>
    <fill>
      <patternFill patternType="solid">
        <fgColor rgb="FFFAF1CC"/>
        <bgColor rgb="FFFAF1CC"/>
      </patternFill>
    </fill>
    <fill>
      <patternFill patternType="solid">
        <fgColor rgb="FFF8BDB9"/>
        <bgColor rgb="FFF8BDB9"/>
      </patternFill>
    </fill>
    <fill>
      <patternFill patternType="solid">
        <fgColor rgb="FFFDEBCC"/>
        <bgColor rgb="FFFDEBCC"/>
      </patternFill>
    </fill>
    <fill>
      <patternFill patternType="solid">
        <fgColor rgb="FFF1796F"/>
        <bgColor rgb="FFF1796F"/>
      </patternFill>
    </fill>
    <fill>
      <patternFill patternType="solid">
        <fgColor rgb="FFF9DDCC"/>
        <bgColor rgb="FFF9DDCC"/>
      </patternFill>
    </fill>
    <fill>
      <patternFill patternType="solid">
        <fgColor rgb="FFF6D0CC"/>
        <bgColor rgb="FFF6D0CC"/>
      </patternFill>
    </fill>
    <fill>
      <patternFill patternType="solid">
        <fgColor rgb="FFEC5548"/>
        <bgColor rgb="FFEC5548"/>
      </patternFill>
    </fill>
    <fill>
      <patternFill patternType="solid">
        <fgColor rgb="FFF8DACC"/>
        <bgColor rgb="FFF8DACC"/>
      </patternFill>
    </fill>
    <fill>
      <patternFill patternType="solid">
        <fgColor rgb="FFF49790"/>
        <bgColor rgb="FFF49790"/>
      </patternFill>
    </fill>
    <fill>
      <patternFill patternType="solid">
        <fgColor rgb="FFF1B1AC"/>
        <bgColor rgb="FFF1B1AC"/>
      </patternFill>
    </fill>
    <fill>
      <patternFill patternType="solid">
        <fgColor rgb="FFF6F1CD"/>
        <bgColor rgb="FFF6F1CD"/>
      </patternFill>
    </fill>
    <fill>
      <patternFill patternType="solid">
        <fgColor rgb="FFF8DAD7"/>
        <bgColor rgb="FFF8DAD7"/>
      </patternFill>
    </fill>
    <fill>
      <patternFill patternType="solid">
        <fgColor rgb="FFF17A71"/>
        <bgColor rgb="FFF17A71"/>
      </patternFill>
    </fill>
    <fill>
      <patternFill patternType="solid">
        <fgColor rgb="FFECEECF"/>
        <bgColor rgb="FFECEECF"/>
      </patternFill>
    </fill>
    <fill>
      <patternFill patternType="solid">
        <fgColor rgb="FFFBE9E8"/>
        <bgColor rgb="FFFBE9E8"/>
      </patternFill>
    </fill>
    <fill>
      <patternFill patternType="solid">
        <fgColor rgb="FFF5D2CC"/>
        <bgColor rgb="FFF5D2CC"/>
      </patternFill>
    </fill>
    <fill>
      <patternFill patternType="solid">
        <fgColor rgb="FFEF7065"/>
        <bgColor rgb="FFEF7065"/>
      </patternFill>
    </fill>
    <fill>
      <patternFill patternType="solid">
        <fgColor rgb="FFFCEBCC"/>
        <bgColor rgb="FFFCEBCC"/>
      </patternFill>
    </fill>
    <fill>
      <patternFill patternType="solid">
        <fgColor rgb="FFF1EFCE"/>
        <bgColor rgb="FFF1EFCE"/>
      </patternFill>
    </fill>
    <fill>
      <patternFill patternType="solid">
        <fgColor rgb="FFF4968F"/>
        <bgColor rgb="FFF4968F"/>
      </patternFill>
    </fill>
    <fill>
      <patternFill patternType="solid">
        <fgColor rgb="FFFDF2CC"/>
        <bgColor rgb="FFFDF2CC"/>
      </patternFill>
    </fill>
    <fill>
      <patternFill patternType="solid">
        <fgColor rgb="FFE8847B"/>
        <bgColor rgb="FFE8847B"/>
      </patternFill>
    </fill>
    <fill>
      <patternFill patternType="solid">
        <fgColor rgb="FFF3BEB9"/>
        <bgColor rgb="FFF3BEB9"/>
      </patternFill>
    </fill>
    <fill>
      <patternFill patternType="solid">
        <fgColor rgb="FFF39189"/>
        <bgColor rgb="FFF39189"/>
      </patternFill>
    </fill>
    <fill>
      <patternFill patternType="solid">
        <fgColor rgb="FFF6CCC9"/>
        <bgColor rgb="FFF6CCC9"/>
      </patternFill>
    </fill>
    <fill>
      <patternFill patternType="solid">
        <fgColor rgb="FFFBE7CC"/>
        <bgColor rgb="FFFBE7CC"/>
      </patternFill>
    </fill>
    <fill>
      <patternFill patternType="solid">
        <fgColor rgb="FFFCEACC"/>
        <bgColor rgb="FFFCEACC"/>
      </patternFill>
    </fill>
    <fill>
      <patternFill patternType="solid">
        <fgColor rgb="FFE1ECD1"/>
        <bgColor rgb="FFE1ECD1"/>
      </patternFill>
    </fill>
    <fill>
      <patternFill patternType="solid">
        <fgColor rgb="FFF2B7B2"/>
        <bgColor rgb="FFF2B7B2"/>
      </patternFill>
    </fill>
    <fill>
      <patternFill patternType="solid">
        <fgColor rgb="FFF7D8CC"/>
        <bgColor rgb="FFF7D8CC"/>
      </patternFill>
    </fill>
    <fill>
      <patternFill patternType="solid">
        <fgColor rgb="FFF0B1AB"/>
        <bgColor rgb="FFF0B1AB"/>
      </patternFill>
    </fill>
    <fill>
      <patternFill patternType="solid">
        <fgColor rgb="FFFDECCC"/>
        <bgColor rgb="FFFDECCC"/>
      </patternFill>
    </fill>
    <fill>
      <patternFill patternType="solid">
        <fgColor rgb="FFF6ACA5"/>
        <bgColor rgb="FFF6ACA5"/>
      </patternFill>
    </fill>
    <fill>
      <patternFill patternType="solid">
        <fgColor rgb="FFED584C"/>
        <bgColor rgb="FFED584C"/>
      </patternFill>
    </fill>
    <fill>
      <patternFill patternType="solid">
        <fgColor rgb="FFEBEECF"/>
        <bgColor rgb="FFEBEECF"/>
      </patternFill>
    </fill>
    <fill>
      <patternFill patternType="solid">
        <fgColor rgb="FFE77F76"/>
        <bgColor rgb="FFE77F76"/>
      </patternFill>
    </fill>
    <fill>
      <patternFill patternType="solid">
        <fgColor rgb="FFFEF8F7"/>
        <bgColor rgb="FFFEF8F7"/>
      </patternFill>
    </fill>
    <fill>
      <patternFill patternType="solid">
        <fgColor rgb="FFF6D4CC"/>
        <bgColor rgb="FFF6D4CC"/>
      </patternFill>
    </fill>
    <fill>
      <patternFill patternType="solid">
        <fgColor rgb="FFFBEBE9"/>
        <bgColor rgb="FFFBEBE9"/>
      </patternFill>
    </fill>
    <fill>
      <patternFill patternType="solid">
        <fgColor rgb="FFFBE8E6"/>
        <bgColor rgb="FFFBE8E6"/>
      </patternFill>
    </fill>
    <fill>
      <patternFill patternType="solid">
        <fgColor rgb="FFE4EDD1"/>
        <bgColor rgb="FFE4EDD1"/>
      </patternFill>
    </fill>
    <fill>
      <patternFill patternType="solid">
        <fgColor rgb="FFF4C6C2"/>
        <bgColor rgb="FFF4C6C2"/>
      </patternFill>
    </fill>
    <fill>
      <patternFill patternType="solid">
        <fgColor rgb="FFFEEECC"/>
        <bgColor rgb="FFFEEECC"/>
      </patternFill>
    </fill>
    <fill>
      <patternFill patternType="solid">
        <fgColor rgb="FFF3F0CE"/>
        <bgColor rgb="FFF3F0CE"/>
      </patternFill>
    </fill>
    <fill>
      <patternFill patternType="solid">
        <fgColor rgb="FFF8DCCC"/>
        <bgColor rgb="FFF8DCCC"/>
      </patternFill>
    </fill>
    <fill>
      <patternFill patternType="solid">
        <fgColor rgb="FFFEEFCC"/>
        <bgColor rgb="FFFEEFCC"/>
      </patternFill>
    </fill>
    <fill>
      <patternFill patternType="solid">
        <fgColor rgb="FFF0796F"/>
        <bgColor rgb="FFF0796F"/>
      </patternFill>
    </fill>
    <fill>
      <patternFill patternType="solid">
        <fgColor rgb="FFF8D8D5"/>
        <bgColor rgb="FFF8D8D5"/>
      </patternFill>
    </fill>
    <fill>
      <patternFill patternType="solid">
        <fgColor rgb="FFF9E0CC"/>
        <bgColor rgb="FFF9E0CC"/>
      </patternFill>
    </fill>
    <fill>
      <patternFill patternType="solid">
        <fgColor rgb="FFFDF1F0"/>
        <bgColor rgb="FFFDF1F0"/>
      </patternFill>
    </fill>
    <fill>
      <patternFill patternType="solid">
        <fgColor rgb="FFDFECD1"/>
        <bgColor rgb="FFDFECD1"/>
      </patternFill>
    </fill>
    <fill>
      <patternFill patternType="solid">
        <fgColor rgb="FFFCF0EF"/>
        <bgColor rgb="FFFCF0EF"/>
      </patternFill>
    </fill>
    <fill>
      <patternFill patternType="solid">
        <fgColor rgb="FFF4C5C1"/>
        <bgColor rgb="FFF4C5C1"/>
      </patternFill>
    </fill>
    <fill>
      <patternFill patternType="solid">
        <fgColor rgb="FFF6A7A1"/>
        <bgColor rgb="FFF6A7A1"/>
      </patternFill>
    </fill>
    <fill>
      <patternFill patternType="solid">
        <fgColor rgb="FFE98B83"/>
        <bgColor rgb="FFE98B83"/>
      </patternFill>
    </fill>
    <fill>
      <patternFill patternType="solid">
        <fgColor rgb="FFF38B83"/>
        <bgColor rgb="FFF38B83"/>
      </patternFill>
    </fill>
    <fill>
      <patternFill patternType="solid">
        <fgColor rgb="FFF6D5CC"/>
        <bgColor rgb="FFF6D5CC"/>
      </patternFill>
    </fill>
    <fill>
      <patternFill patternType="solid">
        <fgColor rgb="FFEB928B"/>
        <bgColor rgb="FFEB928B"/>
      </patternFill>
    </fill>
    <fill>
      <patternFill patternType="solid">
        <fgColor rgb="FFFEEFED"/>
        <bgColor rgb="FFFEEFED"/>
      </patternFill>
    </fill>
    <fill>
      <patternFill patternType="solid">
        <fgColor rgb="FFF7D6D3"/>
        <bgColor rgb="FFF7D6D3"/>
      </patternFill>
    </fill>
    <fill>
      <patternFill patternType="solid">
        <fgColor rgb="FFED9F98"/>
        <bgColor rgb="FFED9F98"/>
      </patternFill>
    </fill>
    <fill>
      <patternFill patternType="solid">
        <fgColor rgb="FFEC9C95"/>
        <bgColor rgb="FFEC9C95"/>
      </patternFill>
    </fill>
    <fill>
      <patternFill patternType="solid">
        <fgColor rgb="FFED9E97"/>
        <bgColor rgb="FFED9E97"/>
      </patternFill>
    </fill>
    <fill>
      <patternFill patternType="solid">
        <fgColor rgb="FFF7D3D0"/>
        <bgColor rgb="FFF7D3D0"/>
      </patternFill>
    </fill>
    <fill>
      <patternFill patternType="solid">
        <fgColor rgb="FFF28880"/>
        <bgColor rgb="FFF28880"/>
      </patternFill>
    </fill>
    <fill>
      <patternFill patternType="solid">
        <fgColor rgb="FFE3EDD1"/>
        <bgColor rgb="FFE3EDD1"/>
      </patternFill>
    </fill>
    <fill>
      <patternFill patternType="solid">
        <fgColor rgb="FFF1B5B0"/>
        <bgColor rgb="FFF1B5B0"/>
      </patternFill>
    </fill>
    <fill>
      <patternFill patternType="solid">
        <fgColor rgb="FFEB958E"/>
        <bgColor rgb="FFEB958E"/>
      </patternFill>
    </fill>
    <fill>
      <patternFill patternType="solid">
        <fgColor rgb="FFE3ECD1"/>
        <bgColor rgb="FFE3ECD1"/>
      </patternFill>
    </fill>
    <fill>
      <patternFill patternType="solid">
        <fgColor rgb="FFF5F0CE"/>
        <bgColor rgb="FFF5F0CE"/>
      </patternFill>
    </fill>
    <fill>
      <patternFill patternType="solid">
        <fgColor rgb="FFF5C6C2"/>
        <bgColor rgb="FFF5C6C2"/>
      </patternFill>
    </fill>
    <fill>
      <patternFill patternType="solid">
        <fgColor rgb="FFF0B0AB"/>
        <bgColor rgb="FFF0B0AB"/>
      </patternFill>
    </fill>
    <fill>
      <patternFill patternType="solid">
        <fgColor rgb="FFFBF1CC"/>
        <bgColor rgb="FFFBF1CC"/>
      </patternFill>
    </fill>
    <fill>
      <patternFill patternType="solid">
        <fgColor rgb="FFEA9088"/>
        <bgColor rgb="FFEA9088"/>
      </patternFill>
    </fill>
    <fill>
      <patternFill patternType="solid">
        <fgColor rgb="FFEEA29C"/>
        <bgColor rgb="FFEEA29C"/>
      </patternFill>
    </fill>
    <fill>
      <patternFill patternType="solid">
        <fgColor rgb="FFF6CECA"/>
        <bgColor rgb="FFF6CECA"/>
      </patternFill>
    </fill>
    <fill>
      <patternFill patternType="solid">
        <fgColor rgb="FFF3BDB8"/>
        <bgColor rgb="FFF3BDB8"/>
      </patternFill>
    </fill>
    <fill>
      <patternFill patternType="solid">
        <fgColor rgb="FFDD7E6B"/>
        <bgColor rgb="FFDD7E6B"/>
      </patternFill>
    </fill>
    <fill>
      <patternFill patternType="solid">
        <fgColor rgb="FFEEA39D"/>
        <bgColor rgb="FFEEA39D"/>
      </patternFill>
    </fill>
    <fill>
      <patternFill patternType="solid">
        <fgColor rgb="FFF1B2AD"/>
        <bgColor rgb="FFF1B2AD"/>
      </patternFill>
    </fill>
    <fill>
      <patternFill patternType="solid">
        <fgColor rgb="FFF9DDDA"/>
        <bgColor rgb="FFF9DDDA"/>
      </patternFill>
    </fill>
    <fill>
      <patternFill patternType="solid">
        <fgColor rgb="FFE8857C"/>
        <bgColor rgb="FFE8857C"/>
      </patternFill>
    </fill>
    <fill>
      <patternFill patternType="solid">
        <fgColor rgb="FFF3C0BB"/>
        <bgColor rgb="FFF3C0BB"/>
      </patternFill>
    </fill>
    <fill>
      <patternFill patternType="solid">
        <fgColor rgb="FFFCEFEE"/>
        <bgColor rgb="FFFCEFEE"/>
      </patternFill>
    </fill>
    <fill>
      <patternFill patternType="solid">
        <fgColor rgb="FFFCEFED"/>
        <bgColor rgb="FFFCEFED"/>
      </patternFill>
    </fill>
    <fill>
      <patternFill patternType="solid">
        <fgColor rgb="FFF5CAC6"/>
        <bgColor rgb="FFF5CAC6"/>
      </patternFill>
    </fill>
    <fill>
      <patternFill patternType="solid">
        <fgColor rgb="FFFBE7E5"/>
        <bgColor rgb="FFFBE7E5"/>
      </patternFill>
    </fill>
    <fill>
      <patternFill patternType="solid">
        <fgColor rgb="FFF5C7C3"/>
        <bgColor rgb="FFF5C7C3"/>
      </patternFill>
    </fill>
    <fill>
      <patternFill patternType="solid">
        <fgColor rgb="FFED9D96"/>
        <bgColor rgb="FFED9D96"/>
      </patternFill>
    </fill>
    <fill>
      <patternFill patternType="solid">
        <fgColor rgb="FFFBE5E4"/>
        <bgColor rgb="FFFBE5E4"/>
      </patternFill>
    </fill>
    <fill>
      <patternFill patternType="solid">
        <fgColor rgb="FFF1B3AD"/>
        <bgColor rgb="FFF1B3AD"/>
      </patternFill>
    </fill>
    <fill>
      <patternFill patternType="solid">
        <fgColor rgb="FFF8DBD8"/>
        <bgColor rgb="FFF8DBD8"/>
      </patternFill>
    </fill>
    <fill>
      <patternFill patternType="solid">
        <fgColor rgb="FFF6CECB"/>
        <bgColor rgb="FFF6CECB"/>
      </patternFill>
    </fill>
    <fill>
      <patternFill patternType="solid">
        <fgColor rgb="FFFBE8E8"/>
        <bgColor rgb="FFFBE8E8"/>
      </patternFill>
    </fill>
    <fill>
      <patternFill patternType="solid">
        <fgColor rgb="FFE8827A"/>
        <bgColor rgb="FFE8827A"/>
      </patternFill>
    </fill>
    <fill>
      <patternFill patternType="solid">
        <fgColor rgb="FFFCECEA"/>
        <bgColor rgb="FFFCECEA"/>
      </patternFill>
    </fill>
    <fill>
      <patternFill patternType="solid">
        <fgColor rgb="FFFAE4E2"/>
        <bgColor rgb="FFFAE4E2"/>
      </patternFill>
    </fill>
    <fill>
      <patternFill patternType="solid">
        <fgColor rgb="FFF2BCBC"/>
        <bgColor rgb="FFF2BCBC"/>
      </patternFill>
    </fill>
    <fill>
      <patternFill patternType="solid">
        <fgColor rgb="FFF9E1E1"/>
        <bgColor rgb="FFF9E1E1"/>
      </patternFill>
    </fill>
    <fill>
      <patternFill patternType="solid">
        <fgColor rgb="FFFCEFEF"/>
        <bgColor rgb="FFFCEFEF"/>
      </patternFill>
    </fill>
    <fill>
      <patternFill patternType="solid">
        <fgColor rgb="FFF4C4C0"/>
        <bgColor rgb="FFF4C4C0"/>
      </patternFill>
    </fill>
    <fill>
      <patternFill patternType="solid">
        <fgColor rgb="FFEEAAAA"/>
        <bgColor rgb="FFEEAAAA"/>
      </patternFill>
    </fill>
    <fill>
      <patternFill patternType="solid">
        <fgColor rgb="FFF7D5D5"/>
        <bgColor rgb="FFF7D5D5"/>
      </patternFill>
    </fill>
    <fill>
      <patternFill patternType="solid">
        <fgColor rgb="FFF4C5C5"/>
        <bgColor rgb="FFF4C5C5"/>
      </patternFill>
    </fill>
    <fill>
      <patternFill patternType="solid">
        <fgColor rgb="FFF5CFCF"/>
        <bgColor rgb="FFF5CFCF"/>
      </patternFill>
    </fill>
    <fill>
      <patternFill patternType="solid">
        <fgColor rgb="FFEFAFAF"/>
        <bgColor rgb="FFEFAFAF"/>
      </patternFill>
    </fill>
    <fill>
      <patternFill patternType="solid">
        <fgColor rgb="FFF8DCDC"/>
        <bgColor rgb="FFF8DCDC"/>
      </patternFill>
    </fill>
    <fill>
      <patternFill patternType="solid">
        <fgColor rgb="FFF6D0D0"/>
        <bgColor rgb="FFF6D0D0"/>
      </patternFill>
    </fill>
    <fill>
      <patternFill patternType="solid">
        <fgColor rgb="FFF3BDB9"/>
        <bgColor rgb="FFF3BDB9"/>
      </patternFill>
    </fill>
    <fill>
      <patternFill patternType="solid">
        <fgColor rgb="FFF5C8C4"/>
        <bgColor rgb="FFF5C8C4"/>
      </patternFill>
    </fill>
    <fill>
      <patternFill patternType="solid">
        <fgColor rgb="FFF7D9CC"/>
        <bgColor rgb="FFF7D9CC"/>
      </patternFill>
    </fill>
    <fill>
      <patternFill patternType="solid">
        <fgColor rgb="FFF59E96"/>
        <bgColor rgb="FFF59E96"/>
      </patternFill>
    </fill>
    <fill>
      <patternFill patternType="solid">
        <fgColor rgb="FFFAE0DE"/>
        <bgColor rgb="FFFAE0DE"/>
      </patternFill>
    </fill>
    <fill>
      <patternFill patternType="solid">
        <fgColor rgb="FFFBE4CC"/>
        <bgColor rgb="FFFBE4CC"/>
      </patternFill>
    </fill>
    <fill>
      <patternFill patternType="solid">
        <fgColor rgb="FFFBE6CC"/>
        <bgColor rgb="FFFBE6CC"/>
      </patternFill>
    </fill>
    <fill>
      <patternFill patternType="solid">
        <fgColor rgb="FFFCEDEC"/>
        <bgColor rgb="FFFCEDEC"/>
      </patternFill>
    </fill>
    <fill>
      <patternFill patternType="solid">
        <fgColor rgb="FFF9E2E2"/>
        <bgColor rgb="FFF9E2E2"/>
      </patternFill>
    </fill>
    <fill>
      <patternFill patternType="solid">
        <fgColor rgb="FFF1B9B9"/>
        <bgColor rgb="FFF1B9B9"/>
      </patternFill>
    </fill>
    <fill>
      <patternFill patternType="solid">
        <fgColor rgb="FFEEA59F"/>
        <bgColor rgb="FFEEA59F"/>
      </patternFill>
    </fill>
    <fill>
      <patternFill patternType="solid">
        <fgColor rgb="FFECA2A2"/>
        <bgColor rgb="FFECA2A2"/>
      </patternFill>
    </fill>
    <fill>
      <patternFill patternType="solid">
        <fgColor rgb="FFF18076"/>
        <bgColor rgb="FFF18076"/>
      </patternFill>
    </fill>
    <fill>
      <patternFill patternType="solid">
        <fgColor rgb="FFFAE3E3"/>
        <bgColor rgb="FFFAE3E3"/>
      </patternFill>
    </fill>
    <fill>
      <patternFill patternType="solid">
        <fgColor rgb="FFFBE7E7"/>
        <bgColor rgb="FFFBE7E7"/>
      </patternFill>
    </fill>
    <fill>
      <patternFill patternType="solid">
        <fgColor rgb="FFF3C1C1"/>
        <bgColor rgb="FFF3C1C1"/>
      </patternFill>
    </fill>
    <fill>
      <patternFill patternType="solid">
        <fgColor rgb="FFEDA8A8"/>
        <bgColor rgb="FFEDA8A8"/>
      </patternFill>
    </fill>
    <fill>
      <patternFill patternType="solid">
        <fgColor rgb="FFFDF6F6"/>
        <bgColor rgb="FFFDF6F6"/>
      </patternFill>
    </fill>
    <fill>
      <patternFill patternType="solid">
        <fgColor rgb="FFF2BBB6"/>
        <bgColor rgb="FFF2BBB6"/>
      </patternFill>
    </fill>
    <fill>
      <patternFill patternType="solid">
        <fgColor rgb="FFEAEECF"/>
        <bgColor rgb="FFEAEECF"/>
      </patternFill>
    </fill>
    <fill>
      <patternFill patternType="solid">
        <fgColor rgb="FFF1F0CE"/>
        <bgColor rgb="FFF1F0CE"/>
      </patternFill>
    </fill>
    <fill>
      <patternFill patternType="solid">
        <fgColor rgb="FFF5C8C5"/>
        <bgColor rgb="FFF5C8C5"/>
      </patternFill>
    </fill>
    <fill>
      <patternFill patternType="solid">
        <fgColor rgb="FFF6D0CD"/>
        <bgColor rgb="FFF6D0CD"/>
      </patternFill>
    </fill>
    <fill>
      <patternFill patternType="solid">
        <fgColor rgb="FFF5D1CC"/>
        <bgColor rgb="FFF5D1CC"/>
      </patternFill>
    </fill>
    <fill>
      <patternFill patternType="solid">
        <fgColor rgb="FFF5CDCD"/>
        <bgColor rgb="FFF5CDCD"/>
      </patternFill>
    </fill>
    <fill>
      <patternFill patternType="solid">
        <fgColor rgb="FFEEA6A0"/>
        <bgColor rgb="FFEEA6A0"/>
      </patternFill>
    </fill>
    <fill>
      <patternFill patternType="solid">
        <fgColor rgb="FFFBE9E7"/>
        <bgColor rgb="FFFBE9E7"/>
      </patternFill>
    </fill>
    <fill>
      <patternFill patternType="solid">
        <fgColor rgb="FFF0AEA8"/>
        <bgColor rgb="FFF0AEA8"/>
      </patternFill>
    </fill>
    <fill>
      <patternFill patternType="solid">
        <fgColor rgb="FFE8EDD0"/>
        <bgColor rgb="FFE8EDD0"/>
      </patternFill>
    </fill>
    <fill>
      <patternFill patternType="solid">
        <fgColor rgb="FFFEFAF9"/>
        <bgColor rgb="FFFEFAF9"/>
      </patternFill>
    </fill>
    <fill>
      <patternFill patternType="solid">
        <fgColor rgb="FFF9DCD9"/>
        <bgColor rgb="FFF9DCD9"/>
      </patternFill>
    </fill>
    <fill>
      <patternFill patternType="solid">
        <fgColor rgb="FFF5D0CC"/>
        <bgColor rgb="FFF5D0CC"/>
      </patternFill>
    </fill>
    <fill>
      <patternFill patternType="solid">
        <fgColor rgb="FFF3BFBB"/>
        <bgColor rgb="FFF3BFBB"/>
      </patternFill>
    </fill>
    <fill>
      <patternFill patternType="solid">
        <fgColor rgb="FFE0ECD1"/>
        <bgColor rgb="FFE0ECD1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</borders>
  <cellStyleXfs count="1">
    <xf borderId="0" fillId="0" fontId="0" numFmtId="0" applyAlignment="1" applyFont="1"/>
  </cellStyleXfs>
  <cellXfs count="19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10" xfId="0" applyAlignment="1" applyBorder="1" applyFill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1" fillId="3" fontId="3" numFmtId="164" xfId="0" applyAlignment="1" applyBorder="1" applyFill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4" numFmtId="10" xfId="0" applyAlignment="1" applyBorder="1" applyFill="1" applyFont="1" applyNumberFormat="1">
      <alignment horizontal="center" readingOrder="0" shrinkToFit="0" vertical="bottom" wrapText="0"/>
    </xf>
    <xf borderId="1" fillId="4" fontId="2" numFmtId="10" xfId="0" applyAlignment="1" applyBorder="1" applyFill="1" applyFont="1" applyNumberForma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shrinkToFit="0" vertical="center" wrapText="0"/>
    </xf>
    <xf borderId="1" fillId="0" fontId="2" numFmtId="10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3" fontId="5" numFmtId="10" xfId="0" applyAlignment="1" applyBorder="1" applyFill="1" applyFont="1" applyNumberForma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3" fontId="3" numFmtId="10" xfId="0" applyAlignment="1" applyBorder="1" applyFill="1" applyFont="1" applyNumberFormat="1">
      <alignment horizontal="center" shrinkToFit="0" vertical="bottom" wrapText="0"/>
    </xf>
    <xf borderId="1" fillId="3" fontId="3" numFmtId="165" xfId="0" applyAlignment="1" applyBorder="1" applyFill="1" applyFont="1" applyNumberForma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3" numFmtId="164" xfId="0" applyAlignment="1" applyBorder="1" applyFill="1" applyFont="1" applyNumberFormat="1">
      <alignment horizontal="center" shrinkToFit="0" vertical="bottom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3" fontId="3" numFmtId="165" xfId="0" applyAlignment="1" applyBorder="1" applyFill="1" applyFont="1" applyNumberFormat="1">
      <alignment horizontal="center" readingOrder="0" shrinkToFit="0" vertical="bottom" wrapText="0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3" fontId="7" numFmtId="10" xfId="0" applyAlignment="1" applyBorder="1" applyFill="1" applyFont="1" applyNumberForma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3" fontId="6" numFmtId="10" xfId="0" applyAlignment="1" applyBorder="1" applyFill="1" applyFont="1" applyNumberFormat="1">
      <alignment horizontal="center" readingOrder="0" shrinkToFit="0" vertical="center" wrapText="0"/>
    </xf>
    <xf borderId="1" fillId="3" fontId="5" numFmtId="10" xfId="0" applyAlignment="1" applyBorder="1" applyFill="1" applyFont="1" applyNumberFormat="1">
      <alignment horizontal="center" shrinkToFit="0" vertical="center" wrapText="0"/>
    </xf>
    <xf borderId="1" fillId="3" fontId="5" numFmtId="164" xfId="0" applyAlignment="1" applyBorder="1" applyFill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3" fontId="9" numFmtId="0" xfId="0" applyAlignment="1" applyBorder="1" applyFill="1" applyFont="1">
      <alignment horizontal="center" readingOrder="0" shrinkToFit="0" vertical="center" wrapText="0"/>
    </xf>
    <xf borderId="1" fillId="0" fontId="2" numFmtId="10" xfId="0" applyAlignment="1" applyBorder="1" applyFont="1" applyNumberForma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3" fontId="10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0" fillId="3" fontId="12" numFmtId="0" xfId="0" applyAlignment="1" applyFill="1" applyFont="1">
      <alignment horizontal="center" readingOrder="0" shrinkToFit="0" vertical="center" wrapText="0"/>
    </xf>
    <xf borderId="1" fillId="3" fontId="8" numFmtId="166" xfId="0" applyAlignment="1" applyBorder="1" applyFill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3" fontId="2" numFmtId="10" xfId="0" applyAlignment="1" applyBorder="1" applyFill="1" applyFont="1" applyNumberForma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5" fontId="2" numFmtId="3" xfId="0" applyAlignment="1" applyBorder="1" applyFill="1" applyFont="1" applyNumberFormat="1">
      <alignment horizontal="center" readingOrder="0" shrinkToFit="0" vertical="bottom" wrapText="0"/>
    </xf>
    <xf borderId="1" fillId="5" fontId="2" numFmtId="10" xfId="0" applyAlignment="1" applyBorder="1" applyFill="1" applyFont="1" applyNumberFormat="1">
      <alignment horizontal="center" readingOrder="0" shrinkToFit="0" vertical="bottom" wrapText="0"/>
    </xf>
    <xf borderId="1" fillId="3" fontId="11" numFmtId="0" xfId="0" applyAlignment="1" applyBorder="1" applyFill="1" applyFont="1">
      <alignment horizontal="center" readingOrder="0" shrinkToFit="0" vertical="center" wrapText="0"/>
    </xf>
    <xf borderId="1" fillId="3" fontId="11" numFmtId="167" xfId="0" applyAlignment="1" applyBorder="1" applyFill="1" applyFont="1" applyNumberForma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readingOrder="0" shrinkToFit="0" vertical="center" wrapText="0"/>
    </xf>
    <xf borderId="1" fillId="3" fontId="14" numFmtId="10" xfId="0" applyAlignment="1" applyBorder="1" applyFill="1" applyFont="1" applyNumberFormat="1">
      <alignment horizontal="center" readingOrder="0" shrinkToFit="0" vertical="bottom" wrapText="0"/>
    </xf>
    <xf borderId="1" fillId="3" fontId="2" numFmtId="3" xfId="0" applyAlignment="1" applyBorder="1" applyFill="1" applyFont="1" applyNumberFormat="1">
      <alignment horizontal="center" readingOrder="0" shrinkToFit="0" vertical="bottom" wrapText="0"/>
    </xf>
    <xf borderId="1" fillId="3" fontId="15" numFmtId="10" xfId="0" applyAlignment="1" applyBorder="1" applyFill="1" applyFont="1" applyNumberFormat="1">
      <alignment horizontal="center" readingOrder="0" shrinkToFit="0" vertical="center" wrapText="0"/>
    </xf>
    <xf borderId="1" fillId="0" fontId="13" numFmtId="10" xfId="0" applyAlignment="1" applyBorder="1" applyFont="1" applyNumberFormat="1">
      <alignment horizontal="center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3" fontId="2" numFmtId="9" xfId="0" applyAlignment="1" applyBorder="1" applyFill="1" applyFont="1" applyNumberFormat="1">
      <alignment horizontal="center" readingOrder="0" shrinkToFit="0" vertical="bottom" wrapText="0"/>
    </xf>
    <xf borderId="1" fillId="3" fontId="6" numFmtId="167" xfId="0" applyAlignment="1" applyBorder="1" applyFill="1" applyFont="1" applyNumberForma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1" fillId="3" fontId="11" numFmtId="167" xfId="0" applyAlignment="1" applyBorder="1" applyFill="1" applyFont="1" applyNumberFormat="1">
      <alignment horizontal="center" shrinkToFit="0" vertical="center" wrapText="0"/>
    </xf>
    <xf borderId="2" fillId="3" fontId="14" numFmtId="10" xfId="0" applyAlignment="1" applyBorder="1" applyFill="1" applyFont="1" applyNumberForma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horizontal="center"/>
    </xf>
    <xf borderId="3" fillId="3" fontId="14" numFmtId="10" xfId="0" applyAlignment="1" applyBorder="1" applyFill="1" applyFont="1" applyNumberFormat="1">
      <alignment horizontal="center" readingOrder="0" shrinkToFit="0" vertical="bottom" wrapText="0"/>
    </xf>
    <xf borderId="1" fillId="3" fontId="6" numFmtId="167" xfId="0" applyAlignment="1" applyBorder="1" applyFill="1" applyFont="1" applyNumberFormat="1">
      <alignment horizontal="center" shrinkToFit="0" vertical="center" wrapText="0"/>
    </xf>
    <xf borderId="1" fillId="0" fontId="5" numFmtId="10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13" numFmtId="3" xfId="0" applyAlignment="1" applyBorder="1" applyFont="1" applyNumberFormat="1">
      <alignment horizontal="center" shrinkToFit="0" vertical="center" wrapText="0"/>
    </xf>
    <xf borderId="1" fillId="0" fontId="5" numFmtId="10" xfId="0" applyAlignment="1" applyBorder="1" applyFont="1" applyNumberFormat="1">
      <alignment horizontal="center" shrinkToFit="0" vertical="center" wrapText="0"/>
    </xf>
    <xf borderId="1" fillId="6" fontId="11" numFmtId="49" xfId="0" applyAlignment="1" applyBorder="1" applyFill="1" applyFont="1" applyNumberFormat="1">
      <alignment horizontal="center" shrinkToFit="0" vertical="bottom" wrapText="0"/>
    </xf>
    <xf borderId="1" fillId="3" fontId="13" numFmtId="0" xfId="0" applyAlignment="1" applyBorder="1" applyFill="1" applyFont="1">
      <alignment horizontal="center" readingOrder="0" shrinkToFit="0" vertical="center" wrapText="0"/>
    </xf>
    <xf borderId="1" fillId="3" fontId="13" numFmtId="10" xfId="0" applyAlignment="1" applyBorder="1" applyFill="1" applyFont="1" applyNumberFormat="1">
      <alignment horizontal="center" readingOrder="0" shrinkToFit="0" vertical="center" wrapText="0"/>
    </xf>
    <xf borderId="1" fillId="3" fontId="13" numFmtId="0" xfId="0" applyAlignment="1" applyBorder="1" applyFill="1" applyFont="1">
      <alignment horizontal="center" readingOrder="0" shrinkToFit="0" vertical="center" wrapText="0"/>
    </xf>
    <xf borderId="1" fillId="3" fontId="13" numFmtId="167" xfId="0" applyAlignment="1" applyBorder="1" applyFill="1" applyFont="1" applyNumberFormat="1">
      <alignment horizontal="center" readingOrder="0" shrinkToFit="0" vertical="center" wrapText="0"/>
    </xf>
    <xf borderId="1" fillId="3" fontId="2" numFmtId="10" xfId="0" applyAlignment="1" applyBorder="1" applyFill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3" fontId="11" numFmtId="10" xfId="0" applyAlignment="1" applyBorder="1" applyFill="1" applyFont="1" applyNumberFormat="1">
      <alignment horizontal="center" readingOrder="0" shrinkToFit="0" vertical="center" wrapText="0"/>
    </xf>
    <xf borderId="1" fillId="3" fontId="11" numFmtId="49" xfId="0" applyAlignment="1" applyBorder="1" applyFill="1" applyFont="1" applyNumberFormat="1">
      <alignment horizontal="center" shrinkToFit="0" vertical="bottom" wrapText="0"/>
    </xf>
    <xf borderId="1" fillId="0" fontId="16" numFmtId="3" xfId="0" applyAlignment="1" applyBorder="1" applyFont="1" applyNumberFormat="1">
      <alignment horizontal="center" readingOrder="0" shrinkToFit="0" vertical="center" wrapText="0"/>
    </xf>
    <xf borderId="1" fillId="0" fontId="16" numFmtId="3" xfId="0" applyAlignment="1" applyBorder="1" applyFont="1" applyNumberFormat="1">
      <alignment horizontal="right" readingOrder="0" shrinkToFit="0" vertical="center" wrapText="0"/>
    </xf>
    <xf borderId="1" fillId="0" fontId="16" numFmtId="0" xfId="0" applyAlignment="1" applyBorder="1" applyFont="1">
      <alignment horizontal="right" readingOrder="0" shrinkToFit="0" vertical="center" wrapText="0"/>
    </xf>
    <xf borderId="1" fillId="0" fontId="16" numFmtId="10" xfId="0" applyAlignment="1" applyBorder="1" applyFont="1" applyNumberFormat="1">
      <alignment horizontal="center" readingOrder="0" shrinkToFit="0" vertical="center" wrapText="0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right" readingOrder="0" shrinkToFit="0" vertical="center" wrapText="0"/>
    </xf>
    <xf borderId="1" fillId="3" fontId="6" numFmtId="0" xfId="0" applyAlignment="1" applyBorder="1" applyFill="1" applyFont="1">
      <alignment horizontal="center"/>
    </xf>
    <xf borderId="1" fillId="3" fontId="2" numFmtId="3" xfId="0" applyAlignment="1" applyBorder="1" applyFill="1" applyFont="1" applyNumberFormat="1">
      <alignment horizontal="center" readingOrder="0" vertical="bottom"/>
    </xf>
    <xf borderId="1" fillId="0" fontId="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ill="1" applyFont="1">
      <alignment horizontal="center"/>
    </xf>
    <xf borderId="3" fillId="3" fontId="14" numFmtId="3" xfId="0" applyAlignment="1" applyBorder="1" applyFill="1" applyFont="1" applyNumberFormat="1">
      <alignment vertical="bottom"/>
    </xf>
    <xf borderId="3" fillId="3" fontId="14" numFmtId="10" xfId="0" applyAlignment="1" applyBorder="1" applyFill="1" applyFont="1" applyNumberFormat="1">
      <alignment horizontal="center" readingOrder="0" vertical="bottom"/>
    </xf>
    <xf borderId="1" fillId="3" fontId="2" numFmtId="10" xfId="0" applyAlignment="1" applyBorder="1" applyFill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6" numFmtId="3" xfId="0" applyAlignment="1" applyFont="1" applyNumberFormat="1">
      <alignment horizontal="center" readingOrder="0" shrinkToFit="0" vertical="center" wrapText="0"/>
    </xf>
    <xf borderId="0" fillId="0" fontId="16" numFmtId="3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horizontal="right"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3" xfId="0" applyAlignment="1" applyFont="1" applyNumberFormat="1">
      <alignment horizontal="right" readingOrder="0" shrinkToFit="0" vertical="center" wrapText="0"/>
    </xf>
    <xf borderId="0" fillId="0" fontId="5" numFmtId="10" xfId="0" applyAlignment="1" applyFont="1" applyNumberFormat="1">
      <alignment horizontal="right" readingOrder="0" shrinkToFit="0" vertical="center" wrapText="0"/>
    </xf>
    <xf borderId="1" fillId="5" fontId="13" numFmtId="3" xfId="0" applyAlignment="1" applyBorder="1" applyFill="1" applyFont="1" applyNumberFormat="1">
      <alignment horizontal="center" shrinkToFit="0" vertical="bottom" wrapText="0"/>
    </xf>
    <xf borderId="1" fillId="5" fontId="13" numFmtId="0" xfId="0" applyAlignment="1" applyBorder="1" applyFill="1" applyFont="1">
      <alignment shrinkToFit="0" vertical="bottom" wrapText="0"/>
    </xf>
    <xf borderId="3" fillId="5" fontId="13" numFmtId="3" xfId="0" applyAlignment="1" applyBorder="1" applyFill="1" applyFont="1" applyNumberFormat="1">
      <alignment shrinkToFit="0" vertical="bottom" wrapText="0"/>
    </xf>
    <xf borderId="3" fillId="5" fontId="13" numFmtId="0" xfId="0" applyAlignment="1" applyBorder="1" applyFill="1" applyFont="1">
      <alignment shrinkToFit="0" vertical="bottom" wrapText="0"/>
    </xf>
    <xf borderId="0" fillId="0" fontId="1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readingOrder="0"/>
    </xf>
    <xf borderId="0" fillId="7" fontId="3" numFmtId="0" xfId="0" applyAlignment="1" applyFill="1" applyFont="1">
      <alignment horizontal="center" readingOrder="0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9" fontId="3" numFmtId="0" xfId="0" applyAlignment="1" applyFill="1" applyFont="1">
      <alignment horizontal="center" readingOrder="0" shrinkToFit="0" vertical="bottom" wrapText="0"/>
    </xf>
    <xf borderId="0" fillId="10" fontId="3" numFmtId="0" xfId="0" applyAlignment="1" applyFill="1" applyFont="1">
      <alignment horizontal="center" readingOrder="0" shrinkToFit="0" vertical="bottom" wrapText="0"/>
    </xf>
    <xf borderId="0" fillId="11" fontId="3" numFmtId="0" xfId="0" applyAlignment="1" applyFill="1" applyFont="1">
      <alignment horizontal="center" readingOrder="0" shrinkToFit="0" vertical="bottom" wrapText="0"/>
    </xf>
    <xf borderId="0" fillId="12" fontId="3" numFmtId="0" xfId="0" applyAlignment="1" applyFill="1" applyFont="1">
      <alignment horizontal="center" readingOrder="0" shrinkToFit="0" vertical="bottom" wrapText="0"/>
    </xf>
    <xf borderId="0" fillId="13" fontId="3" numFmtId="0" xfId="0" applyAlignment="1" applyFill="1" applyFont="1">
      <alignment horizontal="center" readingOrder="0" shrinkToFit="0" vertical="bottom" wrapText="0"/>
    </xf>
    <xf borderId="0" fillId="14" fontId="3" numFmtId="0" xfId="0" applyAlignment="1" applyFill="1" applyFont="1">
      <alignment horizontal="center" readingOrder="0" shrinkToFit="0" vertical="bottom" wrapText="0"/>
    </xf>
    <xf borderId="0" fillId="15" fontId="3" numFmtId="0" xfId="0" applyAlignment="1" applyFill="1" applyFont="1">
      <alignment horizontal="center" readingOrder="0" shrinkToFit="0" vertical="bottom" wrapText="0"/>
    </xf>
    <xf borderId="0" fillId="16" fontId="3" numFmtId="0" xfId="0" applyAlignment="1" applyFill="1" applyFont="1">
      <alignment horizontal="center" readingOrder="0" shrinkToFit="0" vertical="bottom" wrapText="0"/>
    </xf>
    <xf borderId="0" fillId="17" fontId="3" numFmtId="0" xfId="0" applyAlignment="1" applyFill="1" applyFont="1">
      <alignment horizontal="center" readingOrder="0" shrinkToFit="0" vertical="bottom" wrapText="0"/>
    </xf>
    <xf borderId="0" fillId="18" fontId="3" numFmtId="0" xfId="0" applyAlignment="1" applyFill="1" applyFont="1">
      <alignment horizontal="center" readingOrder="0" shrinkToFit="0" vertical="bottom" wrapText="0"/>
    </xf>
    <xf borderId="0" fillId="19" fontId="3" numFmtId="0" xfId="0" applyAlignment="1" applyFill="1" applyFont="1">
      <alignment horizontal="center" readingOrder="0" shrinkToFit="0" vertical="bottom" wrapText="0"/>
    </xf>
    <xf borderId="0" fillId="20" fontId="3" numFmtId="0" xfId="0" applyAlignment="1" applyFill="1" applyFont="1">
      <alignment horizontal="center" readingOrder="0" shrinkToFit="0" vertical="bottom" wrapText="0"/>
    </xf>
    <xf borderId="0" fillId="21" fontId="3" numFmtId="0" xfId="0" applyAlignment="1" applyFill="1" applyFont="1">
      <alignment horizontal="center" readingOrder="0" shrinkToFit="0" vertical="bottom" wrapText="0"/>
    </xf>
    <xf borderId="0" fillId="22" fontId="3" numFmtId="0" xfId="0" applyAlignment="1" applyFill="1" applyFont="1">
      <alignment horizontal="center" readingOrder="0" shrinkToFit="0" vertical="bottom" wrapText="0"/>
    </xf>
    <xf borderId="0" fillId="23" fontId="3" numFmtId="0" xfId="0" applyAlignment="1" applyFill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24" fontId="3" numFmtId="0" xfId="0" applyAlignment="1" applyFill="1" applyFont="1">
      <alignment horizontal="center" readingOrder="0" shrinkToFit="0" vertical="bottom" wrapText="0"/>
    </xf>
    <xf borderId="0" fillId="25" fontId="3" numFmtId="0" xfId="0" applyAlignment="1" applyFill="1" applyFont="1">
      <alignment horizontal="center" readingOrder="0" shrinkToFit="0" vertical="bottom" wrapText="0"/>
    </xf>
    <xf borderId="0" fillId="26" fontId="3" numFmtId="0" xfId="0" applyAlignment="1" applyFill="1" applyFont="1">
      <alignment horizontal="center" readingOrder="0" shrinkToFit="0" vertical="bottom" wrapText="0"/>
    </xf>
    <xf borderId="0" fillId="27" fontId="3" numFmtId="0" xfId="0" applyAlignment="1" applyFill="1" applyFont="1">
      <alignment horizontal="center" readingOrder="0" shrinkToFit="0" vertical="bottom" wrapText="0"/>
    </xf>
    <xf borderId="0" fillId="28" fontId="3" numFmtId="0" xfId="0" applyAlignment="1" applyFill="1" applyFont="1">
      <alignment horizontal="center" readingOrder="0" shrinkToFit="0" vertical="bottom" wrapText="0"/>
    </xf>
    <xf borderId="0" fillId="29" fontId="3" numFmtId="0" xfId="0" applyAlignment="1" applyFill="1" applyFont="1">
      <alignment horizontal="center" readingOrder="0" shrinkToFit="0" vertical="bottom" wrapText="0"/>
    </xf>
    <xf borderId="1" fillId="3" fontId="5" numFmtId="10" xfId="0" applyAlignment="1" applyBorder="1" applyFill="1" applyFont="1" applyNumberFormat="1">
      <alignment horizontal="center"/>
    </xf>
    <xf borderId="0" fillId="0" fontId="6" numFmtId="0" xfId="0" applyFont="1"/>
    <xf borderId="0" fillId="30" fontId="3" numFmtId="0" xfId="0" applyAlignment="1" applyFill="1" applyFont="1">
      <alignment horizontal="center" readingOrder="0" shrinkToFit="0" vertical="bottom" wrapText="0"/>
    </xf>
    <xf borderId="0" fillId="31" fontId="3" numFmtId="0" xfId="0" applyAlignment="1" applyFill="1" applyFont="1">
      <alignment horizontal="center" readingOrder="0" shrinkToFit="0" vertical="bottom" wrapText="0"/>
    </xf>
    <xf borderId="0" fillId="32" fontId="3" numFmtId="0" xfId="0" applyAlignment="1" applyFill="1" applyFont="1">
      <alignment horizontal="center" readingOrder="0" shrinkToFit="0" vertical="bottom" wrapText="0"/>
    </xf>
    <xf borderId="0" fillId="33" fontId="3" numFmtId="0" xfId="0" applyAlignment="1" applyFill="1" applyFont="1">
      <alignment horizontal="center" readingOrder="0" shrinkToFit="0" vertical="bottom" wrapText="0"/>
    </xf>
    <xf borderId="0" fillId="34" fontId="3" numFmtId="0" xfId="0" applyAlignment="1" applyFill="1" applyFont="1">
      <alignment horizontal="center" readingOrder="0" shrinkToFit="0" vertical="bottom" wrapText="0"/>
    </xf>
    <xf borderId="0" fillId="35" fontId="3" numFmtId="0" xfId="0" applyAlignment="1" applyFill="1" applyFont="1">
      <alignment horizontal="center" readingOrder="0" shrinkToFit="0" vertical="bottom" wrapText="0"/>
    </xf>
    <xf borderId="0" fillId="36" fontId="3" numFmtId="0" xfId="0" applyAlignment="1" applyFill="1" applyFont="1">
      <alignment horizontal="center" readingOrder="0" shrinkToFit="0" vertical="bottom" wrapText="0"/>
    </xf>
    <xf borderId="0" fillId="37" fontId="3" numFmtId="0" xfId="0" applyAlignment="1" applyFill="1" applyFont="1">
      <alignment horizontal="center" readingOrder="0" shrinkToFit="0" vertical="bottom" wrapText="0"/>
    </xf>
    <xf borderId="0" fillId="38" fontId="3" numFmtId="0" xfId="0" applyAlignment="1" applyFill="1" applyFont="1">
      <alignment horizontal="center" readingOrder="0" shrinkToFit="0" vertical="bottom" wrapText="0"/>
    </xf>
    <xf borderId="0" fillId="39" fontId="3" numFmtId="0" xfId="0" applyAlignment="1" applyFill="1" applyFont="1">
      <alignment horizontal="center" readingOrder="0" shrinkToFit="0" vertical="bottom" wrapText="0"/>
    </xf>
    <xf borderId="0" fillId="40" fontId="3" numFmtId="0" xfId="0" applyAlignment="1" applyFill="1" applyFont="1">
      <alignment horizontal="center" readingOrder="0" shrinkToFit="0" vertical="bottom" wrapText="0"/>
    </xf>
    <xf borderId="0" fillId="41" fontId="3" numFmtId="0" xfId="0" applyAlignment="1" applyFill="1" applyFont="1">
      <alignment horizontal="center" readingOrder="0" shrinkToFit="0" vertical="bottom" wrapText="0"/>
    </xf>
    <xf borderId="0" fillId="42" fontId="3" numFmtId="0" xfId="0" applyAlignment="1" applyFill="1" applyFont="1">
      <alignment horizontal="center" readingOrder="0" shrinkToFit="0" vertical="bottom" wrapText="0"/>
    </xf>
    <xf borderId="0" fillId="43" fontId="3" numFmtId="0" xfId="0" applyAlignment="1" applyFill="1" applyFont="1">
      <alignment horizontal="center" readingOrder="0" shrinkToFit="0" vertical="bottom" wrapText="0"/>
    </xf>
    <xf borderId="0" fillId="0" fontId="11" numFmtId="0" xfId="0" applyAlignment="1" applyFont="1">
      <alignment vertical="bottom"/>
    </xf>
    <xf borderId="1" fillId="3" fontId="18" numFmtId="0" xfId="0" applyAlignment="1" applyBorder="1" applyFill="1" applyFont="1">
      <alignment horizontal="center" readingOrder="0" shrinkToFit="0" vertical="bottom" wrapText="0"/>
    </xf>
    <xf borderId="1" fillId="44" fontId="13" numFmtId="0" xfId="0" applyAlignment="1" applyBorder="1" applyFill="1" applyFont="1">
      <alignment horizontal="center" readingOrder="0" shrinkToFit="0" vertical="bottom" wrapText="0"/>
    </xf>
    <xf borderId="1" fillId="0" fontId="8" numFmtId="49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center" wrapText="1"/>
    </xf>
    <xf borderId="0" fillId="45" fontId="6" numFmtId="0" xfId="0" applyAlignment="1" applyFill="1" applyFont="1">
      <alignment readingOrder="0"/>
    </xf>
    <xf borderId="0" fillId="45" fontId="1" numFmtId="0" xfId="0" applyAlignment="1" applyFill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center" wrapText="1"/>
    </xf>
    <xf borderId="0" fillId="46" fontId="11" numFmtId="0" xfId="0" applyAlignment="1" applyFill="1" applyFont="1">
      <alignment horizontal="center" vertical="bottom"/>
    </xf>
    <xf borderId="0" fillId="46" fontId="11" numFmtId="0" xfId="0" applyAlignment="1" applyFill="1" applyFont="1">
      <alignment vertical="bottom"/>
    </xf>
    <xf borderId="1" fillId="3" fontId="13" numFmtId="0" xfId="0" applyAlignment="1" applyBorder="1" applyFill="1" applyFont="1">
      <alignment horizontal="center" readingOrder="0" shrinkToFit="0" vertical="bottom" wrapText="0"/>
    </xf>
    <xf borderId="1" fillId="0" fontId="10" numFmtId="49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3" fontId="11" numFmtId="49" xfId="0" applyAlignment="1" applyBorder="1" applyFill="1" applyFont="1" applyNumberFormat="1">
      <alignment horizontal="center" vertical="bottom"/>
    </xf>
    <xf borderId="1" fillId="3" fontId="11" numFmtId="0" xfId="0" applyAlignment="1" applyBorder="1" applyFill="1" applyFont="1">
      <alignment horizontal="center" vertical="bottom"/>
    </xf>
    <xf borderId="1" fillId="3" fontId="11" numFmtId="49" xfId="0" applyAlignment="1" applyBorder="1" applyFill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 readingOrder="0" shrinkToFit="0" wrapText="0"/>
    </xf>
    <xf borderId="1" fillId="44" fontId="11" numFmtId="0" xfId="0" applyAlignment="1" applyBorder="1" applyFill="1" applyFont="1">
      <alignment horizontal="center" vertical="bottom"/>
    </xf>
    <xf borderId="1" fillId="44" fontId="11" numFmtId="49" xfId="0" applyAlignment="1" applyBorder="1" applyFill="1" applyFont="1" applyNumberFormat="1">
      <alignment horizontal="center" vertical="bottom"/>
    </xf>
    <xf borderId="1" fillId="0" fontId="10" numFmtId="49" xfId="0" applyAlignment="1" applyBorder="1" applyFont="1" applyNumberFormat="1">
      <alignment horizontal="center" readingOrder="0" shrinkToFit="0" vertical="center" wrapText="0"/>
    </xf>
    <xf borderId="1" fillId="0" fontId="10" numFmtId="49" xfId="0" applyAlignment="1" applyBorder="1" applyFont="1" applyNumberFormat="1">
      <alignment horizontal="center" readingOrder="0" shrinkToFit="0" vertical="bottom" wrapText="0"/>
    </xf>
    <xf borderId="1" fillId="46" fontId="11" numFmtId="0" xfId="0" applyAlignment="1" applyBorder="1" applyFill="1" applyFont="1">
      <alignment horizontal="center" vertical="bottom"/>
    </xf>
    <xf borderId="1" fillId="46" fontId="11" numFmtId="0" xfId="0" applyAlignment="1" applyBorder="1" applyFill="1" applyFont="1">
      <alignment vertical="bottom"/>
    </xf>
    <xf borderId="1" fillId="3" fontId="9" numFmtId="0" xfId="0" applyAlignment="1" applyBorder="1" applyFill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1" fillId="0" fontId="11" numFmtId="4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1" numFmtId="49" xfId="0" applyAlignment="1" applyBorder="1" applyFont="1" applyNumberFormat="1">
      <alignment horizontal="center" vertical="bottom"/>
    </xf>
    <xf borderId="1" fillId="0" fontId="10" numFmtId="49" xfId="0" applyAlignment="1" applyBorder="1" applyFont="1" applyNumberFormat="1">
      <alignment horizontal="center" readingOrder="0" shrinkToFit="0" vertical="bottom" wrapText="0"/>
    </xf>
    <xf borderId="1" fillId="3" fontId="12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3" fontId="10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3" fontId="11" numFmtId="0" xfId="0" applyAlignment="1" applyBorder="1" applyFill="1" applyFont="1">
      <alignment horizontal="center" vertical="bottom"/>
    </xf>
    <xf borderId="1" fillId="3" fontId="11" numFmtId="167" xfId="0" applyAlignment="1" applyBorder="1" applyFill="1" applyFont="1" applyNumberFormat="1">
      <alignment horizontal="center" vertical="bottom"/>
    </xf>
    <xf borderId="1" fillId="44" fontId="11" numFmtId="0" xfId="0" applyAlignment="1" applyBorder="1" applyFill="1" applyFont="1">
      <alignment horizontal="center" vertical="bottom"/>
    </xf>
    <xf borderId="1" fillId="44" fontId="11" numFmtId="167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1" fillId="3" fontId="10" numFmtId="49" xfId="0" applyAlignment="1" applyBorder="1" applyFill="1" applyFont="1" applyNumberFormat="1">
      <alignment horizontal="center" readingOrder="0" shrinkToFit="0" vertical="bottom" wrapText="0"/>
    </xf>
    <xf borderId="4" fillId="3" fontId="10" numFmtId="0" xfId="0" applyAlignment="1" applyBorder="1" applyFill="1" applyFont="1">
      <alignment horizontal="center" readingOrder="0" shrinkToFit="0" vertical="bottom" wrapText="0"/>
    </xf>
    <xf borderId="1" fillId="3" fontId="5" numFmtId="3" xfId="0" applyAlignment="1" applyBorder="1" applyFill="1" applyFont="1" applyNumberFormat="1">
      <alignment horizontal="center" readingOrder="0" shrinkToFit="0" vertical="center" wrapText="0"/>
    </xf>
    <xf borderId="4" fillId="3" fontId="8" numFmtId="0" xfId="0" applyAlignment="1" applyBorder="1" applyFill="1" applyFont="1">
      <alignment horizontal="center" readingOrder="0" shrinkToFit="0" vertical="bottom" wrapText="0"/>
    </xf>
    <xf borderId="1" fillId="3" fontId="11" numFmtId="49" xfId="0" applyAlignment="1" applyBorder="1" applyFill="1" applyFont="1" applyNumberFormat="1">
      <alignment horizontal="center" shrinkToFit="0" vertical="center" wrapText="0"/>
    </xf>
    <xf borderId="1" fillId="46" fontId="11" numFmtId="0" xfId="0" applyAlignment="1" applyBorder="1" applyFill="1" applyFont="1">
      <alignment vertical="bottom"/>
    </xf>
    <xf borderId="1" fillId="0" fontId="11" numFmtId="167" xfId="0" applyAlignment="1" applyBorder="1" applyFont="1" applyNumberFormat="1">
      <alignment horizontal="center" vertical="bottom"/>
    </xf>
    <xf borderId="0" fillId="3" fontId="11" numFmtId="49" xfId="0" applyAlignment="1" applyFill="1" applyFont="1" applyNumberFormat="1">
      <alignment horizontal="center" vertical="bottom"/>
    </xf>
    <xf borderId="1" fillId="3" fontId="5" numFmtId="3" xfId="0" applyAlignment="1" applyBorder="1" applyFill="1" applyFont="1" applyNumberFormat="1">
      <alignment horizontal="center" readingOrder="0"/>
    </xf>
    <xf borderId="4" fillId="3" fontId="8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vertical="bottom" wrapText="0"/>
    </xf>
    <xf borderId="1" fillId="0" fontId="11" numFmtId="49" xfId="0" applyAlignment="1" applyBorder="1" applyFont="1" applyNumberFormat="1">
      <alignment vertical="bottom"/>
    </xf>
    <xf borderId="1" fillId="0" fontId="11" numFmtId="49" xfId="0" applyAlignment="1" applyBorder="1" applyFont="1" applyNumberFormat="1">
      <alignment horizontal="right" vertical="bottom"/>
    </xf>
    <xf borderId="1" fillId="0" fontId="11" numFmtId="167" xfId="0" applyAlignment="1" applyBorder="1" applyFont="1" applyNumberFormat="1">
      <alignment horizontal="right" vertical="bottom"/>
    </xf>
    <xf borderId="0" fillId="0" fontId="6" numFmtId="49" xfId="0" applyAlignment="1" applyFont="1" applyNumberFormat="1">
      <alignment horizontal="center"/>
    </xf>
    <xf borderId="0" fillId="3" fontId="11" numFmtId="167" xfId="0" applyAlignment="1" applyFill="1" applyFont="1" applyNumberFormat="1">
      <alignment horizontal="center" vertical="bottom"/>
    </xf>
    <xf borderId="5" fillId="3" fontId="11" numFmtId="49" xfId="0" applyAlignment="1" applyBorder="1" applyFill="1" applyFont="1" applyNumberForma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11" numFmtId="49" xfId="0" applyAlignment="1" applyFill="1" applyFont="1" applyNumberFormat="1">
      <alignment horizontal="center" shrinkToFit="0" vertical="bottom" wrapText="0"/>
    </xf>
    <xf borderId="0" fillId="3" fontId="11" numFmtId="0" xfId="0" applyAlignment="1" applyFill="1" applyFont="1">
      <alignment horizontal="center" shrinkToFit="0" vertical="center" wrapText="0"/>
    </xf>
    <xf borderId="0" fillId="3" fontId="8" numFmtId="0" xfId="0" applyAlignment="1" applyFill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3" fontId="11" numFmtId="0" xfId="0" applyAlignment="1" applyFill="1" applyFont="1">
      <alignment horizontal="center" shrinkToFit="0" vertical="center" wrapText="0"/>
    </xf>
    <xf borderId="0" fillId="3" fontId="11" numFmtId="167" xfId="0" applyAlignment="1" applyFill="1" applyFont="1" applyNumberFormat="1">
      <alignment horizontal="center" shrinkToFit="0" vertical="center" wrapText="0"/>
    </xf>
    <xf borderId="0" fillId="3" fontId="6" numFmtId="10" xfId="0" applyAlignment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bottom" wrapText="0"/>
    </xf>
    <xf borderId="0" fillId="3" fontId="8" numFmtId="0" xfId="0" applyAlignment="1" applyFill="1" applyFont="1">
      <alignment horizontal="center" readingOrder="0" shrinkToFit="0" vertical="bottom" wrapText="0"/>
    </xf>
    <xf borderId="1" fillId="3" fontId="11" numFmtId="167" xfId="0" applyAlignment="1" applyBorder="1" applyFill="1" applyFont="1" applyNumberFormat="1">
      <alignment horizontal="center"/>
    </xf>
    <xf borderId="0" fillId="3" fontId="14" numFmtId="10" xfId="0" applyAlignment="1" applyFill="1" applyFont="1" applyNumberFormat="1">
      <alignment horizontal="center" readingOrder="0" shrinkToFit="0" vertical="bottom" wrapText="0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3" fontId="5" numFmtId="3" xfId="0" applyAlignment="1" applyFill="1" applyFont="1" applyNumberFormat="1">
      <alignment horizontal="center" readingOrder="0"/>
    </xf>
    <xf borderId="0" fillId="3" fontId="8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6" numFmtId="49" xfId="0" applyFont="1" applyNumberFormat="1"/>
    <xf borderId="0" fillId="0" fontId="6" numFmtId="167" xfId="0" applyFont="1" applyNumberFormat="1"/>
    <xf borderId="0" fillId="2" fontId="1" numFmtId="49" xfId="0" applyAlignment="1" applyFill="1" applyFont="1" applyNumberFormat="1">
      <alignment horizontal="center" readingOrder="0" shrinkToFit="0" vertical="center" wrapText="0"/>
    </xf>
    <xf borderId="1" fillId="3" fontId="22" numFmtId="0" xfId="0" applyAlignment="1" applyBorder="1" applyFill="1" applyFont="1">
      <alignment horizontal="center" readingOrder="0" shrinkToFit="0" vertical="bottom" wrapText="0"/>
    </xf>
    <xf borderId="1" fillId="3" fontId="22" numFmtId="10" xfId="0" applyAlignment="1" applyBorder="1" applyFill="1" applyFont="1" applyNumberFormat="1">
      <alignment horizontal="center" readingOrder="0" shrinkToFit="0" vertical="bottom" wrapText="0"/>
    </xf>
    <xf borderId="1" fillId="3" fontId="22" numFmtId="165" xfId="0" applyAlignment="1" applyBorder="1" applyFill="1" applyFont="1" applyNumberFormat="1">
      <alignment horizontal="center" readingOrder="0" shrinkToFit="0" vertical="bottom" wrapText="0"/>
    </xf>
    <xf borderId="1" fillId="3" fontId="11" numFmtId="164" xfId="0" applyAlignment="1" applyBorder="1" applyFill="1" applyFont="1" applyNumberFormat="1">
      <alignment shrinkToFit="0" vertical="bottom" wrapText="0"/>
    </xf>
    <xf borderId="1" fillId="3" fontId="13" numFmtId="164" xfId="0" applyAlignment="1" applyBorder="1" applyFill="1" applyFont="1" applyNumberFormat="1">
      <alignment shrinkToFit="0" vertical="bottom" wrapText="0"/>
    </xf>
    <xf borderId="1" fillId="3" fontId="13" numFmtId="0" xfId="0" applyAlignment="1" applyBorder="1" applyFill="1" applyFont="1">
      <alignment shrinkToFit="0" vertical="bottom" wrapText="0"/>
    </xf>
    <xf borderId="1" fillId="3" fontId="13" numFmtId="10" xfId="0" applyAlignment="1" applyBorder="1" applyFill="1" applyFont="1" applyNumberForma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11" numFmtId="164" xfId="0" applyAlignment="1" applyBorder="1" applyFill="1" applyFont="1" applyNumberFormat="1">
      <alignment horizontal="center" readingOrder="0" shrinkToFit="0" vertical="bottom" wrapText="0"/>
    </xf>
    <xf borderId="1" fillId="3" fontId="13" numFmtId="164" xfId="0" applyAlignment="1" applyBorder="1" applyFill="1" applyFont="1" applyNumberFormat="1">
      <alignment horizontal="center" readingOrder="0" shrinkToFit="0" vertical="bottom" wrapText="0"/>
    </xf>
    <xf borderId="1" fillId="3" fontId="13" numFmtId="0" xfId="0" applyAlignment="1" applyBorder="1" applyFill="1" applyFont="1">
      <alignment horizontal="center" readingOrder="0" shrinkToFit="0" vertical="bottom" wrapText="0"/>
    </xf>
    <xf borderId="1" fillId="3" fontId="13" numFmtId="10" xfId="0" applyAlignment="1" applyBorder="1" applyFill="1" applyFont="1" applyNumberFormat="1">
      <alignment horizontal="center" readingOrder="0" shrinkToFit="0" vertical="bottom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1" fillId="47" fontId="11" numFmtId="167" xfId="0" applyAlignment="1" applyBorder="1" applyFill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1" fillId="3" fontId="11" numFmtId="167" xfId="0" applyAlignment="1" applyBorder="1" applyFill="1" applyFont="1" applyNumberFormat="1">
      <alignment horizontal="center" shrinkToFit="0" vertical="bottom" wrapText="0"/>
    </xf>
    <xf borderId="1" fillId="48" fontId="11" numFmtId="167" xfId="0" applyAlignment="1" applyBorder="1" applyFill="1" applyFont="1" applyNumberFormat="1">
      <alignment horizontal="center" shrinkToFit="0" vertical="bottom" wrapText="0"/>
    </xf>
    <xf borderId="3" fillId="49" fontId="14" numFmtId="10" xfId="0" applyAlignment="1" applyBorder="1" applyFill="1" applyFont="1" applyNumberFormat="1">
      <alignment horizontal="center" shrinkToFit="0" vertical="bottom" wrapText="0"/>
    </xf>
    <xf borderId="1" fillId="50" fontId="11" numFmtId="167" xfId="0" applyAlignment="1" applyBorder="1" applyFill="1" applyFont="1" applyNumberFormat="1">
      <alignment horizontal="center" shrinkToFit="0" vertical="bottom" wrapText="0"/>
    </xf>
    <xf borderId="1" fillId="51" fontId="11" numFmtId="167" xfId="0" applyAlignment="1" applyBorder="1" applyFill="1" applyFont="1" applyNumberFormat="1">
      <alignment horizontal="center" shrinkToFit="0" vertical="bottom" wrapText="0"/>
    </xf>
    <xf borderId="3" fillId="52" fontId="14" numFmtId="10" xfId="0" applyAlignment="1" applyBorder="1" applyFill="1" applyFont="1" applyNumberFormat="1">
      <alignment horizontal="center" shrinkToFit="0" vertical="bottom" wrapText="0"/>
    </xf>
    <xf borderId="1" fillId="53" fontId="11" numFmtId="167" xfId="0" applyAlignment="1" applyBorder="1" applyFill="1" applyFont="1" applyNumberFormat="1">
      <alignment horizontal="center" shrinkToFit="0" vertical="bottom" wrapText="0"/>
    </xf>
    <xf borderId="1" fillId="54" fontId="11" numFmtId="167" xfId="0" applyAlignment="1" applyBorder="1" applyFill="1" applyFont="1" applyNumberFormat="1">
      <alignment horizontal="center" shrinkToFit="0" vertical="bottom" wrapText="0"/>
    </xf>
    <xf borderId="1" fillId="55" fontId="11" numFmtId="167" xfId="0" applyAlignment="1" applyBorder="1" applyFill="1" applyFont="1" applyNumberFormat="1">
      <alignment horizontal="center" shrinkToFit="0" vertical="bottom" wrapText="0"/>
    </xf>
    <xf borderId="1" fillId="56" fontId="11" numFmtId="167" xfId="0" applyAlignment="1" applyBorder="1" applyFill="1" applyFont="1" applyNumberFormat="1">
      <alignment horizontal="center" shrinkToFit="0" vertical="bottom" wrapText="0"/>
    </xf>
    <xf borderId="1" fillId="57" fontId="11" numFmtId="167" xfId="0" applyAlignment="1" applyBorder="1" applyFill="1" applyFont="1" applyNumberFormat="1">
      <alignment horizontal="center" shrinkToFit="0" vertical="bottom" wrapText="0"/>
    </xf>
    <xf borderId="1" fillId="58" fontId="11" numFmtId="167" xfId="0" applyAlignment="1" applyBorder="1" applyFill="1" applyFont="1" applyNumberFormat="1">
      <alignment horizontal="center" shrinkToFit="0" vertical="bottom" wrapText="0"/>
    </xf>
    <xf borderId="1" fillId="59" fontId="11" numFmtId="167" xfId="0" applyAlignment="1" applyBorder="1" applyFill="1" applyFont="1" applyNumberFormat="1">
      <alignment horizontal="center" shrinkToFit="0" vertical="bottom" wrapText="0"/>
    </xf>
    <xf borderId="3" fillId="52" fontId="14" numFmtId="10" xfId="0" applyAlignment="1" applyBorder="1" applyFill="1" applyFont="1" applyNumberFormat="1">
      <alignment horizontal="center" readingOrder="0" shrinkToFit="0" vertical="bottom" wrapText="0"/>
    </xf>
    <xf borderId="3" fillId="49" fontId="14" numFmtId="10" xfId="0" applyAlignment="1" applyBorder="1" applyFill="1" applyFont="1" applyNumberFormat="1">
      <alignment horizontal="center" readingOrder="0" shrinkToFit="0" vertical="bottom" wrapText="0"/>
    </xf>
    <xf borderId="1" fillId="60" fontId="11" numFmtId="167" xfId="0" applyAlignment="1" applyBorder="1" applyFill="1" applyFont="1" applyNumberFormat="1">
      <alignment horizontal="center" shrinkToFit="0" vertical="bottom" wrapText="0"/>
    </xf>
    <xf borderId="1" fillId="61" fontId="11" numFmtId="167" xfId="0" applyAlignment="1" applyBorder="1" applyFill="1" applyFont="1" applyNumberFormat="1">
      <alignment horizontal="center" shrinkToFit="0" vertical="bottom" wrapText="0"/>
    </xf>
    <xf borderId="1" fillId="62" fontId="11" numFmtId="167" xfId="0" applyAlignment="1" applyBorder="1" applyFill="1" applyFont="1" applyNumberFormat="1">
      <alignment horizontal="center" shrinkToFit="0" vertical="bottom" wrapText="0"/>
    </xf>
    <xf borderId="1" fillId="63" fontId="11" numFmtId="167" xfId="0" applyAlignment="1" applyBorder="1" applyFill="1" applyFont="1" applyNumberFormat="1">
      <alignment horizontal="center" shrinkToFit="0" vertical="bottom" wrapText="0"/>
    </xf>
    <xf borderId="1" fillId="64" fontId="11" numFmtId="167" xfId="0" applyAlignment="1" applyBorder="1" applyFill="1" applyFont="1" applyNumberFormat="1">
      <alignment horizontal="center" shrinkToFit="0" vertical="bottom" wrapText="0"/>
    </xf>
    <xf borderId="1" fillId="65" fontId="11" numFmtId="167" xfId="0" applyAlignment="1" applyBorder="1" applyFill="1" applyFont="1" applyNumberFormat="1">
      <alignment horizontal="center" shrinkToFit="0" vertical="bottom" wrapText="0"/>
    </xf>
    <xf borderId="1" fillId="66" fontId="11" numFmtId="167" xfId="0" applyAlignment="1" applyBorder="1" applyFill="1" applyFont="1" applyNumberFormat="1">
      <alignment horizontal="center" shrinkToFit="0" vertical="bottom" wrapText="0"/>
    </xf>
    <xf borderId="1" fillId="67" fontId="11" numFmtId="167" xfId="0" applyAlignment="1" applyBorder="1" applyFill="1" applyFont="1" applyNumberFormat="1">
      <alignment horizontal="center" shrinkToFit="0" vertical="bottom" wrapText="0"/>
    </xf>
    <xf borderId="1" fillId="68" fontId="11" numFmtId="167" xfId="0" applyAlignment="1" applyBorder="1" applyFill="1" applyFont="1" applyNumberFormat="1">
      <alignment horizontal="center" shrinkToFit="0" vertical="bottom" wrapText="0"/>
    </xf>
    <xf borderId="1" fillId="0" fontId="8" numFmtId="166" xfId="0" applyAlignment="1" applyBorder="1" applyFont="1" applyNumberFormat="1">
      <alignment horizontal="center" readingOrder="0" shrinkToFit="0" vertical="bottom" wrapText="0"/>
    </xf>
    <xf borderId="1" fillId="69" fontId="11" numFmtId="167" xfId="0" applyAlignment="1" applyBorder="1" applyFill="1" applyFont="1" applyNumberFormat="1">
      <alignment horizontal="center" shrinkToFit="0" vertical="bottom" wrapText="0"/>
    </xf>
    <xf borderId="1" fillId="3" fontId="23" numFmtId="0" xfId="0" applyAlignment="1" applyBorder="1" applyFill="1" applyFont="1">
      <alignment horizontal="center" shrinkToFit="0" vertical="bottom" wrapText="0"/>
    </xf>
    <xf borderId="1" fillId="70" fontId="11" numFmtId="167" xfId="0" applyAlignment="1" applyBorder="1" applyFill="1" applyFont="1" applyNumberFormat="1">
      <alignment horizontal="center" shrinkToFit="0" vertical="bottom" wrapText="0"/>
    </xf>
    <xf borderId="1" fillId="71" fontId="11" numFmtId="167" xfId="0" applyAlignment="1" applyBorder="1" applyFill="1" applyFont="1" applyNumberFormat="1">
      <alignment horizontal="center" shrinkToFit="0" vertical="bottom" wrapText="0"/>
    </xf>
    <xf borderId="1" fillId="72" fontId="11" numFmtId="167" xfId="0" applyAlignment="1" applyBorder="1" applyFill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horizontal="center" readingOrder="0" shrinkToFit="0" vertical="bottom" wrapText="0"/>
    </xf>
    <xf borderId="1" fillId="3" fontId="11" numFmtId="167" xfId="0" applyAlignment="1" applyBorder="1" applyFill="1" applyFont="1" applyNumberFormat="1">
      <alignment horizontal="center" readingOrder="0" shrinkToFit="0" vertical="bottom" wrapText="0"/>
    </xf>
    <xf borderId="1" fillId="3" fontId="11" numFmtId="0" xfId="0" applyAlignment="1" applyBorder="1" applyFill="1" applyFont="1">
      <alignment horizontal="center" readingOrder="0" shrinkToFit="0" vertical="bottom" wrapText="0"/>
    </xf>
    <xf borderId="1" fillId="73" fontId="11" numFmtId="167" xfId="0" applyAlignment="1" applyBorder="1" applyFill="1" applyFont="1" applyNumberFormat="1">
      <alignment horizontal="center" shrinkToFit="0" vertical="bottom" wrapText="0"/>
    </xf>
    <xf borderId="1" fillId="74" fontId="11" numFmtId="167" xfId="0" applyAlignment="1" applyBorder="1" applyFill="1" applyFont="1" applyNumberFormat="1">
      <alignment horizontal="center" shrinkToFit="0" vertical="bottom" wrapText="0"/>
    </xf>
    <xf borderId="1" fillId="75" fontId="11" numFmtId="167" xfId="0" applyAlignment="1" applyBorder="1" applyFill="1" applyFont="1" applyNumberFormat="1">
      <alignment horizontal="center" shrinkToFit="0" vertical="bottom" wrapText="0"/>
    </xf>
    <xf borderId="1" fillId="76" fontId="11" numFmtId="167" xfId="0" applyAlignment="1" applyBorder="1" applyFill="1" applyFont="1" applyNumberFormat="1">
      <alignment horizontal="center" shrinkToFit="0" vertical="center" wrapText="0"/>
    </xf>
    <xf borderId="1" fillId="77" fontId="11" numFmtId="167" xfId="0" applyAlignment="1" applyBorder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3" fillId="3" fontId="24" numFmtId="3" xfId="0" applyAlignment="1" applyBorder="1" applyFill="1" applyFont="1" applyNumberFormat="1">
      <alignment horizontal="center" shrinkToFit="0" wrapText="1"/>
    </xf>
    <xf borderId="3" fillId="3" fontId="24" numFmtId="3" xfId="0" applyAlignment="1" applyBorder="1" applyFill="1" applyFont="1" applyNumberFormat="1">
      <alignment shrinkToFit="0" wrapText="1"/>
    </xf>
    <xf borderId="3" fillId="3" fontId="25" numFmtId="3" xfId="0" applyAlignment="1" applyBorder="1" applyFill="1" applyFont="1" applyNumberFormat="1">
      <alignment horizontal="center" readingOrder="0" shrinkToFit="0" wrapText="1"/>
    </xf>
    <xf borderId="3" fillId="3" fontId="14" numFmtId="1" xfId="0" applyAlignment="1" applyBorder="1" applyFill="1" applyFont="1" applyNumberFormat="1">
      <alignment vertical="bottom"/>
    </xf>
    <xf borderId="1" fillId="78" fontId="11" numFmtId="167" xfId="0" applyAlignment="1" applyBorder="1" applyFill="1" applyFont="1" applyNumberFormat="1">
      <alignment horizontal="center" shrinkToFit="0" vertical="center" wrapText="0"/>
    </xf>
    <xf borderId="0" fillId="3" fontId="6" numFmtId="0" xfId="0" applyAlignment="1" applyFill="1" applyFont="1">
      <alignment horizontal="right" readingOrder="0"/>
    </xf>
    <xf borderId="1" fillId="79" fontId="11" numFmtId="167" xfId="0" applyAlignment="1" applyBorder="1" applyFill="1" applyFont="1" applyNumberFormat="1">
      <alignment horizontal="center" shrinkToFit="0" vertical="center" wrapText="0"/>
    </xf>
    <xf borderId="1" fillId="80" fontId="11" numFmtId="167" xfId="0" applyAlignment="1" applyBorder="1" applyFill="1" applyFont="1" applyNumberFormat="1">
      <alignment horizontal="center" shrinkToFit="0" vertical="center" wrapText="0"/>
    </xf>
    <xf borderId="1" fillId="69" fontId="11" numFmtId="167" xfId="0" applyAlignment="1" applyBorder="1" applyFill="1" applyFont="1" applyNumberFormat="1">
      <alignment horizontal="center" shrinkToFit="0" vertical="center" wrapText="0"/>
    </xf>
    <xf borderId="1" fillId="66" fontId="11" numFmtId="167" xfId="0" applyAlignment="1" applyBorder="1" applyFill="1" applyFont="1" applyNumberFormat="1">
      <alignment horizontal="center" shrinkToFit="0" vertical="center" wrapText="0"/>
    </xf>
    <xf borderId="1" fillId="62" fontId="11" numFmtId="167" xfId="0" applyAlignment="1" applyBorder="1" applyFill="1" applyFont="1" applyNumberFormat="1">
      <alignment horizontal="center" shrinkToFit="0" vertical="center" wrapText="0"/>
    </xf>
    <xf borderId="1" fillId="81" fontId="11" numFmtId="167" xfId="0" applyAlignment="1" applyBorder="1" applyFill="1" applyFont="1" applyNumberFormat="1">
      <alignment horizontal="center" shrinkToFit="0" vertical="center" wrapText="0"/>
    </xf>
    <xf borderId="1" fillId="82" fontId="11" numFmtId="167" xfId="0" applyAlignment="1" applyBorder="1" applyFill="1" applyFont="1" applyNumberFormat="1">
      <alignment horizontal="center" shrinkToFit="0" vertical="center" wrapText="0"/>
    </xf>
    <xf borderId="1" fillId="61" fontId="11" numFmtId="167" xfId="0" applyAlignment="1" applyBorder="1" applyFill="1" applyFont="1" applyNumberFormat="1">
      <alignment horizontal="center" shrinkToFit="0" vertical="center" wrapText="0"/>
    </xf>
    <xf borderId="1" fillId="57" fontId="11" numFmtId="167" xfId="0" applyAlignment="1" applyBorder="1" applyFill="1" applyFont="1" applyNumberFormat="1">
      <alignment horizontal="center" shrinkToFit="0" vertical="center" wrapText="0"/>
    </xf>
    <xf borderId="1" fillId="48" fontId="11" numFmtId="167" xfId="0" applyAlignment="1" applyBorder="1" applyFill="1" applyFont="1" applyNumberFormat="1">
      <alignment horizontal="center" shrinkToFit="0" vertical="center" wrapText="0"/>
    </xf>
    <xf borderId="1" fillId="83" fontId="11" numFmtId="167" xfId="0" applyAlignment="1" applyBorder="1" applyFill="1" applyFont="1" applyNumberFormat="1">
      <alignment horizontal="center" shrinkToFit="0" vertical="center" wrapText="0"/>
    </xf>
    <xf borderId="1" fillId="84" fontId="11" numFmtId="167" xfId="0" applyAlignment="1" applyBorder="1" applyFill="1" applyFont="1" applyNumberFormat="1">
      <alignment horizontal="center" shrinkToFit="0" vertical="center" wrapText="0"/>
    </xf>
    <xf borderId="1" fillId="85" fontId="11" numFmtId="167" xfId="0" applyAlignment="1" applyBorder="1" applyFill="1" applyFont="1" applyNumberFormat="1">
      <alignment horizontal="center" shrinkToFit="0" vertical="center" wrapText="0"/>
    </xf>
    <xf borderId="1" fillId="86" fontId="11" numFmtId="167" xfId="0" applyAlignment="1" applyBorder="1" applyFill="1" applyFont="1" applyNumberFormat="1">
      <alignment horizontal="center" shrinkToFit="0" vertical="center" wrapText="0"/>
    </xf>
    <xf borderId="0" fillId="3" fontId="11" numFmtId="0" xfId="0" applyAlignment="1" applyFill="1" applyFont="1">
      <alignment horizontal="center" shrinkToFit="0" vertical="center" wrapText="0"/>
    </xf>
    <xf borderId="0" fillId="3" fontId="11" numFmtId="167" xfId="0" applyAlignment="1" applyFill="1" applyFont="1" applyNumberFormat="1">
      <alignment horizontal="center" shrinkToFit="0" vertical="center" wrapText="0"/>
    </xf>
    <xf borderId="0" fillId="3" fontId="11" numFmtId="0" xfId="0" applyAlignment="1" applyFill="1" applyFont="1">
      <alignment horizontal="center" shrinkToFit="0" vertical="center" wrapText="0"/>
    </xf>
    <xf borderId="0" fillId="3" fontId="14" numFmtId="10" xfId="0" applyAlignment="1" applyFill="1" applyFont="1" applyNumberFormat="1">
      <alignment horizontal="center" readingOrder="0" shrinkToFit="0" vertical="bottom" wrapText="0"/>
    </xf>
    <xf borderId="1" fillId="0" fontId="22" numFmtId="0" xfId="0" applyAlignment="1" applyBorder="1" applyFont="1">
      <alignment horizontal="center" shrinkToFit="0" vertical="bottom" wrapText="0"/>
    </xf>
    <xf borderId="1" fillId="3" fontId="22" numFmtId="0" xfId="0" applyAlignment="1" applyBorder="1" applyFill="1" applyFont="1">
      <alignment horizontal="center" shrinkToFit="0" vertical="bottom" wrapText="0"/>
    </xf>
    <xf borderId="1" fillId="3" fontId="22" numFmtId="10" xfId="0" applyAlignment="1" applyBorder="1" applyFill="1" applyFont="1" applyNumberFormat="1">
      <alignment horizontal="center" shrinkToFit="0" vertical="bottom" wrapText="0"/>
    </xf>
    <xf borderId="1" fillId="3" fontId="22" numFmtId="165" xfId="0" applyAlignment="1" applyBorder="1" applyFill="1" applyFont="1" applyNumberFormat="1">
      <alignment horizontal="center" shrinkToFit="0" vertical="bottom" wrapText="0"/>
    </xf>
    <xf borderId="1" fillId="3" fontId="22" numFmtId="164" xfId="0" applyAlignment="1" applyBorder="1" applyFill="1" applyFont="1" applyNumberFormat="1">
      <alignment horizontal="center" shrinkToFit="0" vertical="bottom" wrapText="0"/>
    </xf>
    <xf borderId="0" fillId="3" fontId="22" numFmtId="0" xfId="0" applyAlignment="1" applyFill="1" applyFont="1">
      <alignment horizontal="center" shrinkToFit="0" vertical="bottom" wrapText="0"/>
    </xf>
    <xf borderId="1" fillId="3" fontId="11" numFmtId="10" xfId="0" applyAlignment="1" applyBorder="1" applyFill="1" applyFont="1" applyNumberFormat="1">
      <alignment shrinkToFit="0" vertical="bottom" wrapText="0"/>
    </xf>
    <xf borderId="1" fillId="3" fontId="11" numFmtId="164" xfId="0" applyAlignment="1" applyBorder="1" applyFill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87" fontId="3" numFmtId="0" xfId="0" applyAlignment="1" applyBorder="1" applyFill="1" applyFont="1">
      <alignment horizontal="center" shrinkToFit="0" vertical="bottom" wrapText="0"/>
    </xf>
    <xf borderId="1" fillId="88" fontId="3" numFmtId="10" xfId="0" applyAlignment="1" applyBorder="1" applyFill="1" applyFont="1" applyNumberFormat="1">
      <alignment horizontal="center" shrinkToFit="0" vertical="bottom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1" fillId="8" fontId="3" numFmtId="0" xfId="0" applyAlignment="1" applyBorder="1" applyFill="1" applyFont="1">
      <alignment horizontal="center" shrinkToFit="0" vertical="bottom" wrapText="0"/>
    </xf>
    <xf borderId="1" fillId="89" fontId="3" numFmtId="10" xfId="0" applyAlignment="1" applyBorder="1" applyFill="1" applyFont="1" applyNumberForma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29" fontId="3" numFmtId="0" xfId="0" applyAlignment="1" applyBorder="1" applyFill="1" applyFont="1">
      <alignment horizontal="center" shrinkToFit="0" vertical="bottom" wrapText="0"/>
    </xf>
    <xf borderId="1" fillId="90" fontId="3" numFmtId="10" xfId="0" applyAlignment="1" applyBorder="1" applyFill="1" applyFont="1" applyNumberFormat="1">
      <alignment horizontal="center" shrinkToFit="0" vertical="bottom" wrapText="0"/>
    </xf>
    <xf borderId="1" fillId="14" fontId="3" numFmtId="0" xfId="0" applyAlignment="1" applyBorder="1" applyFill="1" applyFont="1">
      <alignment horizontal="center" readingOrder="0" shrinkToFit="0" vertical="bottom" wrapText="0"/>
    </xf>
    <xf borderId="1" fillId="8" fontId="3" numFmtId="10" xfId="0" applyAlignment="1" applyBorder="1" applyFill="1" applyFont="1" applyNumberFormat="1">
      <alignment horizontal="center" readingOrder="0" shrinkToFit="0" vertical="bottom" wrapText="0"/>
    </xf>
    <xf borderId="1" fillId="39" fontId="3" numFmtId="0" xfId="0" applyAlignment="1" applyBorder="1" applyFill="1" applyFont="1">
      <alignment horizontal="center" readingOrder="0" shrinkToFit="0" vertical="bottom" wrapText="0"/>
    </xf>
    <xf borderId="1" fillId="14" fontId="3" numFmtId="10" xfId="0" applyAlignment="1" applyBorder="1" applyFill="1" applyFont="1" applyNumberFormat="1">
      <alignment horizontal="center" readingOrder="0" shrinkToFit="0" vertical="bottom" wrapText="0"/>
    </xf>
    <xf borderId="1" fillId="91" fontId="3" numFmtId="10" xfId="0" applyAlignment="1" applyBorder="1" applyFill="1" applyFont="1" applyNumberFormat="1">
      <alignment horizontal="center" shrinkToFit="0" vertical="bottom" wrapText="0"/>
    </xf>
    <xf borderId="1" fillId="14" fontId="3" numFmtId="0" xfId="0" applyAlignment="1" applyBorder="1" applyFill="1" applyFont="1">
      <alignment horizontal="center" shrinkToFit="0" vertical="bottom" wrapText="0"/>
    </xf>
    <xf borderId="1" fillId="39" fontId="3" numFmtId="10" xfId="0" applyAlignment="1" applyBorder="1" applyFill="1" applyFont="1" applyNumberFormat="1">
      <alignment horizontal="center" shrinkToFit="0" vertical="bottom" wrapText="0"/>
    </xf>
    <xf borderId="1" fillId="92" fontId="3" numFmtId="0" xfId="0" applyAlignment="1" applyBorder="1" applyFill="1" applyFont="1">
      <alignment horizontal="center" shrinkToFit="0" vertical="bottom" wrapText="0"/>
    </xf>
    <xf borderId="1" fillId="93" fontId="3" numFmtId="10" xfId="0" applyAlignment="1" applyBorder="1" applyFill="1" applyFont="1" applyNumberFormat="1">
      <alignment horizontal="center" shrinkToFit="0" vertical="bottom" wrapText="0"/>
    </xf>
    <xf borderId="1" fillId="9" fontId="3" numFmtId="10" xfId="0" applyAlignment="1" applyBorder="1" applyFill="1" applyFont="1" applyNumberFormat="1">
      <alignment horizontal="center" readingOrder="0" shrinkToFit="0" vertical="bottom" wrapText="0"/>
    </xf>
    <xf borderId="1" fillId="15" fontId="3" numFmtId="10" xfId="0" applyAlignment="1" applyBorder="1" applyFill="1" applyFont="1" applyNumberFormat="1">
      <alignment horizontal="center" readingOrder="0" shrinkToFit="0" vertical="bottom" wrapText="0"/>
    </xf>
    <xf borderId="1" fillId="94" fontId="3" numFmtId="0" xfId="0" applyAlignment="1" applyBorder="1" applyFill="1" applyFont="1">
      <alignment horizontal="center" shrinkToFit="0" vertical="bottom" wrapText="0"/>
    </xf>
    <xf borderId="1" fillId="95" fontId="3" numFmtId="10" xfId="0" applyAlignment="1" applyBorder="1" applyFill="1" applyFont="1" applyNumberFormat="1">
      <alignment horizontal="center" shrinkToFit="0" vertical="bottom" wrapText="0"/>
    </xf>
    <xf borderId="1" fillId="96" fontId="3" numFmtId="0" xfId="0" applyAlignment="1" applyBorder="1" applyFill="1" applyFont="1">
      <alignment horizontal="center" shrinkToFit="0" vertical="bottom" wrapText="0"/>
    </xf>
    <xf borderId="1" fillId="97" fontId="3" numFmtId="10" xfId="0" applyAlignment="1" applyBorder="1" applyFill="1" applyFont="1" applyNumberFormat="1">
      <alignment horizontal="center" shrinkToFit="0" vertical="bottom" wrapText="0"/>
    </xf>
    <xf borderId="1" fillId="98" fontId="3" numFmtId="0" xfId="0" applyAlignment="1" applyBorder="1" applyFill="1" applyFont="1">
      <alignment horizontal="center" shrinkToFit="0" vertical="bottom" wrapText="0"/>
    </xf>
    <xf borderId="1" fillId="99" fontId="3" numFmtId="10" xfId="0" applyAlignment="1" applyBorder="1" applyFill="1" applyFont="1" applyNumberFormat="1">
      <alignment horizontal="center" shrinkToFit="0" vertical="bottom" wrapText="0"/>
    </xf>
    <xf borderId="1" fillId="11" fontId="3" numFmtId="10" xfId="0" applyAlignment="1" applyBorder="1" applyFill="1" applyFont="1" applyNumberFormat="1">
      <alignment horizontal="center" readingOrder="0" shrinkToFit="0" vertical="bottom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1" fillId="100" fontId="3" numFmtId="10" xfId="0" applyAlignment="1" applyBorder="1" applyFill="1" applyFont="1" applyNumberFormat="1">
      <alignment horizontal="center" shrinkToFit="0" vertical="bottom" wrapText="0"/>
    </xf>
    <xf borderId="1" fillId="101" fontId="3" numFmtId="0" xfId="0" applyAlignment="1" applyBorder="1" applyFill="1" applyFont="1">
      <alignment horizontal="center" shrinkToFit="0" vertical="bottom" wrapText="0"/>
    </xf>
    <xf borderId="1" fillId="102" fontId="3" numFmtId="10" xfId="0" applyAlignment="1" applyBorder="1" applyFill="1" applyFont="1" applyNumberFormat="1">
      <alignment horizontal="center" shrinkToFit="0" vertical="bottom" wrapText="0"/>
    </xf>
    <xf borderId="1" fillId="103" fontId="3" numFmtId="10" xfId="0" applyAlignment="1" applyBorder="1" applyFill="1" applyFont="1" applyNumberFormat="1">
      <alignment horizontal="center" shrinkToFit="0" vertical="bottom" wrapText="0"/>
    </xf>
    <xf borderId="1" fillId="104" fontId="3" numFmtId="0" xfId="0" applyAlignment="1" applyBorder="1" applyFill="1" applyFont="1">
      <alignment horizontal="center" shrinkToFit="0" vertical="bottom" wrapText="0"/>
    </xf>
    <xf borderId="1" fillId="105" fontId="3" numFmtId="49" xfId="0" applyAlignment="1" applyBorder="1" applyFill="1" applyFont="1" applyNumberFormat="1">
      <alignment horizontal="center" shrinkToFit="0" vertical="bottom" wrapText="0"/>
    </xf>
    <xf borderId="1" fillId="106" fontId="3" numFmtId="10" xfId="0" applyAlignment="1" applyBorder="1" applyFill="1" applyFont="1" applyNumberFormat="1">
      <alignment horizontal="center" shrinkToFit="0" vertical="bottom" wrapText="0"/>
    </xf>
    <xf borderId="1" fillId="107" fontId="3" numFmtId="0" xfId="0" applyAlignment="1" applyBorder="1" applyFill="1" applyFont="1">
      <alignment horizontal="center" shrinkToFit="0" vertical="bottom" wrapText="0"/>
    </xf>
    <xf borderId="1" fillId="108" fontId="3" numFmtId="10" xfId="0" applyAlignment="1" applyBorder="1" applyFill="1" applyFont="1" applyNumberFormat="1">
      <alignment horizontal="center" shrinkToFit="0" vertical="bottom" wrapText="0"/>
    </xf>
    <xf borderId="1" fillId="109" fontId="3" numFmtId="0" xfId="0" applyAlignment="1" applyBorder="1" applyFill="1" applyFont="1">
      <alignment horizontal="center" shrinkToFit="0" vertical="bottom" wrapText="0"/>
    </xf>
    <xf borderId="1" fillId="110" fontId="3" numFmtId="49" xfId="0" applyAlignment="1" applyBorder="1" applyFill="1" applyFont="1" applyNumberFormat="1">
      <alignment horizontal="center" shrinkToFit="0" vertical="bottom" wrapText="0"/>
    </xf>
    <xf borderId="1" fillId="111" fontId="3" numFmtId="0" xfId="0" applyAlignment="1" applyBorder="1" applyFill="1" applyFont="1">
      <alignment horizontal="center" shrinkToFit="0" vertical="bottom" wrapText="0"/>
    </xf>
    <xf borderId="1" fillId="112" fontId="3" numFmtId="10" xfId="0" applyAlignment="1" applyBorder="1" applyFill="1" applyFont="1" applyNumberFormat="1">
      <alignment horizontal="center" shrinkToFit="0" vertical="bottom" wrapText="0"/>
    </xf>
    <xf borderId="1" fillId="113" fontId="3" numFmtId="0" xfId="0" applyAlignment="1" applyBorder="1" applyFill="1" applyFont="1">
      <alignment horizontal="center" shrinkToFit="0" vertical="bottom" wrapText="0"/>
    </xf>
    <xf borderId="1" fillId="114" fontId="3" numFmtId="10" xfId="0" applyAlignment="1" applyBorder="1" applyFill="1" applyFont="1" applyNumberFormat="1">
      <alignment horizontal="center" shrinkToFit="0" vertical="bottom" wrapText="0"/>
    </xf>
    <xf borderId="1" fillId="115" fontId="3" numFmtId="0" xfId="0" applyAlignment="1" applyBorder="1" applyFill="1" applyFont="1">
      <alignment horizontal="center" shrinkToFit="0" vertical="bottom" wrapText="0"/>
    </xf>
    <xf borderId="1" fillId="14" fontId="3" numFmtId="49" xfId="0" applyAlignment="1" applyBorder="1" applyFill="1" applyFont="1" applyNumberFormat="1">
      <alignment horizontal="center" shrinkToFit="0" vertical="bottom" wrapText="0"/>
    </xf>
    <xf borderId="1" fillId="116" fontId="3" numFmtId="0" xfId="0" applyAlignment="1" applyBorder="1" applyFill="1" applyFont="1">
      <alignment horizontal="center" shrinkToFit="0" vertical="bottom" wrapText="0"/>
    </xf>
    <xf borderId="1" fillId="117" fontId="3" numFmtId="10" xfId="0" applyAlignment="1" applyBorder="1" applyFill="1" applyFont="1" applyNumberFormat="1">
      <alignment horizontal="center" shrinkToFit="0" vertical="bottom" wrapText="0"/>
    </xf>
    <xf borderId="1" fillId="118" fontId="3" numFmtId="0" xfId="0" applyAlignment="1" applyBorder="1" applyFill="1" applyFont="1">
      <alignment horizontal="center" shrinkToFit="0" vertical="bottom" wrapText="0"/>
    </xf>
    <xf borderId="1" fillId="119" fontId="3" numFmtId="10" xfId="0" applyAlignment="1" applyBorder="1" applyFill="1" applyFont="1" applyNumberFormat="1">
      <alignment horizontal="center" shrinkToFit="0" vertical="bottom" wrapText="0"/>
    </xf>
    <xf borderId="1" fillId="120" fontId="3" numFmtId="0" xfId="0" applyAlignment="1" applyBorder="1" applyFill="1" applyFont="1">
      <alignment horizontal="center" shrinkToFit="0" vertical="bottom" wrapText="0"/>
    </xf>
    <xf borderId="1" fillId="121" fontId="3" numFmtId="49" xfId="0" applyAlignment="1" applyBorder="1" applyFill="1" applyFont="1" applyNumberFormat="1">
      <alignment horizontal="center" shrinkToFit="0" vertical="bottom" wrapText="0"/>
    </xf>
    <xf borderId="1" fillId="122" fontId="3" numFmtId="0" xfId="0" applyAlignment="1" applyBorder="1" applyFill="1" applyFont="1">
      <alignment horizontal="center" shrinkToFit="0" vertical="bottom" wrapText="0"/>
    </xf>
    <xf borderId="1" fillId="123" fontId="3" numFmtId="10" xfId="0" applyAlignment="1" applyBorder="1" applyFill="1" applyFont="1" applyNumberFormat="1">
      <alignment horizontal="center" shrinkToFit="0" vertical="bottom" wrapText="0"/>
    </xf>
    <xf borderId="1" fillId="124" fontId="3" numFmtId="0" xfId="0" applyAlignment="1" applyBorder="1" applyFill="1" applyFont="1">
      <alignment horizontal="center" shrinkToFit="0" vertical="bottom" wrapText="0"/>
    </xf>
    <xf borderId="1" fillId="125" fontId="3" numFmtId="10" xfId="0" applyAlignment="1" applyBorder="1" applyFill="1" applyFont="1" applyNumberFormat="1">
      <alignment horizontal="center" shrinkToFit="0" vertical="bottom" wrapText="0"/>
    </xf>
    <xf borderId="1" fillId="40" fontId="3" numFmtId="0" xfId="0" applyAlignment="1" applyBorder="1" applyFill="1" applyFont="1">
      <alignment horizontal="center" shrinkToFit="0" vertical="bottom" wrapText="0"/>
    </xf>
    <xf borderId="1" fillId="126" fontId="3" numFmtId="10" xfId="0" applyAlignment="1" applyBorder="1" applyFill="1" applyFont="1" applyNumberFormat="1">
      <alignment horizontal="center" shrinkToFit="0" vertical="bottom" wrapText="0"/>
    </xf>
    <xf borderId="1" fillId="127" fontId="3" numFmtId="10" xfId="0" applyAlignment="1" applyBorder="1" applyFill="1" applyFont="1" applyNumberFormat="1">
      <alignment horizontal="center" shrinkToFit="0" vertical="bottom" wrapText="0"/>
    </xf>
    <xf borderId="1" fillId="17" fontId="3" numFmtId="10" xfId="0" applyAlignment="1" applyBorder="1" applyFill="1" applyFont="1" applyNumberFormat="1">
      <alignment horizontal="center" readingOrder="0" shrinkToFit="0" vertical="bottom" wrapText="0"/>
    </xf>
    <xf borderId="1" fillId="128" fontId="3" numFmtId="0" xfId="0" applyAlignment="1" applyBorder="1" applyFill="1" applyFont="1">
      <alignment horizontal="center" shrinkToFit="0" vertical="bottom" wrapText="0"/>
    </xf>
    <xf borderId="1" fillId="129" fontId="3" numFmtId="0" xfId="0" applyAlignment="1" applyBorder="1" applyFill="1" applyFont="1">
      <alignment horizontal="center" shrinkToFit="0" vertical="bottom" wrapText="0"/>
    </xf>
    <xf borderId="1" fillId="43" fontId="3" numFmtId="10" xfId="0" applyAlignment="1" applyBorder="1" applyFill="1" applyFont="1" applyNumberFormat="1">
      <alignment horizontal="center" shrinkToFit="0" vertical="bottom" wrapText="0"/>
    </xf>
    <xf borderId="1" fillId="18" fontId="3" numFmtId="10" xfId="0" applyAlignment="1" applyBorder="1" applyFill="1" applyFont="1" applyNumberFormat="1">
      <alignment horizontal="center" readingOrder="0" shrinkToFit="0" vertical="bottom" wrapText="0"/>
    </xf>
    <xf borderId="1" fillId="27" fontId="3" numFmtId="10" xfId="0" applyAlignment="1" applyBorder="1" applyFill="1" applyFont="1" applyNumberFormat="1">
      <alignment horizontal="center" readingOrder="0" shrinkToFit="0" vertical="bottom" wrapText="0"/>
    </xf>
    <xf borderId="1" fillId="130" fontId="3" numFmtId="49" xfId="0" applyAlignment="1" applyBorder="1" applyFill="1" applyFont="1" applyNumberFormat="1">
      <alignment horizontal="center" shrinkToFit="0" vertical="bottom" wrapText="0"/>
    </xf>
    <xf borderId="1" fillId="97" fontId="3" numFmtId="0" xfId="0" applyAlignment="1" applyBorder="1" applyFill="1" applyFont="1">
      <alignment horizontal="center" shrinkToFit="0" vertical="bottom" wrapText="0"/>
    </xf>
    <xf borderId="1" fillId="131" fontId="3" numFmtId="10" xfId="0" applyAlignment="1" applyBorder="1" applyFill="1" applyFont="1" applyNumberFormat="1">
      <alignment horizontal="center" shrinkToFit="0" vertical="bottom" wrapText="0"/>
    </xf>
    <xf borderId="1" fillId="127" fontId="3" numFmtId="0" xfId="0" applyAlignment="1" applyBorder="1" applyFill="1" applyFont="1">
      <alignment horizontal="center" shrinkToFit="0" vertical="bottom" wrapText="0"/>
    </xf>
    <xf borderId="1" fillId="132" fontId="3" numFmtId="10" xfId="0" applyAlignment="1" applyBorder="1" applyFill="1" applyFont="1" applyNumberFormat="1">
      <alignment horizontal="center" shrinkToFit="0" vertical="bottom" wrapText="0"/>
    </xf>
    <xf borderId="1" fillId="26" fontId="3" numFmtId="0" xfId="0" applyAlignment="1" applyBorder="1" applyFill="1" applyFont="1">
      <alignment horizontal="center" readingOrder="0" shrinkToFit="0" vertical="bottom" wrapText="0"/>
    </xf>
    <xf borderId="1" fillId="133" fontId="3" numFmtId="0" xfId="0" applyAlignment="1" applyBorder="1" applyFill="1" applyFont="1">
      <alignment horizontal="center" shrinkToFit="0" vertical="bottom" wrapText="0"/>
    </xf>
    <xf borderId="1" fillId="134" fontId="3" numFmtId="49" xfId="0" applyAlignment="1" applyBorder="1" applyFill="1" applyFont="1" applyNumberFormat="1">
      <alignment horizontal="center" shrinkToFit="0" vertical="bottom" wrapText="0"/>
    </xf>
    <xf borderId="1" fillId="135" fontId="3" numFmtId="0" xfId="0" applyAlignment="1" applyBorder="1" applyFill="1" applyFont="1">
      <alignment horizontal="center" shrinkToFit="0" vertical="bottom" wrapText="0"/>
    </xf>
    <xf borderId="1" fillId="136" fontId="3" numFmtId="10" xfId="0" applyAlignment="1" applyBorder="1" applyFill="1" applyFont="1" applyNumberFormat="1">
      <alignment horizontal="center" shrinkToFit="0" vertical="bottom" wrapText="0"/>
    </xf>
    <xf borderId="1" fillId="115" fontId="3" numFmtId="10" xfId="0" applyAlignment="1" applyBorder="1" applyFill="1" applyFont="1" applyNumberFormat="1">
      <alignment horizontal="center" shrinkToFit="0" vertical="bottom" wrapText="0"/>
    </xf>
    <xf borderId="1" fillId="22" fontId="3" numFmtId="0" xfId="0" applyAlignment="1" applyBorder="1" applyFill="1" applyFont="1">
      <alignment horizontal="center" readingOrder="0" shrinkToFit="0" vertical="bottom" wrapText="0"/>
    </xf>
    <xf borderId="1" fillId="16" fontId="3" numFmtId="0" xfId="0" applyAlignment="1" applyBorder="1" applyFill="1" applyFont="1">
      <alignment horizontal="center" readingOrder="0" shrinkToFit="0" vertical="bottom" wrapText="0"/>
    </xf>
    <xf borderId="1" fillId="28" fontId="3" numFmtId="10" xfId="0" applyAlignment="1" applyBorder="1" applyFill="1" applyFont="1" applyNumberFormat="1">
      <alignment horizontal="center" readingOrder="0" shrinkToFit="0" vertical="bottom" wrapText="0"/>
    </xf>
    <xf borderId="1" fillId="19" fontId="3" numFmtId="0" xfId="0" applyAlignment="1" applyBorder="1" applyFill="1" applyFont="1">
      <alignment horizontal="center" shrinkToFit="0" vertical="bottom" wrapText="0"/>
    </xf>
    <xf borderId="1" fillId="137" fontId="3" numFmtId="49" xfId="0" applyAlignment="1" applyBorder="1" applyFill="1" applyFont="1" applyNumberFormat="1">
      <alignment horizontal="center" shrinkToFit="0" vertical="bottom" wrapText="0"/>
    </xf>
    <xf borderId="1" fillId="138" fontId="3" numFmtId="0" xfId="0" applyAlignment="1" applyBorder="1" applyFill="1" applyFont="1">
      <alignment horizontal="center" shrinkToFit="0" vertical="bottom" wrapText="0"/>
    </xf>
    <xf borderId="1" fillId="139" fontId="3" numFmtId="10" xfId="0" applyAlignment="1" applyBorder="1" applyFill="1" applyFont="1" applyNumberFormat="1">
      <alignment horizontal="center" shrinkToFit="0" vertical="bottom" wrapText="0"/>
    </xf>
    <xf borderId="1" fillId="140" fontId="3" numFmtId="0" xfId="0" applyAlignment="1" applyBorder="1" applyFill="1" applyFont="1">
      <alignment horizontal="center" shrinkToFit="0" vertical="bottom" wrapText="0"/>
    </xf>
    <xf borderId="1" fillId="141" fontId="3" numFmtId="10" xfId="0" applyAlignment="1" applyBorder="1" applyFill="1" applyFont="1" applyNumberFormat="1">
      <alignment horizontal="center" shrinkToFit="0" vertical="bottom" wrapText="0"/>
    </xf>
    <xf borderId="1" fillId="22" fontId="3" numFmtId="10" xfId="0" applyAlignment="1" applyBorder="1" applyFill="1" applyFont="1" applyNumberFormat="1">
      <alignment horizontal="center" readingOrder="0" shrinkToFit="0" vertical="bottom" wrapText="0"/>
    </xf>
    <xf borderId="1" fillId="3" fontId="10" numFmtId="164" xfId="0" applyAlignment="1" applyBorder="1" applyFill="1" applyFont="1" applyNumberFormat="1">
      <alignment horizontal="center" readingOrder="0" shrinkToFit="0" vertical="bottom" wrapText="0"/>
    </xf>
    <xf borderId="1" fillId="142" fontId="3" numFmtId="0" xfId="0" applyAlignment="1" applyBorder="1" applyFill="1" applyFont="1">
      <alignment horizontal="center" shrinkToFit="0" vertical="bottom" wrapText="0"/>
    </xf>
    <xf borderId="1" fillId="143" fontId="3" numFmtId="49" xfId="0" applyAlignment="1" applyBorder="1" applyFill="1" applyFont="1" applyNumberFormat="1">
      <alignment horizontal="center" shrinkToFit="0" vertical="bottom" wrapText="0"/>
    </xf>
    <xf borderId="1" fillId="144" fontId="3" numFmtId="0" xfId="0" applyAlignment="1" applyBorder="1" applyFill="1" applyFont="1">
      <alignment horizontal="center" shrinkToFit="0" vertical="bottom" wrapText="0"/>
    </xf>
    <xf borderId="1" fillId="145" fontId="3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146" fontId="3" numFmtId="10" xfId="0" applyAlignment="1" applyBorder="1" applyFill="1" applyFont="1" applyNumberFormat="1">
      <alignment horizontal="center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1" fillId="3" fontId="3" numFmtId="49" xfId="0" applyAlignment="1" applyBorder="1" applyFill="1" applyFont="1" applyNumberFormat="1">
      <alignment horizontal="center" shrinkToFit="0" vertical="bottom" wrapText="0"/>
    </xf>
    <xf borderId="1" fillId="11" fontId="3" numFmtId="10" xfId="0" applyAlignment="1" applyBorder="1" applyFill="1" applyFont="1" applyNumberFormat="1">
      <alignment horizontal="center" shrinkToFit="0" vertical="bottom" wrapText="0"/>
    </xf>
    <xf borderId="1" fillId="102" fontId="3" numFmtId="0" xfId="0" applyAlignment="1" applyBorder="1" applyFill="1" applyFont="1">
      <alignment horizontal="center" shrinkToFit="0" vertical="bottom" wrapText="0"/>
    </xf>
    <xf borderId="1" fillId="30" fontId="3" numFmtId="10" xfId="0" applyAlignment="1" applyBorder="1" applyFill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14" fontId="3" numFmtId="0" xfId="0" applyAlignment="1" applyFill="1" applyFont="1">
      <alignment horizontal="center" shrinkToFit="0" vertical="bottom" wrapText="0"/>
    </xf>
    <xf borderId="0" fillId="147" fontId="3" numFmtId="49" xfId="0" applyAlignment="1" applyFill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148" fontId="3" numFmtId="0" xfId="0" applyAlignment="1" applyFill="1" applyFont="1">
      <alignment horizontal="center" shrinkToFit="0" vertical="bottom" wrapText="0"/>
    </xf>
    <xf borderId="0" fillId="149" fontId="3" numFmtId="10" xfId="0" applyAlignment="1" applyFill="1" applyFont="1" applyNumberFormat="1">
      <alignment horizontal="center" shrinkToFit="0" vertical="bottom" wrapText="0"/>
    </xf>
    <xf borderId="1" fillId="150" fontId="3" numFmtId="0" xfId="0" applyAlignment="1" applyBorder="1" applyFill="1" applyFont="1">
      <alignment horizontal="center" shrinkToFit="0" vertical="bottom" wrapText="0"/>
    </xf>
    <xf borderId="1" fillId="151" fontId="3" numFmtId="10" xfId="0" applyAlignment="1" applyBorder="1" applyFill="1" applyFont="1" applyNumberFormat="1">
      <alignment horizontal="center" shrinkToFit="0" vertical="bottom" wrapText="0"/>
    </xf>
    <xf borderId="1" fillId="87" fontId="3" numFmtId="0" xfId="0" applyAlignment="1" applyBorder="1" applyFill="1" applyFont="1">
      <alignment horizontal="center" readingOrder="0" shrinkToFit="0" vertical="bottom" wrapText="0"/>
    </xf>
    <xf borderId="1" fillId="145" fontId="3" numFmtId="10" xfId="0" applyAlignment="1" applyBorder="1" applyFill="1" applyFont="1" applyNumberForma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10" xfId="0" applyAlignment="1" applyBorder="1" applyFont="1" applyNumberFormat="1">
      <alignment shrinkToFit="0" vertical="bottom" wrapText="0"/>
    </xf>
    <xf borderId="1" fillId="116" fontId="3" numFmtId="49" xfId="0" applyAlignment="1" applyBorder="1" applyFill="1" applyFont="1" applyNumberFormat="1">
      <alignment horizontal="center" shrinkToFit="0" vertical="bottom" wrapText="0"/>
    </xf>
    <xf borderId="1" fillId="152" fontId="3" numFmtId="0" xfId="0" applyAlignment="1" applyBorder="1" applyFill="1" applyFont="1">
      <alignment horizontal="center" shrinkToFit="0" vertical="bottom" wrapText="0"/>
    </xf>
    <xf borderId="1" fillId="153" fontId="3" numFmtId="10" xfId="0" applyAlignment="1" applyBorder="1" applyFill="1" applyFont="1" applyNumberFormat="1">
      <alignment horizontal="center" shrinkToFit="0" vertical="bottom" wrapText="0"/>
    </xf>
    <xf borderId="1" fillId="154" fontId="3" numFmtId="0" xfId="0" applyAlignment="1" applyBorder="1" applyFill="1" applyFont="1">
      <alignment horizontal="center" shrinkToFit="0" vertical="bottom" wrapText="0"/>
    </xf>
    <xf borderId="1" fillId="155" fontId="3" numFmtId="10" xfId="0" applyAlignment="1" applyBorder="1" applyFill="1" applyFont="1" applyNumberFormat="1">
      <alignment horizontal="center" shrinkToFit="0" vertical="bottom" wrapText="0"/>
    </xf>
    <xf borderId="1" fillId="31" fontId="3" numFmtId="10" xfId="0" applyAlignment="1" applyBorder="1" applyFill="1" applyFont="1" applyNumberFormat="1">
      <alignment horizontal="center" readingOrder="0" shrinkToFit="0" vertical="bottom" wrapText="0"/>
    </xf>
    <xf borderId="1" fillId="37" fontId="3" numFmtId="0" xfId="0" applyAlignment="1" applyBorder="1" applyFill="1" applyFont="1">
      <alignment horizontal="center" readingOrder="0" shrinkToFit="0" vertical="bottom" wrapText="0"/>
    </xf>
    <xf borderId="1" fillId="42" fontId="3" numFmtId="10" xfId="0" applyAlignment="1" applyBorder="1" applyFill="1" applyFont="1" applyNumberFormat="1">
      <alignment horizontal="center" readingOrder="0" shrinkToFit="0" vertical="bottom" wrapText="0"/>
    </xf>
    <xf borderId="1" fillId="156" fontId="3" numFmtId="49" xfId="0" applyAlignment="1" applyBorder="1" applyFill="1" applyFont="1" applyNumberFormat="1">
      <alignment horizontal="center" shrinkToFit="0" vertical="bottom" wrapText="0"/>
    </xf>
    <xf borderId="1" fillId="157" fontId="3" numFmtId="0" xfId="0" applyAlignment="1" applyBorder="1" applyFill="1" applyFont="1">
      <alignment horizontal="center" shrinkToFit="0" vertical="bottom" wrapText="0"/>
    </xf>
    <xf borderId="1" fillId="158" fontId="3" numFmtId="10" xfId="0" applyAlignment="1" applyBorder="1" applyFill="1" applyFont="1" applyNumberFormat="1">
      <alignment horizontal="center" shrinkToFit="0" vertical="bottom" wrapText="0"/>
    </xf>
    <xf borderId="1" fillId="159" fontId="3" numFmtId="0" xfId="0" applyAlignment="1" applyBorder="1" applyFill="1" applyFont="1">
      <alignment horizontal="center" shrinkToFit="0" vertical="bottom" wrapText="0"/>
    </xf>
    <xf borderId="1" fillId="14" fontId="3" numFmtId="10" xfId="0" applyAlignment="1" applyBorder="1" applyFill="1" applyFont="1" applyNumberFormat="1">
      <alignment horizontal="center" shrinkToFit="0" vertical="bottom" wrapText="0"/>
    </xf>
    <xf borderId="1" fillId="19" fontId="3" numFmtId="0" xfId="0" applyAlignment="1" applyBorder="1" applyFill="1" applyFont="1">
      <alignment horizontal="center" readingOrder="0" shrinkToFit="0" vertical="bottom" wrapText="0"/>
    </xf>
    <xf borderId="1" fillId="12" fontId="3" numFmtId="10" xfId="0" applyAlignment="1" applyBorder="1" applyFill="1" applyFont="1" applyNumberFormat="1">
      <alignment horizontal="center" readingOrder="0" shrinkToFit="0" vertical="bottom" wrapText="0"/>
    </xf>
    <xf borderId="1" fillId="34" fontId="3" numFmtId="0" xfId="0" applyAlignment="1" applyBorder="1" applyFill="1" applyFont="1">
      <alignment horizontal="center" readingOrder="0" shrinkToFit="0" vertical="bottom" wrapText="0"/>
    </xf>
    <xf borderId="1" fillId="35" fontId="3" numFmtId="10" xfId="0" applyAlignment="1" applyBorder="1" applyFill="1" applyFont="1" applyNumberFormat="1">
      <alignment horizontal="center" readingOrder="0" shrinkToFit="0" vertical="bottom" wrapText="0"/>
    </xf>
    <xf borderId="1" fillId="160" fontId="3" numFmtId="0" xfId="0" applyAlignment="1" applyBorder="1" applyFill="1" applyFont="1">
      <alignment horizontal="center" shrinkToFit="0" vertical="bottom" wrapText="0"/>
    </xf>
    <xf borderId="1" fillId="131" fontId="3" numFmtId="49" xfId="0" applyAlignment="1" applyBorder="1" applyFill="1" applyFont="1" applyNumberFormat="1">
      <alignment horizontal="center" shrinkToFit="0" vertical="bottom" wrapText="0"/>
    </xf>
    <xf borderId="1" fillId="161" fontId="3" numFmtId="0" xfId="0" applyAlignment="1" applyBorder="1" applyFill="1" applyFont="1">
      <alignment horizontal="center" shrinkToFit="0" vertical="bottom" wrapText="0"/>
    </xf>
    <xf borderId="1" fillId="162" fontId="3" numFmtId="10" xfId="0" applyAlignment="1" applyBorder="1" applyFill="1" applyFont="1" applyNumberFormat="1">
      <alignment horizontal="center" shrinkToFit="0" vertical="bottom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1" fillId="15" fontId="3" numFmtId="10" xfId="0" applyAlignment="1" applyBorder="1" applyFill="1" applyFont="1" applyNumberFormat="1">
      <alignment horizontal="center" shrinkToFit="0" vertical="bottom" wrapText="0"/>
    </xf>
    <xf borderId="1" fillId="32" fontId="3" numFmtId="0" xfId="0" applyAlignment="1" applyBorder="1" applyFill="1" applyFont="1">
      <alignment horizontal="center" readingOrder="0" shrinkToFit="0" vertical="bottom" wrapText="0"/>
    </xf>
    <xf borderId="1" fillId="40" fontId="3" numFmtId="10" xfId="0" applyAlignment="1" applyBorder="1" applyFill="1" applyFont="1" applyNumberFormat="1">
      <alignment horizontal="center" readingOrder="0" shrinkToFit="0" vertical="bottom" wrapText="0"/>
    </xf>
    <xf borderId="1" fillId="163" fontId="3" numFmtId="49" xfId="0" applyAlignment="1" applyBorder="1" applyFill="1" applyFont="1" applyNumberFormat="1">
      <alignment horizontal="center" shrinkToFit="0" vertical="bottom" wrapText="0"/>
    </xf>
    <xf borderId="1" fillId="164" fontId="3" numFmtId="0" xfId="0" applyAlignment="1" applyBorder="1" applyFill="1" applyFont="1">
      <alignment horizontal="center" shrinkToFit="0" vertical="bottom" wrapText="0"/>
    </xf>
    <xf borderId="1" fillId="165" fontId="3" numFmtId="10" xfId="0" applyAlignment="1" applyBorder="1" applyFill="1" applyFont="1" applyNumberFormat="1">
      <alignment horizontal="center" shrinkToFit="0" vertical="bottom" wrapText="0"/>
    </xf>
    <xf borderId="1" fillId="147" fontId="3" numFmtId="0" xfId="0" applyAlignment="1" applyBorder="1" applyFill="1" applyFont="1">
      <alignment horizontal="center" shrinkToFit="0" vertical="bottom" wrapText="0"/>
    </xf>
    <xf borderId="1" fillId="96" fontId="3" numFmtId="10" xfId="0" applyAlignment="1" applyBorder="1" applyFill="1" applyFont="1" applyNumberFormat="1">
      <alignment horizontal="center" shrinkToFit="0" vertical="bottom" wrapText="0"/>
    </xf>
    <xf borderId="1" fillId="166" fontId="3" numFmtId="0" xfId="0" applyAlignment="1" applyBorder="1" applyFill="1" applyFont="1">
      <alignment horizontal="center" shrinkToFit="0" vertical="bottom" wrapText="0"/>
    </xf>
    <xf borderId="1" fillId="101" fontId="3" numFmtId="49" xfId="0" applyAlignment="1" applyBorder="1" applyFill="1" applyFont="1" applyNumberFormat="1">
      <alignment horizontal="center" shrinkToFit="0" vertical="bottom" wrapText="0"/>
    </xf>
    <xf borderId="1" fillId="121" fontId="3" numFmtId="0" xfId="0" applyAlignment="1" applyBorder="1" applyFill="1" applyFont="1">
      <alignment horizontal="center" shrinkToFit="0" vertical="bottom" wrapText="0"/>
    </xf>
    <xf borderId="1" fillId="167" fontId="3" numFmtId="0" xfId="0" applyAlignment="1" applyBorder="1" applyFill="1" applyFont="1">
      <alignment horizontal="center" shrinkToFit="0" vertical="bottom" wrapText="0"/>
    </xf>
    <xf borderId="1" fillId="168" fontId="3" numFmtId="10" xfId="0" applyAlignment="1" applyBorder="1" applyFill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26" fontId="3" numFmtId="0" xfId="0" applyAlignment="1" applyBorder="1" applyFill="1" applyFont="1">
      <alignment horizontal="center" shrinkToFit="0" vertical="bottom" wrapText="0"/>
    </xf>
    <xf borderId="1" fillId="31" fontId="3" numFmtId="10" xfId="0" applyAlignment="1" applyBorder="1" applyFill="1" applyFont="1" applyNumberFormat="1">
      <alignment horizontal="center" shrinkToFit="0" vertical="bottom" wrapText="0"/>
    </xf>
    <xf borderId="1" fillId="169" fontId="3" numFmtId="10" xfId="0" applyAlignment="1" applyBorder="1" applyFill="1" applyFont="1" applyNumberFormat="1">
      <alignment horizontal="center" shrinkToFit="0" vertical="bottom" wrapText="0"/>
    </xf>
    <xf borderId="1" fillId="43" fontId="3" numFmtId="0" xfId="0" applyAlignment="1" applyBorder="1" applyFill="1" applyFont="1">
      <alignment horizontal="center" shrinkToFit="0" vertical="bottom" wrapText="0"/>
    </xf>
    <xf borderId="1" fillId="170" fontId="3" numFmtId="49" xfId="0" applyAlignment="1" applyBorder="1" applyFill="1" applyFont="1" applyNumberFormat="1">
      <alignment horizontal="center" shrinkToFit="0" vertical="bottom" wrapText="0"/>
    </xf>
    <xf borderId="1" fillId="171" fontId="3" numFmtId="10" xfId="0" applyAlignment="1" applyBorder="1" applyFill="1" applyFont="1" applyNumberFormat="1">
      <alignment horizontal="center" shrinkToFit="0" vertical="bottom" wrapText="0"/>
    </xf>
    <xf borderId="1" fillId="91" fontId="3" numFmtId="49" xfId="0" applyAlignment="1" applyBorder="1" applyFill="1" applyFont="1" applyNumberFormat="1">
      <alignment horizontal="center" shrinkToFit="0" vertical="bottom" wrapText="0"/>
    </xf>
    <xf borderId="1" fillId="172" fontId="3" numFmtId="10" xfId="0" applyAlignment="1" applyBorder="1" applyFill="1" applyFont="1" applyNumberFormat="1">
      <alignment horizontal="center" shrinkToFit="0" vertical="bottom" wrapText="0"/>
    </xf>
    <xf borderId="1" fillId="173" fontId="3" numFmtId="0" xfId="0" applyAlignment="1" applyBorder="1" applyFill="1" applyFont="1">
      <alignment horizontal="center" shrinkToFit="0" vertical="bottom" wrapText="0"/>
    </xf>
    <xf borderId="1" fillId="174" fontId="3" numFmtId="10" xfId="0" applyAlignment="1" applyBorder="1" applyFill="1" applyFont="1" applyNumberFormat="1">
      <alignment horizontal="center" shrinkToFit="0" vertical="bottom" wrapText="0"/>
    </xf>
    <xf borderId="1" fillId="175" fontId="3" numFmtId="49" xfId="0" applyAlignment="1" applyBorder="1" applyFill="1" applyFont="1" applyNumberFormat="1">
      <alignment horizontal="center" shrinkToFit="0" vertical="bottom" wrapText="0"/>
    </xf>
    <xf borderId="1" fillId="176" fontId="3" numFmtId="0" xfId="0" applyAlignment="1" applyBorder="1" applyFill="1" applyFont="1">
      <alignment horizontal="center" shrinkToFit="0" vertical="bottom" wrapText="0"/>
    </xf>
    <xf borderId="1" fillId="138" fontId="3" numFmtId="10" xfId="0" applyAlignment="1" applyBorder="1" applyFill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1" fillId="88" fontId="3" numFmtId="49" xfId="0" applyAlignment="1" applyBorder="1" applyFill="1" applyFont="1" applyNumberFormat="1">
      <alignment horizontal="center" shrinkToFit="0" vertical="bottom" wrapText="0"/>
    </xf>
    <xf borderId="1" fillId="177" fontId="3" numFmtId="0" xfId="0" applyAlignment="1" applyBorder="1" applyFill="1" applyFont="1">
      <alignment horizontal="center" shrinkToFit="0" vertical="bottom" wrapText="0"/>
    </xf>
    <xf borderId="1" fillId="178" fontId="3" numFmtId="10" xfId="0" applyAlignment="1" applyBorder="1" applyFill="1" applyFont="1" applyNumberFormat="1">
      <alignment horizontal="center" shrinkToFit="0" vertical="bottom" wrapText="0"/>
    </xf>
    <xf borderId="1" fillId="179" fontId="3" numFmtId="10" xfId="0" applyAlignment="1" applyBorder="1" applyFill="1" applyFont="1" applyNumberFormat="1">
      <alignment horizontal="center" shrinkToFit="0" vertical="bottom" wrapText="0"/>
    </xf>
    <xf borderId="1" fillId="180" fontId="3" numFmtId="0" xfId="0" applyAlignment="1" applyBorder="1" applyFill="1" applyFont="1">
      <alignment horizontal="center" shrinkToFit="0" vertical="bottom" wrapText="0"/>
    </xf>
    <xf borderId="1" fillId="181" fontId="3" numFmtId="10" xfId="0" applyAlignment="1" applyBorder="1" applyFill="1" applyFont="1" applyNumberFormat="1">
      <alignment horizontal="center" shrinkToFit="0" vertical="bottom" wrapText="0"/>
    </xf>
    <xf borderId="1" fillId="170" fontId="3" numFmtId="10" xfId="0" applyAlignment="1" applyBorder="1" applyFill="1" applyFont="1" applyNumberFormat="1">
      <alignment horizontal="center" shrinkToFit="0" vertical="bottom" wrapText="0"/>
    </xf>
    <xf borderId="1" fillId="182" fontId="3" numFmtId="0" xfId="0" applyAlignment="1" applyBorder="1" applyFill="1" applyFont="1">
      <alignment horizontal="center" shrinkToFit="0" vertical="bottom" wrapText="0"/>
    </xf>
    <xf borderId="1" fillId="183" fontId="3" numFmtId="10" xfId="0" applyAlignment="1" applyBorder="1" applyFill="1" applyFont="1" applyNumberFormat="1">
      <alignment horizontal="center" shrinkToFit="0" vertical="bottom" wrapText="0"/>
    </xf>
    <xf borderId="3" fillId="5" fontId="14" numFmtId="10" xfId="0" applyAlignment="1" applyBorder="1" applyFill="1" applyFont="1" applyNumberFormat="1">
      <alignment horizontal="center" readingOrder="0" shrinkToFit="0" vertical="center" wrapText="0"/>
    </xf>
    <xf borderId="1" fillId="184" fontId="3" numFmtId="49" xfId="0" applyAlignment="1" applyBorder="1" applyFill="1" applyFont="1" applyNumberFormat="1">
      <alignment horizontal="center" shrinkToFit="0" vertical="bottom" wrapText="0"/>
    </xf>
    <xf borderId="1" fillId="31" fontId="3" numFmtId="0" xfId="0" applyAlignment="1" applyBorder="1" applyFill="1" applyFont="1">
      <alignment horizontal="center" readingOrder="0" shrinkToFit="0" vertical="bottom" wrapText="0"/>
    </xf>
    <xf borderId="1" fillId="185" fontId="3" numFmtId="10" xfId="0" applyAlignment="1" applyBorder="1" applyFill="1" applyFont="1" applyNumberFormat="1">
      <alignment horizontal="center" shrinkToFit="0" vertical="bottom" wrapText="0"/>
    </xf>
    <xf borderId="1" fillId="3" fontId="11" numFmtId="10" xfId="0" applyAlignment="1" applyBorder="1" applyFill="1" applyFont="1" applyNumberFormat="1">
      <alignment horizontal="center" shrinkToFit="0" vertical="bottom" wrapText="0"/>
    </xf>
    <xf borderId="0" fillId="3" fontId="6" numFmtId="0" xfId="0" applyFill="1" applyFont="1"/>
    <xf borderId="1" fillId="186" fontId="3" numFmtId="0" xfId="0" applyAlignment="1" applyBorder="1" applyFill="1" applyFont="1">
      <alignment horizontal="center" shrinkToFit="0" vertical="bottom" wrapText="0"/>
    </xf>
    <xf borderId="1" fillId="187" fontId="3" numFmtId="10" xfId="0" applyAlignment="1" applyBorder="1" applyFill="1" applyFont="1" applyNumberFormat="1">
      <alignment horizontal="center" shrinkToFit="0" vertical="bottom" wrapText="0"/>
    </xf>
    <xf borderId="1" fillId="188" fontId="3" numFmtId="0" xfId="0" applyAlignment="1" applyBorder="1" applyFill="1" applyFont="1">
      <alignment horizontal="center" shrinkToFit="0" vertical="bottom" wrapText="0"/>
    </xf>
    <xf borderId="1" fillId="157" fontId="3" numFmtId="10" xfId="0" applyAlignment="1" applyBorder="1" applyFill="1" applyFont="1" applyNumberFormat="1">
      <alignment horizontal="center" shrinkToFit="0" vertical="bottom" wrapText="0"/>
    </xf>
    <xf borderId="1" fillId="164" fontId="3" numFmtId="10" xfId="0" applyAlignment="1" applyBorder="1" applyFill="1" applyFont="1" applyNumberFormat="1">
      <alignment horizontal="center" shrinkToFit="0" vertical="bottom" wrapText="0"/>
    </xf>
    <xf borderId="1" fillId="8" fontId="3" numFmtId="10" xfId="0" applyAlignment="1" applyBorder="1" applyFill="1" applyFont="1" applyNumberFormat="1">
      <alignment horizontal="center" shrinkToFit="0" vertical="bottom" wrapText="0"/>
    </xf>
    <xf borderId="1" fillId="189" fontId="3" numFmtId="10" xfId="0" applyAlignment="1" applyBorder="1" applyFill="1" applyFont="1" applyNumberFormat="1">
      <alignment horizontal="center" shrinkToFit="0" vertical="bottom" wrapText="0"/>
    </xf>
    <xf borderId="1" fillId="170" fontId="3" numFmtId="0" xfId="0" applyAlignment="1" applyBorder="1" applyFill="1" applyFont="1">
      <alignment horizontal="center" shrinkToFit="0" vertical="bottom" wrapText="0"/>
    </xf>
    <xf borderId="1" fillId="163" fontId="3" numFmtId="10" xfId="0" applyAlignment="1" applyBorder="1" applyFill="1" applyFont="1" applyNumberFormat="1">
      <alignment horizontal="center" shrinkToFit="0" vertical="bottom" wrapText="0"/>
    </xf>
    <xf borderId="1" fillId="190" fontId="3" numFmtId="10" xfId="0" applyAlignment="1" applyBorder="1" applyFill="1" applyFont="1" applyNumberFormat="1">
      <alignment horizontal="center" shrinkToFit="0" vertical="bottom" wrapText="0"/>
    </xf>
    <xf borderId="1" fillId="191" fontId="3" numFmtId="0" xfId="0" applyAlignment="1" applyBorder="1" applyFill="1" applyFont="1">
      <alignment horizontal="center" shrinkToFit="0" vertical="bottom" wrapText="0"/>
    </xf>
    <xf borderId="1" fillId="116" fontId="3" numFmtId="10" xfId="0" applyAlignment="1" applyBorder="1" applyFill="1" applyFont="1" applyNumberFormat="1">
      <alignment horizontal="center" shrinkToFit="0" vertical="bottom" wrapText="0"/>
    </xf>
    <xf borderId="1" fillId="137" fontId="3" numFmtId="10" xfId="0" applyAlignment="1" applyBorder="1" applyFill="1" applyFont="1" applyNumberFormat="1">
      <alignment horizontal="center" shrinkToFit="0" vertical="bottom" wrapText="0"/>
    </xf>
    <xf borderId="1" fillId="38" fontId="3" numFmtId="0" xfId="0" applyAlignment="1" applyBorder="1" applyFill="1" applyFont="1">
      <alignment horizontal="center" shrinkToFit="0" vertical="bottom" wrapText="0"/>
    </xf>
    <xf borderId="1" fillId="192" fontId="3" numFmtId="10" xfId="0" applyAlignment="1" applyBorder="1" applyFill="1" applyFont="1" applyNumberFormat="1">
      <alignment horizontal="center" shrinkToFit="0" vertical="bottom" wrapText="0"/>
    </xf>
    <xf borderId="1" fillId="119" fontId="3" numFmtId="0" xfId="0" applyAlignment="1" applyBorder="1" applyFill="1" applyFont="1">
      <alignment horizontal="center" shrinkToFit="0" vertical="bottom" wrapText="0"/>
    </xf>
    <xf borderId="1" fillId="23" fontId="3" numFmtId="0" xfId="0" applyAlignment="1" applyBorder="1" applyFill="1" applyFont="1">
      <alignment horizontal="center" shrinkToFit="0" vertical="bottom" wrapText="0"/>
    </xf>
    <xf borderId="1" fillId="10" fontId="3" numFmtId="0" xfId="0" applyAlignment="1" applyBorder="1" applyFill="1" applyFont="1">
      <alignment horizontal="center" shrinkToFit="0" vertical="bottom" wrapText="0"/>
    </xf>
    <xf borderId="1" fillId="193" fontId="3" numFmtId="10" xfId="0" applyAlignment="1" applyBorder="1" applyFill="1" applyFont="1" applyNumberForma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3" fontId="22" numFmtId="0" xfId="0" applyAlignment="1" applyFill="1" applyFont="1">
      <alignment horizontal="center" shrinkToFit="0" vertical="bottom" wrapText="0"/>
    </xf>
    <xf borderId="0" fillId="3" fontId="22" numFmtId="10" xfId="0" applyAlignment="1" applyFill="1" applyFont="1" applyNumberFormat="1">
      <alignment horizontal="center" shrinkToFit="0" vertical="bottom" wrapText="0"/>
    </xf>
    <xf borderId="0" fillId="3" fontId="22" numFmtId="165" xfId="0" applyAlignment="1" applyFill="1" applyFont="1" applyNumberFormat="1">
      <alignment horizontal="center" shrinkToFit="0" vertical="bottom" wrapText="0"/>
    </xf>
    <xf borderId="0" fillId="3" fontId="22" numFmtId="164" xfId="0" applyAlignment="1" applyFill="1" applyFont="1" applyNumberFormat="1">
      <alignment horizontal="center" shrinkToFit="0" vertical="bottom" wrapText="0"/>
    </xf>
    <xf borderId="1" fillId="142" fontId="22" numFmtId="0" xfId="0" applyAlignment="1" applyBorder="1" applyFill="1" applyFont="1">
      <alignment horizontal="center" shrinkToFit="0" vertical="bottom" wrapText="0"/>
    </xf>
    <xf borderId="1" fillId="116" fontId="22" numFmtId="10" xfId="0" applyAlignment="1" applyBorder="1" applyFill="1" applyFont="1" applyNumberFormat="1">
      <alignment horizontal="center" shrinkToFit="0" vertical="bottom" wrapText="0"/>
    </xf>
    <xf borderId="1" fillId="0" fontId="22" numFmtId="165" xfId="0" applyAlignment="1" applyBorder="1" applyFont="1" applyNumberFormat="1">
      <alignment horizontal="center" shrinkToFit="0" vertical="bottom" wrapText="0"/>
    </xf>
    <xf borderId="1" fillId="102" fontId="22" numFmtId="0" xfId="0" applyAlignment="1" applyBorder="1" applyFill="1" applyFont="1">
      <alignment horizontal="center" shrinkToFit="0" vertical="bottom" wrapText="0"/>
    </xf>
    <xf borderId="1" fillId="169" fontId="22" numFmtId="10" xfId="0" applyAlignment="1" applyBorder="1" applyFill="1" applyFont="1" applyNumberFormat="1">
      <alignment horizontal="center" shrinkToFit="0" vertical="bottom" wrapText="0"/>
    </xf>
    <xf borderId="1" fillId="0" fontId="22" numFmtId="164" xfId="0" applyAlignment="1" applyBorder="1" applyFont="1" applyNumberFormat="1">
      <alignment horizontal="center" shrinkToFit="0" vertical="bottom" wrapText="0"/>
    </xf>
    <xf borderId="1" fillId="188" fontId="22" numFmtId="0" xfId="0" applyAlignment="1" applyBorder="1" applyFill="1" applyFont="1">
      <alignment horizontal="center" shrinkToFit="0" vertical="bottom" wrapText="0"/>
    </xf>
    <xf borderId="1" fillId="170" fontId="22" numFmtId="10" xfId="0" applyAlignment="1" applyBorder="1" applyFill="1" applyFont="1" applyNumberFormat="1">
      <alignment horizontal="center" shrinkToFit="0" vertical="bottom" wrapText="0"/>
    </xf>
    <xf borderId="1" fillId="45" fontId="6" numFmtId="0" xfId="0" applyAlignment="1" applyBorder="1" applyFill="1" applyFont="1">
      <alignment readingOrder="0"/>
    </xf>
    <xf borderId="1" fillId="0" fontId="8" numFmtId="1" xfId="0" applyAlignment="1" applyBorder="1" applyFont="1" applyNumberFormat="1">
      <alignment horizontal="center" readingOrder="0" shrinkToFit="0" vertical="center" wrapText="0"/>
    </xf>
    <xf borderId="1" fillId="0" fontId="8" numFmtId="49" xfId="0" applyAlignment="1" applyBorder="1" applyFont="1" applyNumberFormat="1">
      <alignment horizontal="center" readingOrder="0" shrinkToFit="0" vertical="bottom" wrapText="0"/>
    </xf>
    <xf borderId="1" fillId="3" fontId="12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0" fontId="10" numFmtId="1" xfId="0" applyAlignment="1" applyBorder="1" applyFont="1" applyNumberFormat="1">
      <alignment horizontal="center" readingOrder="0" shrinkToFit="0" vertical="center" wrapText="0"/>
    </xf>
    <xf borderId="1" fillId="0" fontId="10" numFmtId="1" xfId="0" applyAlignment="1" applyBorder="1" applyFont="1" applyNumberFormat="1">
      <alignment horizontal="center" readingOrder="0" shrinkToFit="0" vertical="bottom" wrapText="0"/>
    </xf>
    <xf borderId="1" fillId="92" fontId="3" numFmtId="10" xfId="0" applyAlignment="1" applyBorder="1" applyFill="1" applyFont="1" applyNumberFormat="1">
      <alignment horizontal="center" readingOrder="0" shrinkToFit="0" vertical="bottom" wrapText="0"/>
    </xf>
    <xf borderId="1" fillId="3" fontId="11" numFmtId="49" xfId="0" applyAlignment="1" applyBorder="1" applyFill="1" applyFont="1" applyNumberFormat="1">
      <alignment horizontal="center" readingOrder="0" vertical="bottom"/>
    </xf>
    <xf borderId="1" fillId="0" fontId="11" numFmtId="49" xfId="0" applyAlignment="1" applyBorder="1" applyFont="1" applyNumberFormat="1">
      <alignment horizontal="center" readingOrder="0" vertical="bottom"/>
    </xf>
    <xf borderId="0" fillId="0" fontId="8" numFmtId="1" xfId="0" applyAlignment="1" applyFont="1" applyNumberFormat="1">
      <alignment horizontal="center" readingOrder="0" shrinkToFit="0" vertical="center" wrapText="0"/>
    </xf>
    <xf borderId="0" fillId="3" fontId="11" numFmtId="49" xfId="0" applyAlignment="1" applyFill="1" applyFont="1" applyNumberFormat="1">
      <alignment horizontal="center" vertical="bottom"/>
    </xf>
    <xf borderId="0" fillId="3" fontId="11" numFmtId="0" xfId="0" applyAlignment="1" applyFill="1" applyFont="1">
      <alignment horizontal="center" vertical="bottom"/>
    </xf>
    <xf borderId="0" fillId="0" fontId="10" numFmtId="1" xfId="0" applyAlignment="1" applyFont="1" applyNumberFormat="1">
      <alignment horizontal="center" readingOrder="0" shrinkToFit="0" vertical="center" wrapText="0"/>
    </xf>
    <xf borderId="1" fillId="46" fontId="11" numFmtId="0" xfId="0" applyAlignment="1" applyBorder="1" applyFill="1" applyFont="1">
      <alignment horizontal="center" vertical="bottom"/>
    </xf>
    <xf borderId="1" fillId="3" fontId="10" numFmtId="1" xfId="0" applyAlignment="1" applyBorder="1" applyFill="1" applyFont="1" applyNumberFormat="1">
      <alignment horizontal="center" readingOrder="0" shrinkToFit="0" vertical="bottom" wrapText="0"/>
    </xf>
    <xf borderId="1" fillId="0" fontId="11" numFmtId="3" xfId="0" applyAlignment="1" applyBorder="1" applyFont="1" applyNumberFormat="1">
      <alignment horizontal="center" shrinkToFit="0" vertical="bottom" wrapText="0"/>
    </xf>
    <xf borderId="1" fillId="49" fontId="14" numFmtId="10" xfId="0" applyAlignment="1" applyBorder="1" applyFill="1" applyFont="1" applyNumberFormat="1">
      <alignment horizontal="center" shrinkToFit="0" vertical="bottom" wrapText="0"/>
    </xf>
    <xf borderId="1" fillId="194" fontId="11" numFmtId="167" xfId="0" applyAlignment="1" applyBorder="1" applyFill="1" applyFont="1" applyNumberFormat="1">
      <alignment horizontal="center" shrinkToFit="0" vertical="bottom" wrapText="0"/>
    </xf>
    <xf borderId="1" fillId="52" fontId="14" numFmtId="10" xfId="0" applyAlignment="1" applyBorder="1" applyFill="1" applyFont="1" applyNumberFormat="1">
      <alignment horizontal="center" shrinkToFit="0" vertical="bottom" wrapText="0"/>
    </xf>
    <xf borderId="1" fillId="195" fontId="11" numFmtId="167" xfId="0" applyAlignment="1" applyBorder="1" applyFill="1" applyFont="1" applyNumberFormat="1">
      <alignment horizontal="center" shrinkToFit="0" vertical="bottom" wrapText="0"/>
    </xf>
    <xf borderId="1" fillId="196" fontId="11" numFmtId="167" xfId="0" applyAlignment="1" applyBorder="1" applyFill="1" applyFont="1" applyNumberFormat="1">
      <alignment horizontal="center" shrinkToFit="0" vertical="bottom" wrapText="0"/>
    </xf>
    <xf borderId="1" fillId="197" fontId="11" numFmtId="167" xfId="0" applyAlignment="1" applyBorder="1" applyFill="1" applyFont="1" applyNumberFormat="1">
      <alignment horizontal="center" shrinkToFit="0" vertical="bottom" wrapText="0"/>
    </xf>
    <xf borderId="0" fillId="3" fontId="11" numFmtId="49" xfId="0" applyAlignment="1" applyFill="1" applyFont="1" applyNumberFormat="1">
      <alignment horizontal="center" vertical="bottom"/>
    </xf>
    <xf borderId="1" fillId="198" fontId="11" numFmtId="167" xfId="0" applyAlignment="1" applyBorder="1" applyFill="1" applyFont="1" applyNumberFormat="1">
      <alignment horizontal="center" shrinkToFit="0" vertical="bottom" wrapText="0"/>
    </xf>
    <xf borderId="0" fillId="3" fontId="6" numFmtId="0" xfId="0" applyAlignment="1" applyFill="1" applyFont="1">
      <alignment readingOrder="0"/>
    </xf>
    <xf borderId="1" fillId="52" fontId="14" numFmtId="10" xfId="0" applyAlignment="1" applyBorder="1" applyFill="1" applyFont="1" applyNumberFormat="1">
      <alignment horizontal="center" readingOrder="0" shrinkToFit="0" vertical="bottom" wrapText="0"/>
    </xf>
    <xf borderId="0" fillId="3" fontId="11" numFmtId="0" xfId="0" applyAlignment="1" applyFill="1" applyFont="1">
      <alignment vertical="bottom"/>
    </xf>
    <xf borderId="1" fillId="199" fontId="11" numFmtId="167" xfId="0" applyAlignment="1" applyBorder="1" applyFill="1" applyFont="1" applyNumberFormat="1">
      <alignment horizontal="center" shrinkToFit="0" vertical="bottom" wrapText="0"/>
    </xf>
    <xf borderId="0" fillId="3" fontId="5" numFmtId="0" xfId="0" applyAlignment="1" applyFill="1" applyFont="1">
      <alignment horizontal="center" readingOrder="0"/>
    </xf>
    <xf borderId="0" fillId="3" fontId="11" numFmtId="0" xfId="0" applyAlignment="1" applyFill="1" applyFont="1">
      <alignment vertical="bottom"/>
    </xf>
    <xf borderId="1" fillId="91" fontId="11" numFmtId="167" xfId="0" applyAlignment="1" applyBorder="1" applyFill="1" applyFont="1" applyNumberFormat="1">
      <alignment horizontal="center" shrinkToFit="0" vertical="bottom" wrapText="0"/>
    </xf>
    <xf borderId="0" fillId="3" fontId="11" numFmtId="49" xfId="0" applyAlignment="1" applyFill="1" applyFont="1" applyNumberFormat="1">
      <alignment vertical="bottom"/>
    </xf>
    <xf borderId="0" fillId="3" fontId="11" numFmtId="49" xfId="0" applyAlignment="1" applyFill="1" applyFont="1" applyNumberFormat="1">
      <alignment horizontal="right" vertical="bottom"/>
    </xf>
    <xf borderId="0" fillId="3" fontId="11" numFmtId="0" xfId="0" applyAlignment="1" applyFill="1" applyFont="1">
      <alignment horizontal="center" shrinkToFit="0" vertical="bottom" wrapText="0"/>
    </xf>
    <xf borderId="0" fillId="200" fontId="11" numFmtId="167" xfId="0" applyAlignment="1" applyFill="1" applyFont="1" applyNumberFormat="1">
      <alignment horizontal="center" shrinkToFit="0" vertical="bottom" wrapText="0"/>
    </xf>
    <xf borderId="1" fillId="200" fontId="11" numFmtId="167" xfId="0" applyAlignment="1" applyBorder="1" applyFill="1" applyFont="1" applyNumberFormat="1">
      <alignment horizontal="center" shrinkToFit="0" vertical="bottom" wrapText="0"/>
    </xf>
    <xf borderId="1" fillId="201" fontId="3" numFmtId="10" xfId="0" applyAlignment="1" applyBorder="1" applyFill="1" applyFont="1" applyNumberFormat="1">
      <alignment horizontal="center" shrinkToFit="0" vertical="bottom" wrapText="0"/>
    </xf>
    <xf borderId="1" fillId="202" fontId="11" numFmtId="167" xfId="0" applyAlignment="1" applyBorder="1" applyFill="1" applyFont="1" applyNumberFormat="1">
      <alignment horizontal="center" shrinkToFit="0" vertical="bottom" wrapText="0"/>
    </xf>
    <xf borderId="1" fillId="33" fontId="3" numFmtId="10" xfId="0" applyAlignment="1" applyBorder="1" applyFill="1" applyFont="1" applyNumberFormat="1">
      <alignment horizontal="center" shrinkToFit="0" vertical="bottom" wrapText="0"/>
    </xf>
    <xf borderId="1" fillId="203" fontId="11" numFmtId="167" xfId="0" applyAlignment="1" applyBorder="1" applyFill="1" applyFont="1" applyNumberFormat="1">
      <alignment horizontal="center" shrinkToFit="0" vertical="bottom" wrapText="0"/>
    </xf>
    <xf borderId="1" fillId="204" fontId="3" numFmtId="10" xfId="0" applyAlignment="1" applyBorder="1" applyFill="1" applyFont="1" applyNumberFormat="1">
      <alignment horizontal="center" shrinkToFit="0" vertical="bottom" wrapText="0"/>
    </xf>
    <xf borderId="1" fillId="205" fontId="11" numFmtId="167" xfId="0" applyAlignment="1" applyBorder="1" applyFill="1" applyFont="1" applyNumberFormat="1">
      <alignment horizontal="center" shrinkToFit="0" vertical="bottom" wrapText="0"/>
    </xf>
    <xf borderId="1" fillId="206" fontId="11" numFmtId="167" xfId="0" applyAlignment="1" applyBorder="1" applyFill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207" fontId="3" numFmtId="10" xfId="0" applyAlignment="1" applyBorder="1" applyFill="1" applyFont="1" applyNumberFormat="1">
      <alignment horizontal="center" shrinkToFit="0" vertical="bottom" wrapText="0"/>
    </xf>
    <xf borderId="1" fillId="208" fontId="3" numFmtId="0" xfId="0" applyAlignment="1" applyBorder="1" applyFill="1" applyFont="1">
      <alignment horizontal="center" shrinkToFit="0" vertical="bottom" wrapText="0"/>
    </xf>
    <xf borderId="1" fillId="209" fontId="11" numFmtId="167" xfId="0" applyAlignment="1" applyBorder="1" applyFill="1" applyFont="1" applyNumberFormat="1">
      <alignment horizontal="center" shrinkToFit="0" vertical="bottom" wrapText="0"/>
    </xf>
    <xf borderId="1" fillId="210" fontId="3" numFmtId="0" xfId="0" applyAlignment="1" applyBorder="1" applyFill="1" applyFont="1">
      <alignment horizontal="center" shrinkToFit="0" vertical="bottom" wrapText="0"/>
    </xf>
    <xf borderId="1" fillId="18" fontId="3" numFmtId="10" xfId="0" applyAlignment="1" applyBorder="1" applyFill="1" applyFont="1" applyNumberFormat="1">
      <alignment horizontal="center" shrinkToFit="0" vertical="bottom" wrapText="0"/>
    </xf>
    <xf borderId="1" fillId="211" fontId="11" numFmtId="167" xfId="0" applyAlignment="1" applyBorder="1" applyFill="1" applyFont="1" applyNumberFormat="1">
      <alignment horizontal="center" shrinkToFit="0" vertical="bottom" wrapText="0"/>
    </xf>
    <xf borderId="1" fillId="212" fontId="11" numFmtId="167" xfId="0" applyAlignment="1" applyBorder="1" applyFill="1" applyFont="1" applyNumberFormat="1">
      <alignment horizontal="center" shrinkToFit="0" vertical="bottom" wrapText="0"/>
    </xf>
    <xf borderId="1" fillId="213" fontId="3" numFmtId="10" xfId="0" applyAlignment="1" applyBorder="1" applyFill="1" applyFont="1" applyNumberFormat="1">
      <alignment horizontal="center" shrinkToFit="0" vertical="bottom" wrapText="0"/>
    </xf>
    <xf borderId="1" fillId="105" fontId="11" numFmtId="167" xfId="0" applyAlignment="1" applyBorder="1" applyFill="1" applyFont="1" applyNumberFormat="1">
      <alignment horizontal="center" shrinkToFit="0" vertical="bottom" wrapText="0"/>
    </xf>
    <xf borderId="1" fillId="207" fontId="3" numFmtId="0" xfId="0" applyAlignment="1" applyBorder="1" applyFill="1" applyFont="1">
      <alignment horizontal="center" shrinkToFit="0" vertical="bottom" wrapText="0"/>
    </xf>
    <xf borderId="1" fillId="3" fontId="11" numFmtId="1" xfId="0" applyAlignment="1" applyBorder="1" applyFill="1" applyFont="1" applyNumberFormat="1">
      <alignment horizontal="center" readingOrder="0" shrinkToFit="0" vertical="center" wrapText="0"/>
    </xf>
    <xf borderId="1" fillId="32" fontId="3" numFmtId="0" xfId="0" applyAlignment="1" applyBorder="1" applyFill="1" applyFon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214" fontId="3" numFmtId="10" xfId="0" applyAlignment="1" applyBorder="1" applyFill="1" applyFont="1" applyNumberFormat="1">
      <alignment horizontal="center" shrinkToFit="0" vertical="bottom" wrapText="0"/>
    </xf>
    <xf borderId="1" fillId="38" fontId="3" numFmtId="10" xfId="0" applyAlignment="1" applyBorder="1" applyFill="1" applyFont="1" applyNumberFormat="1">
      <alignment horizontal="center" shrinkToFit="0" vertical="bottom" wrapText="0"/>
    </xf>
    <xf borderId="1" fillId="33" fontId="3" numFmtId="0" xfId="0" applyAlignment="1" applyBorder="1" applyFill="1" applyFont="1">
      <alignment horizontal="center" shrinkToFit="0" vertical="bottom" wrapText="0"/>
    </xf>
    <xf borderId="1" fillId="215" fontId="3" numFmtId="10" xfId="0" applyAlignment="1" applyBorder="1" applyFill="1" applyFont="1" applyNumberFormat="1">
      <alignment horizontal="center" shrinkToFit="0" vertical="bottom" wrapText="0"/>
    </xf>
    <xf borderId="1" fillId="216" fontId="11" numFmtId="167" xfId="0" applyAlignment="1" applyBorder="1" applyFill="1" applyFont="1" applyNumberFormat="1">
      <alignment horizontal="center" shrinkToFit="0" vertical="bottom" wrapText="0"/>
    </xf>
    <xf borderId="1" fillId="217" fontId="11" numFmtId="167" xfId="0" applyAlignment="1" applyBorder="1" applyFill="1" applyFont="1" applyNumberFormat="1">
      <alignment horizontal="center" shrinkToFit="0" vertical="bottom" wrapText="0"/>
    </xf>
    <xf borderId="1" fillId="34" fontId="3" numFmtId="0" xfId="0" applyAlignment="1" applyBorder="1" applyFill="1" applyFont="1">
      <alignment horizontal="center" shrinkToFit="0" vertical="bottom" wrapText="0"/>
    </xf>
    <xf borderId="1" fillId="218" fontId="3" numFmtId="10" xfId="0" applyAlignment="1" applyBorder="1" applyFill="1" applyFont="1" applyNumberFormat="1">
      <alignment horizontal="center" shrinkToFit="0" vertical="bottom" wrapText="0"/>
    </xf>
    <xf borderId="1" fillId="219" fontId="3" numFmtId="0" xfId="0" applyAlignment="1" applyBorder="1" applyFill="1" applyFont="1">
      <alignment horizontal="center" shrinkToFit="0" vertical="bottom" wrapText="0"/>
    </xf>
    <xf borderId="1" fillId="220" fontId="3" numFmtId="10" xfId="0" applyAlignment="1" applyBorder="1" applyFill="1" applyFont="1" applyNumberFormat="1">
      <alignment horizontal="center" shrinkToFit="0" vertical="bottom" wrapText="0"/>
    </xf>
    <xf borderId="1" fillId="221" fontId="3" numFmtId="10" xfId="0" applyAlignment="1" applyBorder="1" applyFill="1" applyFont="1" applyNumberFormat="1">
      <alignment horizontal="center" shrinkToFit="0" vertical="bottom" wrapText="0"/>
    </xf>
    <xf borderId="1" fillId="222" fontId="3" numFmtId="0" xfId="0" applyAlignment="1" applyBorder="1" applyFill="1" applyFont="1">
      <alignment horizontal="center" shrinkToFit="0" vertical="bottom" wrapText="0"/>
    </xf>
    <xf borderId="1" fillId="223" fontId="11" numFmtId="167" xfId="0" applyAlignment="1" applyBorder="1" applyFill="1" applyFont="1" applyNumberFormat="1">
      <alignment horizontal="center" shrinkToFit="0" vertical="bottom" wrapText="0"/>
    </xf>
    <xf borderId="1" fillId="219" fontId="3" numFmtId="10" xfId="0" applyAlignment="1" applyBorder="1" applyFill="1" applyFont="1" applyNumberFormat="1">
      <alignment horizontal="center" shrinkToFit="0" vertical="bottom" wrapText="0"/>
    </xf>
    <xf borderId="1" fillId="224" fontId="11" numFmtId="167" xfId="0" applyAlignment="1" applyBorder="1" applyFill="1" applyFont="1" applyNumberFormat="1">
      <alignment horizontal="center" shrinkToFit="0" vertical="bottom" wrapText="0"/>
    </xf>
    <xf borderId="1" fillId="225" fontId="3" numFmtId="10" xfId="0" applyAlignment="1" applyBorder="1" applyFill="1" applyFont="1" applyNumberFormat="1">
      <alignment horizontal="center" shrinkToFit="0" vertical="bottom" wrapText="0"/>
    </xf>
    <xf borderId="1" fillId="226" fontId="11" numFmtId="167" xfId="0" applyAlignment="1" applyBorder="1" applyFill="1" applyFont="1" applyNumberFormat="1">
      <alignment horizontal="center" shrinkToFit="0" vertical="bottom" wrapText="0"/>
    </xf>
    <xf borderId="1" fillId="35" fontId="3" numFmtId="0" xfId="0" applyAlignment="1" applyBorder="1" applyFill="1" applyFont="1">
      <alignment horizontal="center" shrinkToFit="0" vertical="bottom" wrapText="0"/>
    </xf>
    <xf borderId="1" fillId="7" fontId="3" numFmtId="10" xfId="0" applyAlignment="1" applyBorder="1" applyFill="1" applyFont="1" applyNumberFormat="1">
      <alignment horizontal="center" shrinkToFit="0" vertical="bottom" wrapText="0"/>
    </xf>
    <xf borderId="1" fillId="227" fontId="11" numFmtId="167" xfId="0" applyAlignment="1" applyBorder="1" applyFill="1" applyFont="1" applyNumberFormat="1">
      <alignment horizontal="center" shrinkToFit="0" vertical="bottom" wrapText="0"/>
    </xf>
    <xf borderId="1" fillId="228" fontId="3" numFmtId="10" xfId="0" applyAlignment="1" applyBorder="1" applyFill="1" applyFont="1" applyNumberFormat="1">
      <alignment horizontal="center" shrinkToFit="0" vertical="bottom" wrapText="0"/>
    </xf>
    <xf borderId="0" fillId="3" fontId="8" numFmtId="49" xfId="0" applyAlignment="1" applyFill="1" applyFont="1" applyNumberFormat="1">
      <alignment horizontal="center" readingOrder="0" shrinkToFit="0" vertical="center" wrapText="0"/>
    </xf>
    <xf borderId="1" fillId="229" fontId="3" numFmtId="0" xfId="0" applyAlignment="1" applyBorder="1" applyFill="1" applyFont="1">
      <alignment horizontal="center" shrinkToFit="0" vertical="bottom" wrapText="0"/>
    </xf>
    <xf borderId="0" fillId="3" fontId="8" numFmtId="49" xfId="0" applyAlignment="1" applyFill="1" applyFont="1" applyNumberFormat="1">
      <alignment horizontal="center" readingOrder="0" shrinkToFit="0" vertical="bottom" wrapText="0"/>
    </xf>
    <xf borderId="1" fillId="230" fontId="3" numFmtId="0" xfId="0" applyAlignment="1" applyBorder="1" applyFill="1" applyFont="1">
      <alignment horizontal="center" shrinkToFit="0" vertical="bottom" wrapText="0"/>
    </xf>
    <xf borderId="1" fillId="231" fontId="3" numFmtId="10" xfId="0" applyAlignment="1" applyBorder="1" applyFill="1" applyFont="1" applyNumberFormat="1">
      <alignment horizontal="center" shrinkToFit="0" vertical="bottom" wrapText="0"/>
    </xf>
    <xf borderId="1" fillId="232" fontId="3" numFmtId="0" xfId="0" applyAlignment="1" applyBorder="1" applyFill="1" applyFont="1">
      <alignment horizontal="center" shrinkToFit="0" vertical="bottom" wrapText="0"/>
    </xf>
    <xf borderId="1" fillId="233" fontId="22" numFmtId="10" xfId="0" applyAlignment="1" applyBorder="1" applyFill="1" applyFont="1" applyNumberFormat="1">
      <alignment horizontal="center" shrinkToFit="0" vertical="bottom" wrapText="0"/>
    </xf>
    <xf borderId="1" fillId="207" fontId="22" numFmtId="0" xfId="0" applyAlignment="1" applyBorder="1" applyFill="1" applyFont="1">
      <alignment horizontal="center" shrinkToFit="0" vertical="bottom" wrapText="0"/>
    </xf>
    <xf borderId="1" fillId="207" fontId="22" numFmtId="10" xfId="0" applyAlignment="1" applyBorder="1" applyFill="1" applyFont="1" applyNumberFormat="1">
      <alignment horizontal="center" shrinkToFit="0" vertical="bottom" wrapText="0"/>
    </xf>
    <xf borderId="1" fillId="207" fontId="11" numFmtId="10" xfId="0" applyAlignment="1" applyBorder="1" applyFill="1" applyFont="1" applyNumberFormat="1">
      <alignment readingOrder="0" shrinkToFit="0" vertical="bottom" wrapText="0"/>
    </xf>
    <xf borderId="1" fillId="234" fontId="3" numFmtId="10" xfId="0" applyAlignment="1" applyBorder="1" applyFill="1" applyFont="1" applyNumberFormat="1">
      <alignment horizontal="center" shrinkToFit="0" vertical="bottom" wrapText="0"/>
    </xf>
    <xf borderId="1" fillId="235" fontId="3" numFmtId="0" xfId="0" applyAlignment="1" applyBorder="1" applyFill="1" applyFont="1">
      <alignment horizontal="center" shrinkToFit="0" vertical="bottom" wrapText="0"/>
    </xf>
    <xf borderId="1" fillId="213" fontId="3" numFmtId="0" xfId="0" applyAlignment="1" applyBorder="1" applyFill="1" applyFont="1">
      <alignment horizontal="center" shrinkToFit="0" vertical="bottom" wrapText="0"/>
    </xf>
    <xf borderId="1" fillId="236" fontId="3" numFmtId="10" xfId="0" applyAlignment="1" applyBorder="1" applyFill="1" applyFont="1" applyNumberFormat="1">
      <alignment horizontal="center" shrinkToFit="0" vertical="bottom" wrapText="0"/>
    </xf>
    <xf borderId="1" fillId="237" fontId="3" numFmtId="0" xfId="0" applyAlignment="1" applyBorder="1" applyFill="1" applyFont="1">
      <alignment horizontal="center" shrinkToFit="0" vertical="bottom" wrapText="0"/>
    </xf>
    <xf borderId="1" fillId="238" fontId="3" numFmtId="10" xfId="0" applyAlignment="1" applyBorder="1" applyFill="1" applyFont="1" applyNumberFormat="1">
      <alignment horizontal="center" shrinkToFit="0" vertical="bottom" wrapText="0"/>
    </xf>
    <xf borderId="1" fillId="149" fontId="3" numFmtId="10" xfId="0" applyAlignment="1" applyBorder="1" applyFill="1" applyFont="1" applyNumberFormat="1">
      <alignment horizontal="center" shrinkToFit="0" vertical="bottom" wrapText="0"/>
    </xf>
    <xf borderId="1" fillId="17" fontId="3" numFmtId="10" xfId="0" applyAlignment="1" applyBorder="1" applyFill="1" applyFont="1" applyNumberFormat="1">
      <alignment horizontal="center" shrinkToFit="0" vertical="bottom" wrapText="0"/>
    </xf>
    <xf borderId="1" fillId="239" fontId="3" numFmtId="0" xfId="0" applyAlignment="1" applyBorder="1" applyFill="1" applyFont="1">
      <alignment horizontal="center" shrinkToFit="0" vertical="bottom" wrapText="0"/>
    </xf>
    <xf borderId="1" fillId="240" fontId="3" numFmtId="10" xfId="0" applyAlignment="1" applyBorder="1" applyFill="1" applyFont="1" applyNumberFormat="1">
      <alignment horizontal="center" shrinkToFit="0" vertical="bottom" wrapText="0"/>
    </xf>
    <xf borderId="1" fillId="241" fontId="3" numFmtId="0" xfId="0" applyAlignment="1" applyBorder="1" applyFill="1" applyFont="1">
      <alignment horizontal="center" shrinkToFit="0" vertical="bottom" wrapText="0"/>
    </xf>
    <xf borderId="1" fillId="242" fontId="3" numFmtId="10" xfId="0" applyAlignment="1" applyBorder="1" applyFill="1" applyFont="1" applyNumberFormat="1">
      <alignment horizontal="center" shrinkToFit="0" vertical="bottom" wrapText="0"/>
    </xf>
    <xf borderId="1" fillId="174" fontId="3" numFmtId="0" xfId="0" applyAlignment="1" applyBorder="1" applyFill="1" applyFont="1">
      <alignment horizontal="center" shrinkToFit="0" vertical="bottom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1" fillId="122" fontId="3" numFmtId="10" xfId="0" applyAlignment="1" applyBorder="1" applyFill="1" applyFont="1" applyNumberFormat="1">
      <alignment horizontal="center" shrinkToFit="0" vertical="bottom" wrapText="0"/>
    </xf>
    <xf borderId="1" fillId="131" fontId="3" numFmtId="0" xfId="0" applyAlignment="1" applyBorder="1" applyFill="1" applyFont="1">
      <alignment horizontal="center" shrinkToFit="0" vertical="bottom" wrapText="0"/>
    </xf>
    <xf borderId="1" fillId="243" fontId="3" numFmtId="10" xfId="0" applyAlignment="1" applyBorder="1" applyFill="1" applyFont="1" applyNumberFormat="1">
      <alignment horizontal="center" shrinkToFit="0" vertical="bottom" wrapText="0"/>
    </xf>
    <xf borderId="1" fillId="136" fontId="3" numFmtId="0" xfId="0" applyAlignment="1" applyBorder="1" applyFill="1" applyFont="1">
      <alignment horizontal="center" shrinkToFit="0" vertical="bottom" wrapText="0"/>
    </xf>
    <xf borderId="1" fillId="128" fontId="3" numFmtId="10" xfId="0" applyAlignment="1" applyBorder="1" applyFill="1" applyFont="1" applyNumberFormat="1">
      <alignment horizontal="center" shrinkToFit="0" vertical="bottom" wrapText="0"/>
    </xf>
    <xf borderId="1" fillId="172" fontId="3" numFmtId="0" xfId="0" applyAlignment="1" applyBorder="1" applyFill="1" applyFont="1">
      <alignment horizontal="center" shrinkToFit="0" vertical="bottom" wrapText="0"/>
    </xf>
    <xf borderId="1" fillId="34" fontId="3" numFmtId="10" xfId="0" applyAlignment="1" applyBorder="1" applyFill="1" applyFont="1" applyNumberFormat="1">
      <alignment horizontal="center" shrinkToFit="0" vertical="bottom" wrapText="0"/>
    </xf>
    <xf borderId="1" fillId="244" fontId="3" numFmtId="10" xfId="0" applyAlignment="1" applyBorder="1" applyFill="1" applyFont="1" applyNumberFormat="1">
      <alignment horizontal="center" shrinkToFit="0" vertical="bottom" wrapText="0"/>
    </xf>
    <xf borderId="1" fillId="245" fontId="3" numFmtId="10" xfId="0" applyAlignment="1" applyBorder="1" applyFill="1" applyFont="1" applyNumberFormat="1">
      <alignment horizontal="center" shrinkToFit="0" vertical="bottom" wrapText="0"/>
    </xf>
    <xf borderId="1" fillId="130" fontId="3" numFmtId="10" xfId="0" applyAlignment="1" applyBorder="1" applyFill="1" applyFont="1" applyNumberFormat="1">
      <alignment horizontal="center" shrinkToFit="0" vertical="bottom" wrapText="0"/>
    </xf>
    <xf borderId="1" fillId="160" fontId="3" numFmtId="10" xfId="0" applyAlignment="1" applyBorder="1" applyFill="1" applyFont="1" applyNumberFormat="1">
      <alignment horizontal="center" shrinkToFit="0" vertical="bottom" wrapText="0"/>
    </xf>
    <xf borderId="1" fillId="240" fontId="3" numFmtId="0" xfId="0" applyAlignment="1" applyBorder="1" applyFill="1" applyFont="1">
      <alignment horizontal="center" shrinkToFit="0" vertical="bottom" wrapText="0"/>
    </xf>
    <xf borderId="1" fillId="31" fontId="3" numFmtId="0" xfId="0" applyAlignment="1" applyBorder="1" applyFill="1" applyFont="1">
      <alignment horizontal="center" shrinkToFit="0" vertical="bottom" wrapText="0"/>
    </xf>
    <xf borderId="1" fillId="135" fontId="3" numFmtId="10" xfId="0" applyAlignment="1" applyBorder="1" applyFill="1" applyFont="1" applyNumberFormat="1">
      <alignment horizontal="center" shrinkToFit="0" vertical="bottom" wrapText="0"/>
    </xf>
    <xf borderId="1" fillId="21" fontId="3" numFmtId="10" xfId="0" applyAlignment="1" applyBorder="1" applyFill="1" applyFont="1" applyNumberFormat="1">
      <alignment horizontal="center" shrinkToFit="0" vertical="bottom" wrapText="0"/>
    </xf>
    <xf borderId="1" fillId="148" fontId="3" numFmtId="0" xfId="0" applyAlignment="1" applyBorder="1" applyFill="1" applyFont="1">
      <alignment horizontal="center" shrinkToFit="0" vertical="bottom" wrapText="0"/>
    </xf>
    <xf borderId="1" fillId="188" fontId="3" numFmtId="10" xfId="0" applyAlignment="1" applyBorder="1" applyFill="1" applyFont="1" applyNumberFormat="1">
      <alignment horizontal="center" shrinkToFit="0" vertical="bottom" wrapText="0"/>
    </xf>
    <xf borderId="1" fillId="246" fontId="3" numFmtId="0" xfId="0" applyAlignment="1" applyBorder="1" applyFill="1" applyFont="1">
      <alignment horizontal="center" shrinkToFit="0" vertical="bottom" wrapText="0"/>
    </xf>
    <xf borderId="1" fillId="247" fontId="3" numFmtId="10" xfId="0" applyAlignment="1" applyBorder="1" applyFill="1" applyFont="1" applyNumberFormat="1">
      <alignment horizontal="center" shrinkToFit="0" vertical="bottom" wrapText="0"/>
    </xf>
    <xf borderId="1" fillId="121" fontId="3" numFmtId="10" xfId="0" applyAlignment="1" applyBorder="1" applyFill="1" applyFont="1" applyNumberFormat="1">
      <alignment horizontal="center" shrinkToFit="0" vertical="bottom" wrapText="0"/>
    </xf>
    <xf borderId="1" fillId="14" fontId="8" numFmtId="0" xfId="0" applyAlignment="1" applyBorder="1" applyFill="1" applyFont="1">
      <alignment horizontal="center" readingOrder="0" shrinkToFit="0" vertical="center" wrapText="0"/>
    </xf>
    <xf borderId="1" fillId="14" fontId="5" numFmtId="0" xfId="0" applyAlignment="1" applyBorder="1" applyFill="1" applyFont="1">
      <alignment horizontal="center" readingOrder="0" shrinkToFit="0" vertical="center" wrapText="0"/>
    </xf>
    <xf borderId="1" fillId="207" fontId="8" numFmtId="0" xfId="0" applyAlignment="1" applyBorder="1" applyFill="1" applyFont="1">
      <alignment horizontal="center" readingOrder="0" shrinkToFit="0" vertical="center" wrapText="0"/>
    </xf>
    <xf borderId="1" fillId="17" fontId="5" numFmtId="0" xfId="0" applyAlignment="1" applyBorder="1" applyFill="1" applyFont="1">
      <alignment horizontal="center" readingOrder="0" shrinkToFit="0" vertical="center" wrapText="0"/>
    </xf>
    <xf borderId="1" fillId="244" fontId="5" numFmtId="0" xfId="0" applyAlignment="1" applyBorder="1" applyFill="1" applyFont="1">
      <alignment horizontal="center" readingOrder="0" shrinkToFit="0" vertical="center" wrapText="0"/>
    </xf>
    <xf borderId="1" fillId="244" fontId="8" numFmtId="0" xfId="0" applyAlignment="1" applyBorder="1" applyFill="1" applyFont="1">
      <alignment horizontal="center" readingOrder="0" shrinkToFit="0" vertical="center" wrapText="0"/>
    </xf>
    <xf borderId="1" fillId="248" fontId="8" numFmtId="0" xfId="0" applyAlignment="1" applyBorder="1" applyFill="1" applyFont="1">
      <alignment horizontal="center" readingOrder="0" shrinkToFit="0" vertical="center" wrapText="0"/>
    </xf>
    <xf borderId="1" fillId="249" fontId="8" numFmtId="0" xfId="0" applyAlignment="1" applyBorder="1" applyFill="1" applyFont="1">
      <alignment horizontal="center" readingOrder="0" shrinkToFit="0" vertical="center" wrapText="0"/>
    </xf>
    <xf borderId="1" fillId="162" fontId="5" numFmtId="0" xfId="0" applyAlignment="1" applyBorder="1" applyFill="1" applyFont="1">
      <alignment horizontal="center" readingOrder="0" shrinkToFit="0" vertical="center" wrapText="0"/>
    </xf>
    <xf borderId="1" fillId="141" fontId="5" numFmtId="0" xfId="0" applyAlignment="1" applyBorder="1" applyFill="1" applyFont="1">
      <alignment horizontal="center" readingOrder="0" shrinkToFit="0" vertical="center" wrapText="0"/>
    </xf>
    <xf borderId="1" fillId="249" fontId="5" numFmtId="0" xfId="0" applyAlignment="1" applyBorder="1" applyFill="1" applyFont="1">
      <alignment horizontal="center" readingOrder="0" shrinkToFit="0" vertical="center" wrapText="0"/>
    </xf>
    <xf borderId="1" fillId="89" fontId="5" numFmtId="0" xfId="0" applyAlignment="1" applyBorder="1" applyFill="1" applyFont="1">
      <alignment horizontal="center" readingOrder="0" shrinkToFit="0" vertical="center" wrapText="0"/>
    </xf>
    <xf borderId="1" fillId="147" fontId="5" numFmtId="0" xfId="0" applyAlignment="1" applyBorder="1" applyFill="1" applyFont="1">
      <alignment horizontal="center" readingOrder="0" shrinkToFit="0" vertical="center" wrapText="0"/>
    </xf>
    <xf borderId="1" fillId="26" fontId="5" numFmtId="0" xfId="0" applyAlignment="1" applyBorder="1" applyFill="1" applyFont="1">
      <alignment horizontal="center" readingOrder="0" shrinkToFit="0" vertical="center" wrapText="0"/>
    </xf>
    <xf borderId="1" fillId="17" fontId="8" numFmtId="0" xfId="0" applyAlignment="1" applyBorder="1" applyFill="1" applyFont="1">
      <alignment horizontal="center" readingOrder="0" shrinkToFit="0" vertical="center" wrapText="0"/>
    </xf>
    <xf borderId="1" fillId="135" fontId="8" numFmtId="0" xfId="0" applyAlignment="1" applyBorder="1" applyFill="1" applyFont="1">
      <alignment horizontal="center" readingOrder="0" shrinkToFit="0" vertical="center" wrapText="0"/>
    </xf>
    <xf borderId="1" fillId="30" fontId="8" numFmtId="0" xfId="0" applyAlignment="1" applyBorder="1" applyFill="1" applyFont="1">
      <alignment horizontal="center" readingOrder="0" shrinkToFit="0" vertical="center" wrapText="0"/>
    </xf>
    <xf borderId="1" fillId="3" fontId="13" numFmtId="0" xfId="0" applyAlignment="1" applyBorder="1" applyFill="1" applyFont="1">
      <alignment horizontal="center" shrinkToFit="0" vertical="bottom" wrapText="0"/>
    </xf>
    <xf borderId="1" fillId="17" fontId="13" numFmtId="0" xfId="0" applyAlignment="1" applyBorder="1" applyFill="1" applyFont="1">
      <alignment horizontal="center" shrinkToFit="0" vertical="bottom" wrapText="0"/>
    </xf>
    <xf borderId="1" fillId="244" fontId="13" numFmtId="167" xfId="0" applyAlignment="1" applyBorder="1" applyFill="1" applyFont="1" applyNumberFormat="1">
      <alignment horizontal="center" shrinkToFit="0" vertical="bottom" wrapText="0"/>
    </xf>
    <xf borderId="1" fillId="17" fontId="11" numFmtId="167" xfId="0" applyAlignment="1" applyBorder="1" applyFill="1" applyFont="1" applyNumberFormat="1">
      <alignment horizontal="center" shrinkToFit="0" vertical="bottom" wrapText="0"/>
    </xf>
    <xf borderId="1" fillId="250" fontId="11" numFmtId="167" xfId="0" applyAlignment="1" applyBorder="1" applyFill="1" applyFont="1" applyNumberFormat="1">
      <alignment horizontal="center" shrinkToFit="0" vertical="bottom" wrapText="0"/>
    </xf>
    <xf borderId="6" fillId="49" fontId="14" numFmtId="10" xfId="0" applyAlignment="1" applyBorder="1" applyFill="1" applyFont="1" applyNumberFormat="1">
      <alignment horizontal="center" shrinkToFit="0" vertical="bottom" wrapText="0"/>
    </xf>
    <xf borderId="1" fillId="85" fontId="13" numFmtId="167" xfId="0" applyAlignment="1" applyBorder="1" applyFill="1" applyFont="1" applyNumberFormat="1">
      <alignment horizontal="center" shrinkToFit="0" vertical="bottom" wrapText="0"/>
    </xf>
    <xf borderId="1" fillId="249" fontId="11" numFmtId="167" xfId="0" applyAlignment="1" applyBorder="1" applyFill="1" applyFont="1" applyNumberFormat="1">
      <alignment horizontal="center" shrinkToFit="0" vertical="bottom" wrapText="0"/>
    </xf>
    <xf borderId="1" fillId="251" fontId="11" numFmtId="167" xfId="0" applyAlignment="1" applyBorder="1" applyFill="1" applyFont="1" applyNumberFormat="1">
      <alignment horizontal="center" shrinkToFit="0" vertical="bottom" wrapText="0"/>
    </xf>
    <xf borderId="1" fillId="50" fontId="13" numFmtId="167" xfId="0" applyAlignment="1" applyBorder="1" applyFill="1" applyFont="1" applyNumberFormat="1">
      <alignment horizontal="center" shrinkToFit="0" vertical="bottom" wrapText="0"/>
    </xf>
    <xf borderId="1" fillId="207" fontId="11" numFmtId="167" xfId="0" applyAlignment="1" applyBorder="1" applyFill="1" applyFont="1" applyNumberFormat="1">
      <alignment horizontal="center" shrinkToFit="0" vertical="bottom" wrapText="0"/>
    </xf>
    <xf borderId="1" fillId="252" fontId="13" numFmtId="167" xfId="0" applyAlignment="1" applyBorder="1" applyFill="1" applyFont="1" applyNumberFormat="1">
      <alignment horizontal="center" shrinkToFit="0" vertical="bottom" wrapText="0"/>
    </xf>
    <xf borderId="1" fillId="253" fontId="11" numFmtId="167" xfId="0" applyAlignment="1" applyBorder="1" applyFill="1" applyFont="1" applyNumberFormat="1">
      <alignment horizontal="center" shrinkToFit="0" vertical="bottom" wrapText="0"/>
    </xf>
    <xf borderId="1" fillId="254" fontId="13" numFmtId="167" xfId="0" applyAlignment="1" applyBorder="1" applyFill="1" applyFont="1" applyNumberFormat="1">
      <alignment horizontal="center" shrinkToFit="0" vertical="bottom" wrapText="0"/>
    </xf>
    <xf borderId="1" fillId="255" fontId="11" numFmtId="167" xfId="0" applyAlignment="1" applyBorder="1" applyFill="1" applyFont="1" applyNumberFormat="1">
      <alignment horizontal="center" shrinkToFit="0" vertical="bottom" wrapText="0"/>
    </xf>
    <xf borderId="1" fillId="3" fontId="13" numFmtId="167" xfId="0" applyAlignment="1" applyBorder="1" applyFill="1" applyFont="1" applyNumberFormat="1">
      <alignment horizontal="center" shrinkToFit="0" vertical="bottom" wrapText="0"/>
    </xf>
    <xf borderId="1" fillId="256" fontId="11" numFmtId="167" xfId="0" applyAlignment="1" applyBorder="1" applyFill="1" applyFont="1" applyNumberFormat="1">
      <alignment horizontal="center" shrinkToFit="0" vertical="bottom" wrapText="0"/>
    </xf>
    <xf borderId="1" fillId="244" fontId="13" numFmtId="0" xfId="0" applyAlignment="1" applyBorder="1" applyFill="1" applyFont="1">
      <alignment horizontal="center" shrinkToFit="0" vertical="bottom" wrapText="0"/>
    </xf>
    <xf borderId="1" fillId="14" fontId="13" numFmtId="167" xfId="0" applyAlignment="1" applyBorder="1" applyFill="1" applyFont="1" applyNumberFormat="1">
      <alignment horizontal="center" shrinkToFit="0" vertical="bottom" wrapText="0"/>
    </xf>
    <xf borderId="1" fillId="257" fontId="11" numFmtId="167" xfId="0" applyAlignment="1" applyBorder="1" applyFill="1" applyFont="1" applyNumberFormat="1">
      <alignment horizontal="center" shrinkToFit="0" vertical="bottom" wrapText="0"/>
    </xf>
    <xf borderId="1" fillId="14" fontId="11" numFmtId="167" xfId="0" applyAlignment="1" applyBorder="1" applyFill="1" applyFont="1" applyNumberFormat="1">
      <alignment horizontal="center" shrinkToFit="0" vertical="bottom" wrapText="0"/>
    </xf>
    <xf borderId="1" fillId="26" fontId="13" numFmtId="0" xfId="0" applyAlignment="1" applyBorder="1" applyFill="1" applyFont="1">
      <alignment horizontal="center" shrinkToFit="0" vertical="bottom" wrapText="0"/>
    </xf>
    <xf borderId="1" fillId="74" fontId="13" numFmtId="167" xfId="0" applyAlignment="1" applyBorder="1" applyFill="1" applyFont="1" applyNumberFormat="1">
      <alignment horizontal="center" shrinkToFit="0" vertical="bottom" wrapText="0"/>
    </xf>
    <xf borderId="1" fillId="258" fontId="11" numFmtId="167" xfId="0" applyAlignment="1" applyBorder="1" applyFill="1" applyFont="1" applyNumberFormat="1">
      <alignment horizontal="center" shrinkToFit="0" vertical="bottom" wrapText="0"/>
    </xf>
    <xf borderId="1" fillId="203" fontId="13" numFmtId="167" xfId="0" applyAlignment="1" applyBorder="1" applyFill="1" applyFont="1" applyNumberFormat="1">
      <alignment horizontal="center" shrinkToFit="0" vertical="bottom" wrapText="0"/>
    </xf>
    <xf borderId="1" fillId="259" fontId="11" numFmtId="167" xfId="0" applyAlignment="1" applyBorder="1" applyFill="1" applyFont="1" applyNumberFormat="1">
      <alignment horizontal="center" shrinkToFit="0" vertical="bottom" wrapText="0"/>
    </xf>
    <xf borderId="1" fillId="141" fontId="13" numFmtId="0" xfId="0" applyAlignment="1" applyBorder="1" applyFill="1" applyFont="1">
      <alignment horizontal="center" shrinkToFit="0" vertical="bottom" wrapText="0"/>
    </xf>
    <xf borderId="1" fillId="260" fontId="13" numFmtId="167" xfId="0" applyAlignment="1" applyBorder="1" applyFill="1" applyFont="1" applyNumberFormat="1">
      <alignment horizontal="center" shrinkToFit="0" vertical="bottom" wrapText="0"/>
    </xf>
    <xf borderId="1" fillId="85" fontId="11" numFmtId="167" xfId="0" applyAlignment="1" applyBorder="1" applyFill="1" applyFont="1" applyNumberFormat="1">
      <alignment horizontal="center" shrinkToFit="0" vertical="bottom" wrapText="0"/>
    </xf>
    <xf borderId="1" fillId="261" fontId="13" numFmtId="167" xfId="0" applyAlignment="1" applyBorder="1" applyFill="1" applyFont="1" applyNumberFormat="1">
      <alignment horizontal="center" shrinkToFit="0" vertical="bottom" wrapText="0"/>
    </xf>
    <xf borderId="1" fillId="82" fontId="11" numFmtId="167" xfId="0" applyAlignment="1" applyBorder="1" applyFill="1" applyFont="1" applyNumberFormat="1">
      <alignment horizontal="center" shrinkToFit="0" vertical="bottom" wrapText="0"/>
    </xf>
    <xf borderId="1" fillId="262" fontId="13" numFmtId="167" xfId="0" applyAlignment="1" applyBorder="1" applyFill="1" applyFont="1" applyNumberFormat="1">
      <alignment horizontal="center" shrinkToFit="0" vertical="bottom" wrapText="0"/>
    </xf>
    <xf borderId="1" fillId="263" fontId="11" numFmtId="167" xfId="0" applyAlignment="1" applyBorder="1" applyFill="1" applyFont="1" applyNumberFormat="1">
      <alignment horizontal="center" shrinkToFit="0" vertical="bottom" wrapText="0"/>
    </xf>
    <xf borderId="1" fillId="130" fontId="13" numFmtId="167" xfId="0" applyAlignment="1" applyBorder="1" applyFill="1" applyFont="1" applyNumberFormat="1">
      <alignment horizontal="center" shrinkToFit="0" vertical="bottom" wrapText="0"/>
    </xf>
    <xf borderId="1" fillId="244" fontId="11" numFmtId="167" xfId="0" applyAlignment="1" applyBorder="1" applyFill="1" applyFont="1" applyNumberFormat="1">
      <alignment horizontal="center" shrinkToFit="0" vertical="bottom" wrapText="0"/>
    </xf>
    <xf borderId="1" fillId="264" fontId="11" numFmtId="167" xfId="0" applyAlignment="1" applyBorder="1" applyFill="1" applyFont="1" applyNumberFormat="1">
      <alignment horizontal="center" shrinkToFit="0" vertical="bottom" wrapText="0"/>
    </xf>
    <xf borderId="1" fillId="265" fontId="13" numFmtId="167" xfId="0" applyAlignment="1" applyBorder="1" applyFill="1" applyFont="1" applyNumberFormat="1">
      <alignment horizontal="center" shrinkToFit="0" vertical="bottom" wrapText="0"/>
    </xf>
    <xf borderId="1" fillId="266" fontId="11" numFmtId="167" xfId="0" applyAlignment="1" applyBorder="1" applyFill="1" applyFont="1" applyNumberFormat="1">
      <alignment horizontal="center" shrinkToFit="0" vertical="bottom" wrapText="0"/>
    </xf>
    <xf borderId="1" fillId="3" fontId="22" numFmtId="0" xfId="0" applyAlignment="1" applyBorder="1" applyFill="1" applyFont="1">
      <alignment horizontal="center" shrinkToFit="0" vertical="bottom" wrapText="0"/>
    </xf>
    <xf borderId="1" fillId="3" fontId="22" numFmtId="10" xfId="0" applyAlignment="1" applyBorder="1" applyFill="1" applyFont="1" applyNumberFormat="1">
      <alignment horizontal="center" shrinkToFit="0" vertical="bottom" wrapText="0"/>
    </xf>
    <xf borderId="1" fillId="181" fontId="3" numFmtId="0" xfId="0" applyAlignment="1" applyBorder="1" applyFill="1" applyFont="1">
      <alignment horizontal="center" shrinkToFit="0" vertical="bottom" wrapText="0"/>
    </xf>
    <xf borderId="1" fillId="267" fontId="5" numFmtId="0" xfId="0" applyAlignment="1" applyBorder="1" applyFill="1" applyFont="1">
      <alignment horizontal="center" shrinkToFit="0" vertical="center" wrapText="0"/>
    </xf>
    <xf borderId="1" fillId="268" fontId="3" numFmtId="0" xfId="0" applyAlignment="1" applyBorder="1" applyFill="1" applyFont="1">
      <alignment horizontal="center" shrinkToFit="0" vertical="bottom" wrapText="0"/>
    </xf>
    <xf borderId="1" fillId="238" fontId="3" numFmtId="0" xfId="0" applyAlignment="1" applyBorder="1" applyFill="1" applyFont="1">
      <alignment horizontal="center" shrinkToFit="0" vertical="bottom" wrapText="0"/>
    </xf>
    <xf borderId="1" fillId="269" fontId="3" numFmtId="10" xfId="0" applyAlignment="1" applyBorder="1" applyFill="1" applyFont="1" applyNumberFormat="1">
      <alignment horizontal="center" shrinkToFit="0" vertical="bottom" wrapText="0"/>
    </xf>
    <xf borderId="1" fillId="52" fontId="5" numFmtId="0" xfId="0" applyAlignment="1" applyBorder="1" applyFill="1" applyFont="1">
      <alignment horizontal="center" shrinkToFit="0" vertical="center" wrapText="0"/>
    </xf>
    <xf borderId="1" fillId="28" fontId="3" numFmtId="10" xfId="0" applyAlignment="1" applyBorder="1" applyFill="1" applyFont="1" applyNumberFormat="1">
      <alignment horizontal="center" shrinkToFit="0" vertical="bottom" wrapText="0"/>
    </xf>
    <xf borderId="1" fillId="52" fontId="5" numFmtId="0" xfId="0" applyAlignment="1" applyBorder="1" applyFill="1" applyFont="1">
      <alignment horizontal="center" readingOrder="0" shrinkToFit="0" vertical="center" wrapText="0"/>
    </xf>
    <xf borderId="1" fillId="270" fontId="3" numFmtId="0" xfId="0" applyAlignment="1" applyBorder="1" applyFill="1" applyFont="1">
      <alignment horizontal="center" shrinkToFit="0" vertical="bottom" wrapText="0"/>
    </xf>
    <xf borderId="1" fillId="249" fontId="3" numFmtId="0" xfId="0" applyAlignment="1" applyBorder="1" applyFill="1" applyFont="1">
      <alignment horizontal="center" shrinkToFit="0" vertical="bottom" wrapText="0"/>
    </xf>
    <xf borderId="1" fillId="207" fontId="13" numFmtId="10" xfId="0" applyAlignment="1" applyBorder="1" applyFill="1" applyFont="1" applyNumberFormat="1">
      <alignment horizontal="center" readingOrder="0" shrinkToFit="0" vertical="bottom" wrapText="0"/>
    </xf>
    <xf borderId="3" fillId="271" fontId="15" numFmtId="10" xfId="0" applyAlignment="1" applyBorder="1" applyFill="1" applyFont="1" applyNumberFormat="1">
      <alignment horizontal="center" shrinkToFit="0" vertical="bottom" wrapText="0"/>
    </xf>
    <xf borderId="1" fillId="248" fontId="3" numFmtId="10" xfId="0" applyAlignment="1" applyBorder="1" applyFill="1" applyFont="1" applyNumberFormat="1">
      <alignment horizontal="center" shrinkToFit="0" vertical="bottom" wrapText="0"/>
    </xf>
    <xf borderId="1" fillId="272" fontId="5" numFmtId="0" xfId="0" applyAlignment="1" applyBorder="1" applyFill="1" applyFont="1">
      <alignment horizontal="center" readingOrder="0" shrinkToFit="0" vertical="center" wrapText="0"/>
    </xf>
    <xf borderId="1" fillId="29" fontId="3" numFmtId="10" xfId="0" applyAlignment="1" applyBorder="1" applyFill="1" applyFont="1" applyNumberFormat="1">
      <alignment horizontal="center" shrinkToFit="0" vertical="bottom" wrapText="0"/>
    </xf>
    <xf borderId="1" fillId="222" fontId="3" numFmtId="10" xfId="0" applyAlignment="1" applyBorder="1" applyFill="1" applyFont="1" applyNumberFormat="1">
      <alignment horizontal="center" shrinkToFit="0" vertical="bottom" wrapText="0"/>
    </xf>
    <xf borderId="1" fillId="89" fontId="3" numFmtId="0" xfId="0" applyAlignment="1" applyBorder="1" applyFill="1" applyFont="1">
      <alignment horizontal="center" shrinkToFit="0" vertical="bottom" wrapText="0"/>
    </xf>
    <xf borderId="1" fillId="273" fontId="3" numFmtId="10" xfId="0" applyAlignment="1" applyBorder="1" applyFill="1" applyFont="1" applyNumberFormat="1">
      <alignment horizontal="center" shrinkToFit="0" vertical="bottom" wrapText="0"/>
    </xf>
    <xf borderId="1" fillId="137" fontId="3" numFmtId="0" xfId="0" applyAlignment="1" applyBorder="1" applyFill="1" applyFont="1">
      <alignment horizontal="center" shrinkToFit="0" vertical="bottom" wrapText="0"/>
    </xf>
    <xf borderId="1" fillId="274" fontId="3" numFmtId="0" xfId="0" applyAlignment="1" applyBorder="1" applyFill="1" applyFont="1">
      <alignment horizontal="center" shrinkToFit="0" vertical="bottom" wrapText="0"/>
    </xf>
    <xf borderId="1" fillId="114" fontId="3" numFmtId="0" xfId="0" applyAlignment="1" applyBorder="1" applyFill="1" applyFont="1">
      <alignment horizontal="center" shrinkToFit="0" vertical="bottom" wrapText="0"/>
    </xf>
    <xf borderId="1" fillId="41" fontId="3" numFmtId="0" xfId="0" applyAlignment="1" applyBorder="1" applyFill="1" applyFont="1">
      <alignment horizontal="center" shrinkToFit="0" vertical="bottom" wrapText="0"/>
    </xf>
    <xf borderId="1" fillId="275" fontId="3" numFmtId="10" xfId="0" applyAlignment="1" applyBorder="1" applyFill="1" applyFont="1" applyNumberFormat="1">
      <alignment horizontal="center" shrinkToFit="0" vertical="bottom" wrapText="0"/>
    </xf>
    <xf borderId="1" fillId="204" fontId="3" numFmtId="0" xfId="0" applyAlignment="1" applyBorder="1" applyFill="1" applyFont="1">
      <alignment horizontal="center" shrinkToFit="0" vertical="bottom" wrapText="0"/>
    </xf>
    <xf borderId="1" fillId="37" fontId="3" numFmtId="10" xfId="0" applyAlignment="1" applyBorder="1" applyFill="1" applyFont="1" applyNumberFormat="1">
      <alignment horizontal="center" shrinkToFit="0" vertical="bottom" wrapText="0"/>
    </xf>
    <xf borderId="1" fillId="22" fontId="3" numFmtId="10" xfId="0" applyAlignment="1" applyBorder="1" applyFill="1" applyFont="1" applyNumberFormat="1">
      <alignment horizontal="center" shrinkToFit="0" vertical="bottom" wrapText="0"/>
    </xf>
    <xf borderId="1" fillId="271" fontId="5" numFmtId="0" xfId="0" applyAlignment="1" applyBorder="1" applyFill="1" applyFont="1">
      <alignment horizontal="center" shrinkToFit="0" vertical="center" wrapText="0"/>
    </xf>
    <xf borderId="1" fillId="276" fontId="3" numFmtId="10" xfId="0" applyAlignment="1" applyBorder="1" applyFill="1" applyFont="1" applyNumberFormat="1">
      <alignment horizontal="center" shrinkToFit="0" vertical="bottom" wrapText="0"/>
    </xf>
    <xf borderId="1" fillId="94" fontId="3" numFmtId="10" xfId="0" applyAlignment="1" applyBorder="1" applyFill="1" applyFont="1" applyNumberFormat="1">
      <alignment horizontal="center" shrinkToFit="0" vertical="bottom" wrapText="0"/>
    </xf>
    <xf borderId="1" fillId="277" fontId="3" numFmtId="0" xfId="0" applyAlignment="1" applyBorder="1" applyFill="1" applyFont="1">
      <alignment horizontal="center" shrinkToFit="0" vertical="bottom" wrapText="0"/>
    </xf>
    <xf borderId="1" fillId="278" fontId="3" numFmtId="10" xfId="0" applyAlignment="1" applyBorder="1" applyFill="1" applyFont="1" applyNumberFormat="1">
      <alignment horizontal="center" shrinkToFit="0" vertical="bottom" wrapText="0"/>
    </xf>
    <xf borderId="1" fillId="279" fontId="5" numFmtId="0" xfId="0" applyAlignment="1" applyBorder="1" applyFill="1" applyFont="1">
      <alignment horizontal="center" readingOrder="0" shrinkToFit="0" vertical="center" wrapText="0"/>
    </xf>
    <xf borderId="1" fillId="0" fontId="13" numFmtId="10" xfId="0" applyAlignment="1" applyBorder="1" applyFont="1" applyNumberFormat="1">
      <alignment horizontal="center" readingOrder="0" shrinkToFit="0" vertical="bottom" wrapText="0"/>
    </xf>
    <xf borderId="1" fillId="134" fontId="3" numFmtId="10" xfId="0" applyAlignment="1" applyBorder="1" applyFill="1" applyFont="1" applyNumberFormat="1">
      <alignment horizontal="center" shrinkToFit="0" vertical="bottom" wrapText="0"/>
    </xf>
    <xf borderId="1" fillId="280" fontId="3" numFmtId="10" xfId="0" applyAlignment="1" applyBorder="1" applyFill="1" applyFont="1" applyNumberFormat="1">
      <alignment horizontal="center" shrinkToFit="0" vertical="bottom" wrapText="0"/>
    </xf>
    <xf borderId="1" fillId="281" fontId="3" numFmtId="10" xfId="0" applyAlignment="1" applyBorder="1" applyFill="1" applyFont="1" applyNumberFormat="1">
      <alignment horizontal="center" shrinkToFit="0" vertical="bottom" wrapText="0"/>
    </xf>
    <xf borderId="1" fillId="282" fontId="3" numFmtId="10" xfId="0" applyAlignment="1" applyBorder="1" applyFill="1" applyFont="1" applyNumberFormat="1">
      <alignment horizontal="center" shrinkToFit="0" vertical="bottom" wrapText="0"/>
    </xf>
    <xf borderId="1" fillId="283" fontId="3" numFmtId="0" xfId="0" applyAlignment="1" applyBorder="1" applyFill="1" applyFont="1">
      <alignment horizontal="center" shrinkToFit="0" vertical="bottom" wrapText="0"/>
    </xf>
    <xf borderId="1" fillId="133" fontId="3" numFmtId="10" xfId="0" applyAlignment="1" applyBorder="1" applyFill="1" applyFont="1" applyNumberFormat="1">
      <alignment horizontal="center" shrinkToFit="0" vertical="bottom" wrapText="0"/>
    </xf>
    <xf borderId="1" fillId="207" fontId="5" numFmtId="0" xfId="0" applyAlignment="1" applyBorder="1" applyFill="1" applyFont="1">
      <alignment horizontal="center" shrinkToFit="0" vertical="center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1" fillId="0" fontId="22" numFmtId="10" xfId="0" applyAlignment="1" applyBorder="1" applyFont="1" applyNumberFormat="1">
      <alignment horizontal="center" shrinkToFit="0" vertical="bottom" wrapText="0"/>
    </xf>
    <xf borderId="1" fillId="9" fontId="22" numFmtId="0" xfId="0" applyAlignment="1" applyBorder="1" applyFill="1" applyFont="1">
      <alignment horizontal="center" shrinkToFit="0" vertical="bottom" wrapText="0"/>
    </xf>
    <xf borderId="1" fillId="174" fontId="22" numFmtId="10" xfId="0" applyAlignment="1" applyBorder="1" applyFill="1" applyFont="1" applyNumberFormat="1">
      <alignment horizontal="center" shrinkToFit="0" vertical="bottom" wrapText="0"/>
    </xf>
    <xf borderId="1" fillId="182" fontId="22" numFmtId="0" xfId="0" applyAlignment="1" applyBorder="1" applyFill="1" applyFont="1">
      <alignment horizontal="center" shrinkToFit="0" vertical="bottom" wrapText="0"/>
    </xf>
    <xf borderId="1" fillId="284" fontId="3" numFmtId="10" xfId="0" applyAlignment="1" applyBorder="1" applyFill="1" applyFont="1" applyNumberFormat="1">
      <alignment horizontal="center" shrinkToFit="0" vertical="bottom" wrapText="0"/>
    </xf>
    <xf borderId="1" fillId="108" fontId="22" numFmtId="10" xfId="0" applyAlignment="1" applyBorder="1" applyFill="1" applyFont="1" applyNumberFormat="1">
      <alignment horizontal="center" shrinkToFit="0" vertical="bottom" wrapText="0"/>
    </xf>
    <xf borderId="1" fillId="256" fontId="5" numFmtId="49" xfId="0" applyAlignment="1" applyBorder="1" applyFill="1" applyFont="1" applyNumberFormat="1">
      <alignment horizontal="center" shrinkToFit="0" vertical="center" wrapText="0"/>
    </xf>
    <xf borderId="1" fillId="285" fontId="22" numFmtId="0" xfId="0" applyAlignment="1" applyBorder="1" applyFill="1" applyFont="1">
      <alignment horizontal="center" shrinkToFit="0" vertical="bottom" wrapText="0"/>
    </xf>
    <xf borderId="1" fillId="188" fontId="22" numFmtId="10" xfId="0" applyAlignment="1" applyBorder="1" applyFill="1" applyFont="1" applyNumberFormat="1">
      <alignment horizontal="center" shrinkToFit="0" vertical="bottom" wrapText="0"/>
    </xf>
    <xf borderId="1" fillId="111" fontId="22" numFmtId="0" xfId="0" applyAlignment="1" applyBorder="1" applyFill="1" applyFont="1">
      <alignment horizontal="center" shrinkToFit="0" vertical="bottom" wrapText="0"/>
    </xf>
    <xf borderId="1" fillId="187" fontId="3" numFmtId="0" xfId="0" applyAlignment="1" applyBorder="1" applyFill="1" applyFont="1">
      <alignment horizontal="center" shrinkToFit="0" vertical="bottom" wrapText="0"/>
    </xf>
    <xf borderId="1" fillId="129" fontId="22" numFmtId="10" xfId="0" applyAlignment="1" applyBorder="1" applyFill="1" applyFont="1" applyNumberFormat="1">
      <alignment horizontal="center" shrinkToFit="0" vertical="bottom" wrapText="0"/>
    </xf>
    <xf borderId="1" fillId="3" fontId="5" numFmtId="49" xfId="0" applyAlignment="1" applyBorder="1" applyFill="1" applyFont="1" applyNumberFormat="1">
      <alignment horizontal="center" shrinkToFit="0" vertical="center" wrapText="0"/>
    </xf>
    <xf borderId="1" fillId="159" fontId="22" numFmtId="0" xfId="0" applyAlignment="1" applyBorder="1" applyFill="1" applyFont="1">
      <alignment horizontal="center" shrinkToFit="0" vertical="bottom" wrapText="0"/>
    </xf>
    <xf borderId="1" fillId="286" fontId="22" numFmtId="10" xfId="0" applyAlignment="1" applyBorder="1" applyFill="1" applyFont="1" applyNumberFormat="1">
      <alignment horizontal="center" shrinkToFit="0" vertical="bottom" wrapText="0"/>
    </xf>
    <xf borderId="1" fillId="18" fontId="22" numFmtId="0" xfId="0" applyAlignment="1" applyBorder="1" applyFill="1" applyFont="1">
      <alignment horizontal="center" shrinkToFit="0" vertical="bottom" wrapText="0"/>
    </xf>
    <xf borderId="1" fillId="242" fontId="22" numFmtId="10" xfId="0" applyAlignment="1" applyBorder="1" applyFill="1" applyFont="1" applyNumberFormat="1">
      <alignment horizontal="center" shrinkToFit="0" vertical="bottom" wrapText="0"/>
    </xf>
    <xf borderId="1" fillId="256" fontId="5" numFmtId="49" xfId="0" applyAlignment="1" applyBorder="1" applyFill="1" applyFont="1" applyNumberFormat="1">
      <alignment horizontal="center" readingOrder="0" shrinkToFit="0" vertical="center" wrapText="0"/>
    </xf>
    <xf borderId="1" fillId="115" fontId="22" numFmtId="0" xfId="0" applyAlignment="1" applyBorder="1" applyFill="1" applyFont="1">
      <alignment horizontal="center" shrinkToFit="0" vertical="bottom" wrapText="0"/>
    </xf>
    <xf borderId="1" fillId="161" fontId="22" numFmtId="10" xfId="0" applyAlignment="1" applyBorder="1" applyFill="1" applyFont="1" applyNumberFormat="1">
      <alignment horizontal="center" shrinkToFit="0" vertical="bottom" wrapText="0"/>
    </xf>
    <xf borderId="1" fillId="8" fontId="22" numFmtId="10" xfId="0" applyAlignment="1" applyBorder="1" applyFill="1" applyFont="1" applyNumberFormat="1">
      <alignment horizontal="center" shrinkToFit="0" vertical="bottom" wrapText="0"/>
    </xf>
    <xf borderId="1" fillId="287" fontId="22" numFmtId="0" xfId="0" applyAlignment="1" applyBorder="1" applyFill="1" applyFont="1">
      <alignment horizontal="center" shrinkToFit="0" vertical="bottom" wrapText="0"/>
    </xf>
    <xf borderId="1" fillId="115" fontId="22" numFmtId="10" xfId="0" applyAlignment="1" applyBorder="1" applyFill="1" applyFont="1" applyNumberFormat="1">
      <alignment horizontal="center" shrinkToFit="0" vertical="bottom" wrapText="0"/>
    </xf>
    <xf borderId="1" fillId="274" fontId="22" numFmtId="10" xfId="0" applyAlignment="1" applyBorder="1" applyFill="1" applyFont="1" applyNumberFormat="1">
      <alignment horizontal="center" shrinkToFit="0" vertical="bottom" wrapText="0"/>
    </xf>
    <xf borderId="1" fillId="110" fontId="22" numFmtId="0" xfId="0" applyAlignment="1" applyBorder="1" applyFill="1" applyFont="1">
      <alignment horizontal="center" shrinkToFit="0" vertical="bottom" wrapText="0"/>
    </xf>
    <xf borderId="1" fillId="87" fontId="22" numFmtId="10" xfId="0" applyAlignment="1" applyBorder="1" applyFill="1" applyFont="1" applyNumberFormat="1">
      <alignment horizontal="center" shrinkToFit="0" vertical="bottom" wrapText="0"/>
    </xf>
    <xf borderId="2" fillId="3" fontId="14" numFmtId="49" xfId="0" applyAlignment="1" applyBorder="1" applyFill="1" applyFont="1" applyNumberFormat="1">
      <alignment horizontal="center" shrinkToFit="0" vertical="bottom" wrapText="0"/>
    </xf>
    <xf borderId="1" fillId="288" fontId="3" numFmtId="0" xfId="0" applyAlignment="1" applyBorder="1" applyFill="1" applyFont="1">
      <alignment horizontal="center" shrinkToFit="0" vertical="bottom" wrapText="0"/>
    </xf>
    <xf borderId="1" fillId="289" fontId="22" numFmtId="0" xfId="0" applyAlignment="1" applyBorder="1" applyFill="1" applyFont="1">
      <alignment horizontal="center" shrinkToFit="0" vertical="bottom" wrapText="0"/>
    </xf>
    <xf borderId="1" fillId="182" fontId="22" numFmtId="10" xfId="0" applyAlignment="1" applyBorder="1" applyFill="1" applyFont="1" applyNumberFormat="1">
      <alignment horizontal="center" shrinkToFit="0" vertical="bottom" wrapText="0"/>
    </xf>
    <xf borderId="1" fillId="3" fontId="5" numFmtId="49" xfId="0" applyAlignment="1" applyBorder="1" applyFill="1" applyFont="1" applyNumberFormat="1">
      <alignment horizontal="center" readingOrder="0" shrinkToFit="0" vertical="center" wrapText="0"/>
    </xf>
    <xf borderId="1" fillId="274" fontId="22" numFmtId="0" xfId="0" applyAlignment="1" applyBorder="1" applyFill="1" applyFont="1">
      <alignment horizontal="center" shrinkToFit="0" vertical="bottom" wrapText="0"/>
    </xf>
    <xf borderId="1" fillId="14" fontId="22" numFmtId="10" xfId="0" applyAlignment="1" applyBorder="1" applyFill="1" applyFont="1" applyNumberFormat="1">
      <alignment horizontal="center" shrinkToFit="0" vertical="bottom" wrapText="0"/>
    </xf>
    <xf borderId="1" fillId="29" fontId="22" numFmtId="10" xfId="0" applyAlignment="1" applyBorder="1" applyFill="1" applyFont="1" applyNumberFormat="1">
      <alignment horizontal="center" shrinkToFit="0" vertical="bottom" wrapText="0"/>
    </xf>
    <xf borderId="1" fillId="290" fontId="3" numFmtId="10" xfId="0" applyAlignment="1" applyBorder="1" applyFill="1" applyFont="1" applyNumberFormat="1">
      <alignment horizontal="center" shrinkToFit="0" vertical="bottom" wrapText="0"/>
    </xf>
    <xf borderId="1" fillId="109" fontId="22" numFmtId="0" xfId="0" applyAlignment="1" applyBorder="1" applyFill="1" applyFont="1">
      <alignment horizontal="center" shrinkToFit="0" vertical="bottom" wrapText="0"/>
    </xf>
    <xf borderId="1" fillId="288" fontId="22" numFmtId="10" xfId="0" applyAlignment="1" applyBorder="1" applyFill="1" applyFont="1" applyNumberFormat="1">
      <alignment horizontal="center" shrinkToFit="0" vertical="bottom" wrapText="0"/>
    </xf>
    <xf borderId="1" fillId="137" fontId="22" numFmtId="0" xfId="0" applyAlignment="1" applyBorder="1" applyFill="1" applyFont="1">
      <alignment horizontal="center" shrinkToFit="0" vertical="bottom" wrapText="0"/>
    </xf>
    <xf borderId="1" fillId="291" fontId="22" numFmtId="10" xfId="0" applyAlignment="1" applyBorder="1" applyFill="1" applyFont="1" applyNumberFormat="1">
      <alignment horizontal="center" shrinkToFit="0" vertical="bottom" wrapText="0"/>
    </xf>
    <xf borderId="1" fillId="292" fontId="3" numFmtId="10" xfId="0" applyAlignment="1" applyBorder="1" applyFill="1" applyFont="1" applyNumberFormat="1">
      <alignment horizontal="center" shrinkToFit="0" vertical="bottom" wrapText="0"/>
    </xf>
    <xf borderId="1" fillId="120" fontId="3" numFmtId="10" xfId="0" applyAlignment="1" applyBorder="1" applyFill="1" applyFont="1" applyNumberFormat="1">
      <alignment horizontal="center" shrinkToFit="0" vertical="bottom" wrapText="0"/>
    </xf>
    <xf borderId="1" fillId="236" fontId="22" numFmtId="0" xfId="0" applyAlignment="1" applyBorder="1" applyFill="1" applyFont="1">
      <alignment horizontal="center" shrinkToFit="0" vertical="bottom" wrapText="0"/>
    </xf>
    <xf borderId="1" fillId="231" fontId="22" numFmtId="10" xfId="0" applyAlignment="1" applyBorder="1" applyFill="1" applyFont="1" applyNumberFormat="1">
      <alignment horizontal="center" shrinkToFit="0" vertical="bottom" wrapText="0"/>
    </xf>
    <xf borderId="1" fillId="31" fontId="22" numFmtId="0" xfId="0" applyAlignment="1" applyBorder="1" applyFill="1" applyFont="1">
      <alignment horizontal="center" shrinkToFit="0" vertical="bottom" wrapText="0"/>
    </xf>
    <xf borderId="1" fillId="271" fontId="3" numFmtId="10" xfId="0" applyAlignment="1" applyBorder="1" applyFill="1" applyFont="1" applyNumberFormat="1">
      <alignment horizontal="center" shrinkToFit="0" vertical="bottom" wrapText="0"/>
    </xf>
    <xf borderId="1" fillId="169" fontId="3" numFmtId="0" xfId="0" applyAlignment="1" applyBorder="1" applyFill="1" applyFont="1">
      <alignment horizontal="center" shrinkToFit="0" vertical="bottom" wrapText="0"/>
    </xf>
    <xf borderId="1" fillId="145" fontId="22" numFmtId="0" xfId="0" applyAlignment="1" applyBorder="1" applyFill="1" applyFont="1">
      <alignment horizontal="center" shrinkToFit="0" vertical="bottom" wrapText="0"/>
    </xf>
    <xf borderId="1" fillId="137" fontId="22" numFmtId="10" xfId="0" applyAlignment="1" applyBorder="1" applyFill="1" applyFont="1" applyNumberFormat="1">
      <alignment horizontal="center" shrinkToFit="0" vertical="bottom" wrapText="0"/>
    </xf>
    <xf borderId="1" fillId="129" fontId="3" numFmtId="10" xfId="0" applyAlignment="1" applyBorder="1" applyFill="1" applyFont="1" applyNumberFormat="1">
      <alignment horizontal="center" shrinkToFit="0" vertical="bottom" wrapText="0"/>
    </xf>
    <xf borderId="1" fillId="112" fontId="3" numFmtId="0" xfId="0" applyAlignment="1" applyBorder="1" applyFill="1" applyFont="1">
      <alignment horizontal="center" shrinkToFit="0" vertical="bottom" wrapText="0"/>
    </xf>
    <xf borderId="1" fillId="240" fontId="22" numFmtId="0" xfId="0" applyAlignment="1" applyBorder="1" applyFill="1" applyFont="1">
      <alignment horizontal="center" shrinkToFit="0" vertical="bottom" wrapText="0"/>
    </xf>
    <xf borderId="1" fillId="228" fontId="22" numFmtId="10" xfId="0" applyAlignment="1" applyBorder="1" applyFill="1" applyFont="1" applyNumberFormat="1">
      <alignment horizontal="center" shrinkToFit="0" vertical="bottom" wrapText="0"/>
    </xf>
    <xf borderId="1" fillId="3" fontId="14" numFmtId="49" xfId="0" applyAlignment="1" applyBorder="1" applyFill="1" applyFont="1" applyNumberFormat="1">
      <alignment horizontal="center" readingOrder="0" shrinkToFit="0" vertical="bottom" wrapText="0"/>
    </xf>
    <xf borderId="1" fillId="293" fontId="3" numFmtId="0" xfId="0" applyAlignment="1" applyBorder="1" applyFill="1" applyFont="1">
      <alignment horizontal="center" shrinkToFit="0" vertical="bottom" wrapText="0"/>
    </xf>
    <xf borderId="1" fillId="294" fontId="3" numFmtId="10" xfId="0" applyAlignment="1" applyBorder="1" applyFill="1" applyFont="1" applyNumberFormat="1">
      <alignment horizontal="center" shrinkToFit="0" vertical="bottom" wrapText="0"/>
    </xf>
    <xf borderId="1" fillId="295" fontId="22" numFmtId="0" xfId="0" applyAlignment="1" applyBorder="1" applyFill="1" applyFont="1">
      <alignment horizontal="center" shrinkToFit="0" vertical="bottom" wrapText="0"/>
    </xf>
    <xf borderId="1" fillId="176" fontId="3" numFmtId="10" xfId="0" applyAlignment="1" applyBorder="1" applyFill="1" applyFont="1" applyNumberFormat="1">
      <alignment horizontal="center" shrinkToFit="0" vertical="bottom" wrapText="0"/>
    </xf>
    <xf borderId="1" fillId="210" fontId="22" numFmtId="10" xfId="0" applyAlignment="1" applyBorder="1" applyFill="1" applyFont="1" applyNumberFormat="1">
      <alignment horizontal="center" shrinkToFit="0" vertical="bottom" wrapText="0"/>
    </xf>
    <xf borderId="1" fillId="296" fontId="3" numFmtId="0" xfId="0" applyAlignment="1" applyBorder="1" applyFill="1" applyFont="1">
      <alignment horizontal="center" shrinkToFit="0" vertical="bottom" wrapText="0"/>
    </xf>
    <xf borderId="1" fillId="297" fontId="22" numFmtId="0" xfId="0" applyAlignment="1" applyBorder="1" applyFill="1" applyFont="1">
      <alignment horizontal="center" shrinkToFit="0" vertical="bottom" wrapText="0"/>
    </xf>
    <xf borderId="1" fillId="268" fontId="3" numFmtId="10" xfId="0" applyAlignment="1" applyBorder="1" applyFill="1" applyFont="1" applyNumberFormat="1">
      <alignment horizontal="center" shrinkToFit="0" vertical="bottom" wrapText="0"/>
    </xf>
    <xf borderId="7" fillId="3" fontId="14" numFmtId="49" xfId="0" applyAlignment="1" applyBorder="1" applyFill="1" applyFont="1" applyNumberFormat="1">
      <alignment horizontal="center" readingOrder="0" shrinkToFit="0" vertical="bottom" wrapText="0"/>
    </xf>
    <xf borderId="1" fillId="16" fontId="3" numFmtId="10" xfId="0" applyAlignment="1" applyBorder="1" applyFill="1" applyFont="1" applyNumberFormat="1">
      <alignment horizontal="center" shrinkToFit="0" vertical="bottom" wrapText="0"/>
    </xf>
    <xf borderId="1" fillId="298" fontId="22" numFmtId="0" xfId="0" applyAlignment="1" applyBorder="1" applyFill="1" applyFont="1">
      <alignment horizontal="center" shrinkToFit="0" vertical="bottom" wrapText="0"/>
    </xf>
    <xf borderId="1" fillId="299" fontId="22" numFmtId="10" xfId="0" applyAlignment="1" applyBorder="1" applyFill="1" applyFont="1" applyNumberFormat="1">
      <alignment horizontal="center" shrinkToFit="0" vertical="bottom" wrapText="0"/>
    </xf>
    <xf borderId="1" fillId="300" fontId="3" numFmtId="0" xfId="0" applyAlignment="1" applyBorder="1" applyFill="1" applyFont="1">
      <alignment horizontal="center" shrinkToFit="0" vertical="bottom" wrapText="0"/>
    </xf>
    <xf borderId="1" fillId="301" fontId="22" numFmtId="10" xfId="0" applyAlignment="1" applyBorder="1" applyFill="1" applyFont="1" applyNumberFormat="1">
      <alignment horizontal="center" shrinkToFit="0" vertical="bottom" wrapText="0"/>
    </xf>
    <xf borderId="1" fillId="271" fontId="5" numFmtId="0" xfId="0" applyAlignment="1" applyBorder="1" applyFill="1" applyFont="1">
      <alignment horizontal="center" readingOrder="0" shrinkToFit="0" vertical="center" wrapText="0"/>
    </xf>
    <xf borderId="1" fillId="101" fontId="3" numFmtId="10" xfId="0" applyAlignment="1" applyBorder="1" applyFill="1" applyFont="1" applyNumberFormat="1">
      <alignment horizontal="center" shrinkToFit="0" vertical="bottom" wrapText="0"/>
    </xf>
    <xf borderId="1" fillId="237" fontId="3" numFmtId="10" xfId="0" applyAlignment="1" applyBorder="1" applyFill="1" applyFont="1" applyNumberFormat="1">
      <alignment horizontal="center" shrinkToFit="0" vertical="bottom" wrapText="0"/>
    </xf>
    <xf borderId="1" fillId="117" fontId="22" numFmtId="0" xfId="0" applyAlignment="1" applyBorder="1" applyFill="1" applyFont="1">
      <alignment horizontal="center" shrinkToFit="0" vertical="bottom" wrapText="0"/>
    </xf>
    <xf borderId="1" fillId="16" fontId="3" numFmtId="0" xfId="0" applyAlignment="1" applyBorder="1" applyFill="1" applyFont="1">
      <alignment horizontal="center" shrinkToFit="0" vertical="bottom" wrapText="0"/>
    </xf>
    <xf borderId="1" fillId="163" fontId="22" numFmtId="10" xfId="0" applyAlignment="1" applyBorder="1" applyFill="1" applyFont="1" applyNumberFormat="1">
      <alignment horizontal="center" shrinkToFit="0" vertical="bottom" wrapText="0"/>
    </xf>
    <xf borderId="1" fillId="152" fontId="3" numFmtId="10" xfId="0" applyAlignment="1" applyBorder="1" applyFill="1" applyFont="1" applyNumberFormat="1">
      <alignment horizontal="center" shrinkToFit="0" vertical="bottom" wrapText="0"/>
    </xf>
    <xf borderId="1" fillId="288" fontId="3" numFmtId="10" xfId="0" applyAlignment="1" applyBorder="1" applyFill="1" applyFont="1" applyNumberFormat="1">
      <alignment horizontal="center" shrinkToFit="0" vertical="bottom" wrapText="0"/>
    </xf>
    <xf borderId="1" fillId="302" fontId="22" numFmtId="0" xfId="0" applyAlignment="1" applyBorder="1" applyFill="1" applyFont="1">
      <alignment horizontal="center" shrinkToFit="0" vertical="bottom" wrapText="0"/>
    </xf>
    <xf borderId="1" fillId="303" fontId="22" numFmtId="10" xfId="0" applyAlignment="1" applyBorder="1" applyFill="1" applyFont="1" applyNumberFormat="1">
      <alignment horizontal="center" shrinkToFit="0" vertical="bottom" wrapText="0"/>
    </xf>
    <xf borderId="1" fillId="138" fontId="22" numFmtId="0" xfId="0" applyAlignment="1" applyBorder="1" applyFill="1" applyFont="1">
      <alignment horizontal="center" shrinkToFit="0" vertical="bottom" wrapText="0"/>
    </xf>
    <xf borderId="1" fillId="49" fontId="5" numFmtId="0" xfId="0" applyAlignment="1" applyBorder="1" applyFill="1" applyFont="1">
      <alignment horizontal="center" readingOrder="0" shrinkToFit="0" vertical="center" wrapText="0"/>
    </xf>
    <xf borderId="1" fillId="103" fontId="22" numFmtId="10" xfId="0" applyAlignment="1" applyBorder="1" applyFill="1" applyFont="1" applyNumberFormat="1">
      <alignment horizontal="center" shrinkToFit="0" vertical="bottom" wrapText="0"/>
    </xf>
    <xf borderId="1" fillId="242" fontId="3" numFmtId="0" xfId="0" applyAlignment="1" applyBorder="1" applyFill="1" applyFont="1">
      <alignment horizontal="center" shrinkToFit="0" vertical="bottom" wrapText="0"/>
    </xf>
    <xf borderId="1" fillId="91" fontId="22" numFmtId="10" xfId="0" applyAlignment="1" applyBorder="1" applyFill="1" applyFont="1" applyNumberFormat="1">
      <alignment horizontal="center" shrinkToFit="0" vertical="bottom" wrapText="0"/>
    </xf>
    <xf borderId="1" fillId="280" fontId="3" numFmtId="0" xfId="0" applyAlignment="1" applyBorder="1" applyFill="1" applyFont="1">
      <alignment horizontal="center" shrinkToFit="0" vertical="bottom" wrapText="0"/>
    </xf>
    <xf borderId="1" fillId="182" fontId="3" numFmtId="10" xfId="0" applyAlignment="1" applyBorder="1" applyFill="1" applyFont="1" applyNumberFormat="1">
      <alignment horizontal="center" shrinkToFit="0" vertical="bottom" wrapText="0"/>
    </xf>
    <xf borderId="1" fillId="296" fontId="3" numFmtId="10" xfId="0" applyAlignment="1" applyBorder="1" applyFill="1" applyFont="1" applyNumberFormat="1">
      <alignment horizontal="center" shrinkToFit="0" vertical="bottom" wrapText="0"/>
    </xf>
    <xf borderId="1" fillId="304" fontId="22" numFmtId="10" xfId="0" applyAlignment="1" applyBorder="1" applyFill="1" applyFont="1" applyNumberFormat="1">
      <alignment horizontal="center" shrinkToFit="0" vertical="bottom" wrapText="0"/>
    </xf>
    <xf borderId="1" fillId="283" fontId="22" numFmtId="10" xfId="0" applyAlignment="1" applyBorder="1" applyFill="1" applyFont="1" applyNumberFormat="1">
      <alignment horizontal="center" shrinkToFit="0" vertical="bottom" wrapText="0"/>
    </xf>
    <xf borderId="1" fillId="14" fontId="22" numFmtId="0" xfId="0" applyAlignment="1" applyBorder="1" applyFill="1" applyFont="1">
      <alignment horizontal="center" shrinkToFit="0" vertical="bottom" wrapText="0"/>
    </xf>
    <xf borderId="1" fillId="280" fontId="22" numFmtId="10" xfId="0" applyAlignment="1" applyBorder="1" applyFill="1" applyFont="1" applyNumberFormat="1">
      <alignment horizontal="center" shrinkToFit="0" vertical="bottom" wrapText="0"/>
    </xf>
    <xf borderId="1" fillId="231" fontId="3" numFmtId="0" xfId="0" applyAlignment="1" applyBorder="1" applyFill="1" applyFont="1">
      <alignment horizontal="center" shrinkToFit="0" vertical="bottom" wrapText="0"/>
    </xf>
    <xf borderId="1" fillId="300" fontId="3" numFmtId="10" xfId="0" applyAlignment="1" applyBorder="1" applyFill="1" applyFont="1" applyNumberFormat="1">
      <alignment horizontal="center" shrinkToFit="0" vertical="bottom" wrapText="0"/>
    </xf>
    <xf borderId="1" fillId="305" fontId="22" numFmtId="10" xfId="0" applyAlignment="1" applyBorder="1" applyFill="1" applyFont="1" applyNumberFormat="1">
      <alignment horizontal="center" shrinkToFit="0" vertical="bottom" wrapText="0"/>
    </xf>
    <xf borderId="0" fillId="97" fontId="3" numFmtId="0" xfId="0" applyAlignment="1" applyFill="1" applyFont="1">
      <alignment horizontal="center" shrinkToFit="0" vertical="bottom" wrapText="0"/>
    </xf>
    <xf borderId="0" fillId="300" fontId="3" numFmtId="10" xfId="0" applyAlignment="1" applyFill="1" applyFont="1" applyNumberFormat="1">
      <alignment horizontal="center" shrinkToFit="0" vertical="bottom" wrapText="0"/>
    </xf>
    <xf borderId="1" fillId="306" fontId="3" numFmtId="0" xfId="0" applyAlignment="1" applyBorder="1" applyFill="1" applyFont="1">
      <alignment horizontal="center" shrinkToFit="0" vertical="bottom" wrapText="0"/>
    </xf>
    <xf borderId="1" fillId="307" fontId="22" numFmtId="10" xfId="0" applyAlignment="1" applyBorder="1" applyFill="1" applyFont="1" applyNumberFormat="1">
      <alignment horizontal="center" shrinkToFit="0" vertical="bottom" wrapText="0"/>
    </xf>
    <xf borderId="8" fillId="3" fontId="14" numFmtId="49" xfId="0" applyAlignment="1" applyBorder="1" applyFill="1" applyFont="1" applyNumberFormat="1">
      <alignment horizontal="center" readingOrder="0" shrinkToFit="0" vertical="bottom" wrapText="0"/>
    </xf>
    <xf borderId="1" fillId="0" fontId="11" numFmtId="10" xfId="0" applyAlignment="1" applyBorder="1" applyFont="1" applyNumberFormat="1">
      <alignment shrinkToFit="0" vertical="bottom" wrapText="0"/>
    </xf>
    <xf borderId="1" fillId="14" fontId="8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8" numFmtId="4" xfId="0" applyAlignment="1" applyBorder="1" applyFont="1" applyNumberFormat="1">
      <alignment horizontal="center" readingOrder="0" shrinkToFit="0" vertical="bottom" wrapText="0"/>
    </xf>
    <xf borderId="2" fillId="3" fontId="14" numFmtId="49" xfId="0" applyAlignment="1" applyBorder="1" applyFill="1" applyFont="1" applyNumberFormat="1">
      <alignment horizontal="center" readingOrder="0" shrinkToFit="0" vertical="bottom" wrapText="0"/>
    </xf>
    <xf borderId="1" fillId="21" fontId="3" numFmtId="165" xfId="0" applyAlignment="1" applyBorder="1" applyFill="1" applyFont="1" applyNumberFormat="1">
      <alignment horizontal="center" shrinkToFit="0" vertical="bottom" wrapText="0"/>
    </xf>
    <xf borderId="3" fillId="49" fontId="15" numFmtId="10" xfId="0" applyAlignment="1" applyBorder="1" applyFill="1" applyFont="1" applyNumberFormat="1">
      <alignment horizontal="center" shrinkToFit="0" vertical="bottom" wrapText="0"/>
    </xf>
    <xf borderId="1" fillId="105" fontId="22" numFmtId="10" xfId="0" applyAlignment="1" applyBorder="1" applyFill="1" applyFont="1" applyNumberFormat="1">
      <alignment horizontal="center" shrinkToFit="0" vertical="bottom" wrapText="0"/>
    </xf>
    <xf borderId="1" fillId="308" fontId="3" numFmtId="164" xfId="0" applyAlignment="1" applyBorder="1" applyFill="1" applyFont="1" applyNumberFormat="1">
      <alignment horizontal="center" shrinkToFit="0" vertical="bottom" wrapText="0"/>
    </xf>
    <xf borderId="1" fillId="130" fontId="22" numFmtId="10" xfId="0" applyAlignment="1" applyBorder="1" applyFill="1" applyFont="1" applyNumberFormat="1">
      <alignment horizontal="center" shrinkToFit="0" vertical="bottom" wrapText="0"/>
    </xf>
    <xf borderId="1" fillId="153" fontId="22" numFmtId="0" xfId="0" applyAlignment="1" applyBorder="1" applyFill="1" applyFont="1">
      <alignment horizontal="center" shrinkToFit="0" vertical="bottom" wrapText="0"/>
    </xf>
    <xf borderId="1" fillId="141" fontId="8" numFmtId="0" xfId="0" applyAlignment="1" applyBorder="1" applyFill="1" applyFont="1">
      <alignment horizontal="center" readingOrder="0" shrinkToFit="0" vertical="bottom" wrapText="0"/>
    </xf>
    <xf borderId="1" fillId="3" fontId="14" numFmtId="49" xfId="0" applyAlignment="1" applyBorder="1" applyFill="1" applyFont="1" applyNumberFormat="1">
      <alignment horizontal="center" shrinkToFit="0" vertical="bottom" wrapText="0"/>
    </xf>
    <xf borderId="1" fillId="309" fontId="22" numFmtId="10" xfId="0" applyAlignment="1" applyBorder="1" applyFill="1" applyFont="1" applyNumberFormat="1">
      <alignment horizontal="center" shrinkToFit="0" vertical="bottom" wrapText="0"/>
    </xf>
    <xf borderId="1" fillId="273" fontId="8" numFmtId="0" xfId="0" applyAlignment="1" applyBorder="1" applyFill="1" applyFont="1">
      <alignment horizontal="center" readingOrder="0" shrinkToFit="0" vertical="bottom" wrapText="0"/>
    </xf>
    <xf borderId="1" fillId="30" fontId="22" numFmtId="0" xfId="0" applyAlignment="1" applyBorder="1" applyFill="1" applyFont="1">
      <alignment horizontal="center" shrinkToFit="0" vertical="bottom" wrapText="0"/>
    </xf>
    <xf borderId="1" fillId="273" fontId="8" numFmtId="0" xfId="0" applyAlignment="1" applyBorder="1" applyFill="1" applyFont="1">
      <alignment horizontal="center" readingOrder="0" shrinkToFit="0" vertical="center" wrapText="0"/>
    </xf>
    <xf borderId="1" fillId="41" fontId="22" numFmtId="0" xfId="0" applyAlignment="1" applyBorder="1" applyFill="1" applyFont="1">
      <alignment horizontal="center" shrinkToFit="0" vertical="bottom" wrapText="0"/>
    </xf>
    <xf borderId="1" fillId="0" fontId="13" numFmtId="164" xfId="0" applyAlignment="1" applyBorder="1" applyFont="1" applyNumberFormat="1">
      <alignment shrinkToFit="0" vertical="bottom" wrapText="0"/>
    </xf>
    <xf borderId="1" fillId="52" fontId="8" numFmtId="0" xfId="0" applyAlignment="1" applyBorder="1" applyFill="1" applyFont="1">
      <alignment horizontal="center" readingOrder="0" shrinkToFit="0" vertical="center" wrapText="0"/>
    </xf>
    <xf borderId="1" fillId="310" fontId="3" numFmtId="10" xfId="0" applyAlignment="1" applyBorder="1" applyFill="1" applyFont="1" applyNumberFormat="1">
      <alignment horizontal="center" shrinkToFit="0" vertical="bottom" wrapText="0"/>
    </xf>
    <xf borderId="1" fillId="311" fontId="22" numFmtId="0" xfId="0" applyAlignment="1" applyBorder="1" applyFill="1" applyFont="1">
      <alignment horizontal="center" shrinkToFit="0" vertical="bottom" wrapText="0"/>
    </xf>
    <xf borderId="1" fillId="11" fontId="22" numFmtId="10" xfId="0" applyAlignment="1" applyBorder="1" applyFill="1" applyFont="1" applyNumberFormat="1">
      <alignment horizontal="center" shrinkToFit="0" vertical="bottom" wrapText="0"/>
    </xf>
    <xf borderId="1" fillId="28" fontId="22" numFmtId="10" xfId="0" applyAlignment="1" applyBorder="1" applyFill="1" applyFont="1" applyNumberFormat="1">
      <alignment horizontal="center" shrinkToFit="0" vertical="bottom" wrapText="0"/>
    </xf>
    <xf borderId="3" fillId="267" fontId="15" numFmtId="10" xfId="0" applyAlignment="1" applyBorder="1" applyFill="1" applyFont="1" applyNumberFormat="1">
      <alignment horizontal="center" shrinkToFit="0" vertical="bottom" wrapText="0"/>
    </xf>
    <xf borderId="1" fillId="225" fontId="3" numFmtId="165" xfId="0" applyAlignment="1" applyBorder="1" applyFill="1" applyFont="1" applyNumberFormat="1">
      <alignment horizontal="center" shrinkToFit="0" vertical="bottom" wrapText="0"/>
    </xf>
    <xf borderId="1" fillId="41" fontId="22" numFmtId="10" xfId="0" applyAlignment="1" applyBorder="1" applyFill="1" applyFont="1" applyNumberFormat="1">
      <alignment horizontal="center" shrinkToFit="0" vertical="bottom" wrapText="0"/>
    </xf>
    <xf borderId="1" fillId="312" fontId="3" numFmtId="164" xfId="0" applyAlignment="1" applyBorder="1" applyFill="1" applyFont="1" applyNumberFormat="1">
      <alignment horizontal="center" shrinkToFit="0" vertical="bottom" wrapText="0"/>
    </xf>
    <xf borderId="1" fillId="157" fontId="22" numFmtId="10" xfId="0" applyAlignment="1" applyBorder="1" applyFill="1" applyFont="1" applyNumberFormat="1">
      <alignment horizontal="center" shrinkToFit="0" vertical="bottom" wrapText="0"/>
    </xf>
    <xf borderId="1" fillId="142" fontId="22" numFmtId="10" xfId="0" applyAlignment="1" applyBorder="1" applyFill="1" applyFont="1" applyNumberFormat="1">
      <alignment horizontal="center" shrinkToFit="0" vertical="bottom" wrapText="0"/>
    </xf>
    <xf borderId="1" fillId="267" fontId="8" numFmtId="0" xfId="0" applyAlignment="1" applyBorder="1" applyFill="1" applyFont="1">
      <alignment horizontal="center" readingOrder="0" shrinkToFit="0" vertical="center" wrapText="0"/>
    </xf>
    <xf borderId="1" fillId="99" fontId="22" numFmtId="10" xfId="0" applyAlignment="1" applyBorder="1" applyFill="1" applyFont="1" applyNumberFormat="1">
      <alignment horizontal="center" shrinkToFit="0" vertical="bottom" wrapText="0"/>
    </xf>
    <xf borderId="1" fillId="249" fontId="3" numFmtId="165" xfId="0" applyAlignment="1" applyBorder="1" applyFill="1" applyFont="1" applyNumberFormat="1">
      <alignment horizontal="center" shrinkToFit="0" vertical="bottom" wrapText="0"/>
    </xf>
    <xf borderId="1" fillId="313" fontId="3" numFmtId="10" xfId="0" applyAlignment="1" applyBorder="1" applyFill="1" applyFont="1" applyNumberFormat="1">
      <alignment horizontal="center" shrinkToFit="0" vertical="bottom" wrapText="0"/>
    </xf>
    <xf borderId="1" fillId="241" fontId="22" numFmtId="10" xfId="0" applyAlignment="1" applyBorder="1" applyFill="1" applyFont="1" applyNumberFormat="1">
      <alignment horizontal="center" shrinkToFit="0" vertical="bottom" wrapText="0"/>
    </xf>
    <xf borderId="1" fillId="100" fontId="3" numFmtId="164" xfId="0" applyAlignment="1" applyBorder="1" applyFill="1" applyFont="1" applyNumberFormat="1">
      <alignment horizontal="center" shrinkToFit="0" vertical="bottom" wrapText="0"/>
    </xf>
    <xf borderId="1" fillId="311" fontId="3" numFmtId="10" xfId="0" applyAlignment="1" applyBorder="1" applyFill="1" applyFont="1" applyNumberFormat="1">
      <alignment horizontal="center" shrinkToFit="0" vertical="bottom" wrapText="0"/>
    </xf>
    <xf borderId="1" fillId="0" fontId="8" numFmtId="4" xfId="0" applyAlignment="1" applyBorder="1" applyFont="1" applyNumberFormat="1">
      <alignment horizontal="center" readingOrder="0" shrinkToFit="0" vertical="center" wrapText="0"/>
    </xf>
    <xf borderId="1" fillId="163" fontId="22" numFmtId="0" xfId="0" applyAlignment="1" applyBorder="1" applyFill="1" applyFont="1">
      <alignment horizontal="center" shrinkToFit="0" vertical="bottom" wrapText="0"/>
    </xf>
    <xf borderId="1" fillId="117" fontId="22" numFmtId="10" xfId="0" applyAlignment="1" applyBorder="1" applyFill="1" applyFont="1" applyNumberFormat="1">
      <alignment horizontal="center" shrinkToFit="0" vertical="bottom" wrapText="0"/>
    </xf>
    <xf borderId="1" fillId="288" fontId="22" numFmtId="0" xfId="0" applyAlignment="1" applyBorder="1" applyFill="1" applyFont="1">
      <alignment horizontal="center" shrinkToFit="0" vertical="bottom" wrapText="0"/>
    </xf>
    <xf borderId="1" fillId="295" fontId="22" numFmtId="10" xfId="0" applyAlignment="1" applyBorder="1" applyFill="1" applyFont="1" applyNumberFormat="1">
      <alignment horizontal="center" shrinkToFit="0" vertical="bottom" wrapText="0"/>
    </xf>
    <xf borderId="1" fillId="105" fontId="3" numFmtId="165" xfId="0" applyAlignment="1" applyBorder="1" applyFill="1" applyFont="1" applyNumberFormat="1">
      <alignment horizontal="center" shrinkToFit="0" vertical="bottom" wrapText="0"/>
    </xf>
    <xf borderId="1" fillId="207" fontId="8" numFmtId="0" xfId="0" applyAlignment="1" applyBorder="1" applyFill="1" applyFont="1">
      <alignment horizontal="center" readingOrder="0" shrinkToFit="0" vertical="bottom" wrapText="0"/>
    </xf>
    <xf borderId="1" fillId="118" fontId="3" numFmtId="164" xfId="0" applyAlignment="1" applyBorder="1" applyFill="1" applyFont="1" applyNumberFormat="1">
      <alignment horizontal="center" shrinkToFit="0" vertical="bottom" wrapText="0"/>
    </xf>
    <xf borderId="1" fillId="118" fontId="3" numFmtId="10" xfId="0" applyAlignment="1" applyBorder="1" applyFill="1" applyFont="1" applyNumberFormat="1">
      <alignment horizontal="center" shrinkToFit="0" vertical="bottom" wrapText="0"/>
    </xf>
    <xf borderId="1" fillId="220" fontId="22" numFmtId="10" xfId="0" applyAlignment="1" applyBorder="1" applyFill="1" applyFont="1" applyNumberFormat="1">
      <alignment horizontal="center" shrinkToFit="0" vertical="bottom" wrapText="0"/>
    </xf>
    <xf borderId="1" fillId="91" fontId="22" numFmtId="0" xfId="0" applyAlignment="1" applyBorder="1" applyFill="1" applyFont="1">
      <alignment horizontal="center" shrinkToFit="0" vertical="bottom" wrapText="0"/>
    </xf>
    <xf borderId="0" fillId="135" fontId="3" numFmtId="0" xfId="0" applyAlignment="1" applyFill="1" applyFont="1">
      <alignment horizontal="center" shrinkToFit="0" vertical="bottom" wrapText="0"/>
    </xf>
    <xf borderId="1" fillId="3" fontId="10" numFmtId="4" xfId="0" applyAlignment="1" applyBorder="1" applyFill="1" applyFont="1" applyNumberFormat="1">
      <alignment horizontal="center" readingOrder="0" shrinkToFit="0" vertical="bottom" wrapText="0"/>
    </xf>
    <xf borderId="0" fillId="182" fontId="3" numFmtId="10" xfId="0" applyAlignment="1" applyFill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172" fontId="3" numFmtId="0" xfId="0" applyAlignment="1" applyFill="1" applyFont="1">
      <alignment horizontal="center" shrinkToFit="0" vertical="bottom" wrapText="0"/>
    </xf>
    <xf borderId="0" fillId="144" fontId="3" numFmtId="10" xfId="0" applyAlignment="1" applyFill="1" applyFont="1" applyNumberFormat="1">
      <alignment horizontal="center" shrinkToFit="0" vertical="bottom" wrapText="0"/>
    </xf>
    <xf borderId="1" fillId="141" fontId="22" numFmtId="10" xfId="0" applyAlignment="1" applyBorder="1" applyFill="1" applyFont="1" applyNumberFormat="1">
      <alignment horizontal="center" shrinkToFit="0" vertical="bottom" wrapText="0"/>
    </xf>
    <xf borderId="1" fillId="11" fontId="22" numFmtId="0" xfId="0" applyAlignment="1" applyBorder="1" applyFill="1" applyFont="1">
      <alignment horizontal="center" shrinkToFit="0" vertical="bottom" wrapText="0"/>
    </xf>
    <xf borderId="1" fillId="34" fontId="22" numFmtId="10" xfId="0" applyAlignment="1" applyBorder="1" applyFill="1" applyFont="1" applyNumberFormat="1">
      <alignment horizontal="center" shrinkToFit="0" vertical="bottom" wrapText="0"/>
    </xf>
    <xf borderId="1" fillId="0" fontId="10" numFmtId="4" xfId="0" applyAlignment="1" applyBorder="1" applyFont="1" applyNumberFormat="1">
      <alignment horizontal="center" readingOrder="0" shrinkToFit="0" vertical="bottom" wrapText="0"/>
    </xf>
    <xf borderId="1" fillId="314" fontId="3" numFmtId="10" xfId="0" applyAlignment="1" applyBorder="1" applyFill="1" applyFont="1" applyNumberFormat="1">
      <alignment horizontal="center" shrinkToFit="0" vertical="bottom" wrapText="0"/>
    </xf>
    <xf borderId="1" fillId="87" fontId="3" numFmtId="10" xfId="0" applyAlignment="1" applyBorder="1" applyFill="1" applyFont="1" applyNumberFormat="1">
      <alignment horizontal="center" shrinkToFit="0" vertical="bottom" wrapText="0"/>
    </xf>
    <xf borderId="1" fillId="310" fontId="22" numFmtId="10" xfId="0" applyAlignment="1" applyBorder="1" applyFill="1" applyFont="1" applyNumberFormat="1">
      <alignment horizontal="center" shrinkToFit="0" vertical="bottom" wrapText="0"/>
    </xf>
    <xf borderId="1" fillId="33" fontId="22" numFmtId="10" xfId="0" applyAlignment="1" applyBorder="1" applyFill="1" applyFont="1" applyNumberFormat="1">
      <alignment horizontal="center" shrinkToFit="0" vertical="bottom" wrapText="0"/>
    </xf>
    <xf borderId="1" fillId="235" fontId="22" numFmtId="10" xfId="0" applyAlignment="1" applyBorder="1" applyFill="1" applyFont="1" applyNumberFormat="1">
      <alignment horizontal="center" shrinkToFit="0" vertical="bottom" wrapText="0"/>
    </xf>
    <xf borderId="1" fillId="315" fontId="22" numFmtId="0" xfId="0" applyAlignment="1" applyBorder="1" applyFill="1" applyFont="1">
      <alignment horizontal="center" shrinkToFit="0" vertical="bottom" wrapText="0"/>
    </xf>
    <xf borderId="1" fillId="298" fontId="22" numFmtId="10" xfId="0" applyAlignment="1" applyBorder="1" applyFill="1" applyFont="1" applyNumberFormat="1">
      <alignment horizontal="center" shrinkToFit="0" vertical="bottom" wrapText="0"/>
    </xf>
    <xf borderId="1" fillId="316" fontId="3" numFmtId="10" xfId="0" applyAlignment="1" applyBorder="1" applyFill="1" applyFont="1" applyNumberFormat="1">
      <alignment horizontal="center" shrinkToFit="0" vertical="bottom" wrapText="0"/>
    </xf>
    <xf borderId="1" fillId="20" fontId="3" numFmtId="0" xfId="0" applyAlignment="1" applyBorder="1" applyFill="1" applyFont="1">
      <alignment horizontal="center" shrinkToFit="0" vertical="bottom" wrapText="0"/>
    </xf>
    <xf borderId="1" fillId="26" fontId="8" numFmtId="0" xfId="0" applyAlignment="1" applyBorder="1" applyFill="1" applyFont="1">
      <alignment horizontal="center" readingOrder="0" shrinkToFit="0" vertical="bottom" wrapText="0"/>
    </xf>
    <xf borderId="1" fillId="317" fontId="22" numFmtId="0" xfId="0" applyAlignment="1" applyBorder="1" applyFill="1" applyFont="1">
      <alignment horizontal="center" shrinkToFit="0" vertical="bottom" wrapText="0"/>
    </xf>
    <xf borderId="1" fillId="236" fontId="22" numFmtId="10" xfId="0" applyAlignment="1" applyBorder="1" applyFill="1" applyFont="1" applyNumberFormat="1">
      <alignment horizontal="center" shrinkToFit="0" vertical="bottom" wrapText="0"/>
    </xf>
    <xf borderId="1" fillId="318" fontId="22" numFmtId="10" xfId="0" applyAlignment="1" applyBorder="1" applyFill="1" applyFont="1" applyNumberFormat="1">
      <alignment horizontal="center" shrinkToFit="0" vertical="bottom" wrapText="0"/>
    </xf>
    <xf borderId="1" fillId="192" fontId="22" numFmtId="10" xfId="0" applyAlignment="1" applyBorder="1" applyFill="1" applyFont="1" applyNumberFormat="1">
      <alignment horizontal="center" shrinkToFit="0" vertical="bottom" wrapText="0"/>
    </xf>
    <xf borderId="1" fillId="319" fontId="3" numFmtId="10" xfId="0" applyAlignment="1" applyBorder="1" applyFill="1" applyFont="1" applyNumberFormat="1">
      <alignment horizontal="center" shrinkToFit="0" vertical="bottom" wrapText="0"/>
    </xf>
    <xf borderId="1" fillId="93" fontId="22" numFmtId="10" xfId="0" applyAlignment="1" applyBorder="1" applyFill="1" applyFont="1" applyNumberFormat="1">
      <alignment horizontal="center" shrinkToFit="0" vertical="bottom" wrapText="0"/>
    </xf>
    <xf borderId="1" fillId="23" fontId="3" numFmtId="10" xfId="0" applyAlignment="1" applyBorder="1" applyFill="1" applyFont="1" applyNumberFormat="1">
      <alignment horizontal="center" shrinkToFit="0" vertical="bottom" wrapText="0"/>
    </xf>
    <xf borderId="1" fillId="271" fontId="8" numFmtId="0" xfId="0" applyAlignment="1" applyBorder="1" applyFill="1" applyFont="1">
      <alignment horizontal="center" readingOrder="0" shrinkToFit="0" vertical="center" wrapText="0"/>
    </xf>
    <xf borderId="1" fillId="229" fontId="22" numFmtId="10" xfId="0" applyAlignment="1" applyBorder="1" applyFill="1" applyFont="1" applyNumberFormat="1">
      <alignment horizontal="center" shrinkToFit="0" vertical="bottom" wrapText="0"/>
    </xf>
    <xf borderId="1" fillId="97" fontId="22" numFmtId="0" xfId="0" applyAlignment="1" applyBorder="1" applyFill="1" applyFont="1">
      <alignment horizontal="center" shrinkToFit="0" vertical="bottom" wrapText="0"/>
    </xf>
    <xf borderId="1" fillId="105" fontId="3" numFmtId="0" xfId="0" applyAlignment="1" applyBorder="1" applyFill="1" applyFont="1">
      <alignment horizontal="center" shrinkToFit="0" vertical="bottom" wrapText="0"/>
    </xf>
    <xf borderId="1" fillId="320" fontId="22" numFmtId="10" xfId="0" applyAlignment="1" applyBorder="1" applyFill="1" applyFont="1" applyNumberFormat="1">
      <alignment horizontal="center" shrinkToFit="0" vertical="bottom" wrapText="0"/>
    </xf>
    <xf borderId="1" fillId="160" fontId="22" numFmtId="10" xfId="0" applyAlignment="1" applyBorder="1" applyFill="1" applyFont="1" applyNumberFormat="1">
      <alignment horizontal="center" shrinkToFit="0" vertical="bottom" wrapText="0"/>
    </xf>
    <xf borderId="1" fillId="144" fontId="22" numFmtId="0" xfId="0" applyAlignment="1" applyBorder="1" applyFill="1" applyFont="1">
      <alignment horizontal="center" shrinkToFit="0" vertical="bottom" wrapText="0"/>
    </xf>
    <xf borderId="1" fillId="321" fontId="22" numFmtId="10" xfId="0" applyAlignment="1" applyBorder="1" applyFill="1" applyFont="1" applyNumberFormat="1">
      <alignment horizontal="center" shrinkToFit="0" vertical="bottom" wrapText="0"/>
    </xf>
    <xf borderId="1" fillId="322" fontId="3" numFmtId="0" xfId="0" applyAlignment="1" applyBorder="1" applyFill="1" applyFont="1">
      <alignment horizontal="center" shrinkToFit="0" vertical="bottom" wrapText="0"/>
    </xf>
    <xf borderId="1" fillId="323" fontId="3" numFmtId="10" xfId="0" applyAlignment="1" applyBorder="1" applyFill="1" applyFont="1" applyNumberFormat="1">
      <alignment horizontal="center" shrinkToFit="0" vertical="bottom" wrapText="0"/>
    </xf>
    <xf borderId="1" fillId="12" fontId="22" numFmtId="0" xfId="0" applyAlignment="1" applyBorder="1" applyFill="1" applyFont="1">
      <alignment horizontal="center" shrinkToFit="0" vertical="bottom" wrapText="0"/>
    </xf>
    <xf borderId="1" fillId="193" fontId="22" numFmtId="0" xfId="0" applyAlignment="1" applyBorder="1" applyFill="1" applyFont="1">
      <alignment horizontal="center" shrinkToFit="0" vertical="bottom" wrapText="0"/>
    </xf>
    <xf borderId="1" fillId="92" fontId="22" numFmtId="10" xfId="0" applyAlignment="1" applyBorder="1" applyFill="1" applyFont="1" applyNumberFormat="1">
      <alignment horizontal="center" shrinkToFit="0" vertical="bottom" wrapText="0"/>
    </xf>
    <xf borderId="1" fillId="225" fontId="22" numFmtId="10" xfId="0" applyAlignment="1" applyBorder="1" applyFill="1" applyFont="1" applyNumberFormat="1">
      <alignment horizontal="center" shrinkToFit="0" vertical="bottom" wrapText="0"/>
    </xf>
    <xf borderId="1" fillId="274" fontId="3" numFmtId="10" xfId="0" applyAlignment="1" applyBorder="1" applyFill="1" applyFont="1" applyNumberFormat="1">
      <alignment horizontal="center" shrinkToFit="0" vertical="bottom" wrapText="0"/>
    </xf>
    <xf borderId="1" fillId="324" fontId="3" numFmtId="10" xfId="0" applyAlignment="1" applyBorder="1" applyFill="1" applyFont="1" applyNumberFormat="1">
      <alignment horizontal="center" shrinkToFit="0" vertical="bottom" wrapText="0"/>
    </xf>
    <xf borderId="1" fillId="325" fontId="3" numFmtId="0" xfId="0" applyAlignment="1" applyBorder="1" applyFill="1" applyFont="1">
      <alignment horizontal="center" shrinkToFit="0" vertical="bottom" wrapText="0"/>
    </xf>
    <xf borderId="1" fillId="219" fontId="22" numFmtId="10" xfId="0" applyAlignment="1" applyBorder="1" applyFill="1" applyFont="1" applyNumberFormat="1">
      <alignment horizontal="center" shrinkToFit="0" vertical="bottom" wrapText="0"/>
    </xf>
    <xf borderId="1" fillId="293" fontId="3" numFmtId="10" xfId="0" applyAlignment="1" applyBorder="1" applyFill="1" applyFont="1" applyNumberFormat="1">
      <alignment horizontal="center" shrinkToFit="0" vertical="bottom" wrapText="0"/>
    </xf>
    <xf borderId="1" fillId="134" fontId="22" numFmtId="0" xfId="0" applyAlignment="1" applyBorder="1" applyFill="1" applyFont="1">
      <alignment horizontal="center" shrinkToFit="0" vertical="bottom" wrapText="0"/>
    </xf>
    <xf borderId="1" fillId="89" fontId="22" numFmtId="10" xfId="0" applyAlignment="1" applyBorder="1" applyFill="1" applyFont="1" applyNumberFormat="1">
      <alignment horizontal="center" shrinkToFit="0" vertical="bottom" wrapText="0"/>
    </xf>
    <xf borderId="1" fillId="156" fontId="3" numFmtId="10" xfId="0" applyAlignment="1" applyBorder="1" applyFill="1" applyFont="1" applyNumberFormat="1">
      <alignment horizontal="center" shrinkToFit="0" vertical="bottom" wrapText="0"/>
    </xf>
    <xf borderId="1" fillId="173" fontId="22" numFmtId="0" xfId="0" applyAlignment="1" applyBorder="1" applyFill="1" applyFont="1">
      <alignment horizontal="center" shrinkToFit="0" vertical="bottom" wrapText="0"/>
    </xf>
    <xf borderId="1" fillId="163" fontId="3" numFmtId="0" xfId="0" applyAlignment="1" applyBorder="1" applyFill="1" applyFont="1">
      <alignment horizontal="center" shrinkToFit="0" vertical="bottom" wrapText="0"/>
    </xf>
    <xf borderId="1" fillId="96" fontId="22" numFmtId="10" xfId="0" applyAlignment="1" applyBorder="1" applyFill="1" applyFont="1" applyNumberFormat="1">
      <alignment horizontal="center" shrinkToFit="0" vertical="bottom" wrapText="0"/>
    </xf>
    <xf borderId="1" fillId="172" fontId="22" numFmtId="0" xfId="0" applyAlignment="1" applyBorder="1" applyFill="1" applyFont="1">
      <alignment horizontal="center" shrinkToFit="0" vertical="bottom" wrapText="0"/>
    </xf>
    <xf borderId="1" fillId="245" fontId="22" numFmtId="10" xfId="0" applyAlignment="1" applyBorder="1" applyFill="1" applyFont="1" applyNumberFormat="1">
      <alignment horizontal="center" shrinkToFit="0" vertical="bottom" wrapText="0"/>
    </xf>
    <xf borderId="1" fillId="326" fontId="3" numFmtId="10" xfId="0" applyAlignment="1" applyBorder="1" applyFill="1" applyFont="1" applyNumberFormat="1">
      <alignment horizontal="center" shrinkToFit="0" vertical="bottom" wrapText="0"/>
    </xf>
    <xf borderId="1" fillId="178" fontId="22" numFmtId="10" xfId="0" applyAlignment="1" applyBorder="1" applyFill="1" applyFont="1" applyNumberFormat="1">
      <alignment horizontal="center" shrinkToFit="0" vertical="bottom" wrapText="0"/>
    </xf>
    <xf borderId="1" fillId="117" fontId="3" numFmtId="0" xfId="0" applyAlignment="1" applyBorder="1" applyFill="1" applyFont="1">
      <alignment horizontal="center" shrinkToFit="0" vertical="bottom" wrapText="0"/>
    </xf>
    <xf borderId="1" fillId="215" fontId="22" numFmtId="0" xfId="0" applyAlignment="1" applyBorder="1" applyFill="1" applyFont="1">
      <alignment horizontal="center" shrinkToFit="0" vertical="bottom" wrapText="0"/>
    </xf>
    <xf borderId="1" fillId="327" fontId="3" numFmtId="10" xfId="0" applyAlignment="1" applyBorder="1" applyFill="1" applyFont="1" applyNumberFormat="1">
      <alignment horizontal="center" shrinkToFit="0" vertical="bottom" wrapText="0"/>
    </xf>
    <xf borderId="1" fillId="128" fontId="22" numFmtId="10" xfId="0" applyAlignment="1" applyBorder="1" applyFill="1" applyFont="1" applyNumberFormat="1">
      <alignment horizontal="center" shrinkToFit="0" vertical="bottom" wrapText="0"/>
    </xf>
    <xf borderId="1" fillId="235" fontId="22" numFmtId="0" xfId="0" applyAlignment="1" applyBorder="1" applyFill="1" applyFont="1">
      <alignment horizontal="center" shrinkToFit="0" vertical="bottom" wrapText="0"/>
    </xf>
    <xf borderId="1" fillId="300" fontId="22" numFmtId="10" xfId="0" applyAlignment="1" applyBorder="1" applyFill="1" applyFont="1" applyNumberFormat="1">
      <alignment horizontal="center" shrinkToFit="0" vertical="bottom" wrapText="0"/>
    </xf>
    <xf borderId="1" fillId="184" fontId="22" numFmtId="10" xfId="0" applyAlignment="1" applyBorder="1" applyFill="1" applyFont="1" applyNumberFormat="1">
      <alignment horizontal="center" shrinkToFit="0" vertical="bottom" wrapText="0"/>
    </xf>
    <xf borderId="1" fillId="328" fontId="3" numFmtId="0" xfId="0" applyAlignment="1" applyBorder="1" applyFill="1" applyFont="1">
      <alignment horizontal="center" shrinkToFit="0" vertical="bottom" wrapText="0"/>
    </xf>
    <xf borderId="1" fillId="204" fontId="22" numFmtId="0" xfId="0" applyAlignment="1" applyBorder="1" applyFill="1" applyFont="1">
      <alignment horizontal="center" shrinkToFit="0" vertical="bottom" wrapText="0"/>
    </xf>
    <xf borderId="1" fillId="110" fontId="3" numFmtId="10" xfId="0" applyAlignment="1" applyBorder="1" applyFill="1" applyFont="1" applyNumberFormat="1">
      <alignment horizontal="center" shrinkToFit="0" vertical="bottom" wrapText="0"/>
    </xf>
    <xf borderId="1" fillId="329" fontId="22" numFmtId="0" xfId="0" applyAlignment="1" applyBorder="1" applyFill="1" applyFont="1">
      <alignment horizontal="center" shrinkToFit="0" vertical="bottom" wrapText="0"/>
    </xf>
    <xf borderId="1" fillId="238" fontId="13" numFmtId="0" xfId="0" applyAlignment="1" applyBorder="1" applyFill="1" applyFont="1">
      <alignment horizontal="center" shrinkToFit="0" vertical="bottom" wrapText="0"/>
    </xf>
    <xf borderId="1" fillId="273" fontId="22" numFmtId="10" xfId="0" applyAlignment="1" applyBorder="1" applyFill="1" applyFont="1" applyNumberFormat="1">
      <alignment horizontal="center" shrinkToFit="0" vertical="bottom" wrapText="0"/>
    </xf>
    <xf borderId="1" fillId="238" fontId="13" numFmtId="167" xfId="0" applyAlignment="1" applyBorder="1" applyFill="1" applyFont="1" applyNumberFormat="1">
      <alignment horizontal="center" shrinkToFit="0" vertical="bottom" wrapText="0"/>
    </xf>
    <xf borderId="1" fillId="207" fontId="13" numFmtId="167" xfId="0" applyAlignment="1" applyBorder="1" applyFill="1" applyFont="1" applyNumberFormat="1">
      <alignment horizontal="center" shrinkToFit="0" vertical="bottom" wrapText="0"/>
    </xf>
    <xf borderId="1" fillId="3" fontId="3" numFmtId="4" xfId="0" applyAlignment="1" applyBorder="1" applyFill="1" applyFont="1" applyNumberFormat="1">
      <alignment horizontal="center" readingOrder="0" shrinkToFit="0" vertical="bottom" wrapText="0"/>
    </xf>
    <xf borderId="1" fillId="3" fontId="13" numFmtId="0" xfId="0" applyAlignment="1" applyBorder="1" applyFill="1" applyFont="1">
      <alignment horizontal="center" shrinkToFit="0" vertical="bottom" wrapText="0"/>
    </xf>
    <xf borderId="1" fillId="178" fontId="3" numFmtId="0" xfId="0" applyAlignment="1" applyBorder="1" applyFill="1" applyFont="1">
      <alignment horizontal="center" shrinkToFit="0" vertical="bottom" wrapText="0"/>
    </xf>
    <xf borderId="1" fillId="51" fontId="13" numFmtId="167" xfId="0" applyAlignment="1" applyBorder="1" applyFill="1" applyFont="1" applyNumberFormat="1">
      <alignment horizontal="center" shrinkToFit="0" vertical="bottom" wrapText="0"/>
    </xf>
    <xf borderId="6" fillId="271" fontId="15" numFmtId="10" xfId="0" applyAlignment="1" applyBorder="1" applyFill="1" applyFont="1" applyNumberFormat="1">
      <alignment horizontal="center" shrinkToFit="0" vertical="bottom" wrapText="0"/>
    </xf>
    <xf borderId="1" fillId="215" fontId="22" numFmtId="10" xfId="0" applyAlignment="1" applyBorder="1" applyFill="1" applyFont="1" applyNumberFormat="1">
      <alignment horizontal="center" shrinkToFit="0" vertical="bottom" wrapText="0"/>
    </xf>
    <xf borderId="1" fillId="246" fontId="22" numFmtId="0" xfId="0" applyAlignment="1" applyBorder="1" applyFill="1" applyFont="1">
      <alignment horizontal="center" shrinkToFit="0" vertical="bottom" wrapText="0"/>
    </xf>
    <xf borderId="1" fillId="273" fontId="13" numFmtId="167" xfId="0" applyAlignment="1" applyBorder="1" applyFill="1" applyFont="1" applyNumberFormat="1">
      <alignment horizontal="center" shrinkToFit="0" vertical="bottom" wrapText="0"/>
    </xf>
    <xf borderId="1" fillId="3" fontId="13" numFmtId="0" xfId="0" applyAlignment="1" applyBorder="1" applyFill="1" applyFont="1">
      <alignment horizontal="center" shrinkToFit="0" vertical="bottom" wrapText="0"/>
    </xf>
    <xf borderId="1" fillId="257" fontId="13" numFmtId="167" xfId="0" applyAlignment="1" applyBorder="1" applyFill="1" applyFont="1" applyNumberFormat="1">
      <alignment horizontal="center" shrinkToFit="0" vertical="bottom" wrapText="0"/>
    </xf>
    <xf borderId="1" fillId="177" fontId="22" numFmtId="0" xfId="0" applyAlignment="1" applyBorder="1" applyFill="1" applyFont="1">
      <alignment horizontal="center" shrinkToFit="0" vertical="bottom" wrapText="0"/>
    </xf>
    <xf borderId="1" fillId="21" fontId="3" numFmtId="0" xfId="0" applyAlignment="1" applyBorder="1" applyFill="1" applyFont="1">
      <alignment horizontal="center" shrinkToFit="0" vertical="bottom" wrapText="0"/>
    </xf>
    <xf borderId="1" fillId="330" fontId="13" numFmtId="167" xfId="0" applyAlignment="1" applyBorder="1" applyFill="1" applyFont="1" applyNumberFormat="1">
      <alignment horizontal="center" shrinkToFit="0" vertical="bottom" wrapText="0"/>
    </xf>
    <xf borderId="1" fillId="0" fontId="8" numFmtId="49" xfId="0" applyAlignment="1" applyBorder="1" applyFont="1" applyNumberFormat="1">
      <alignment horizontal="center" readingOrder="0" shrinkToFit="0" vertical="center" wrapText="0"/>
    </xf>
    <xf borderId="1" fillId="181" fontId="13" numFmtId="167" xfId="0" applyAlignment="1" applyBorder="1" applyFill="1" applyFont="1" applyNumberFormat="1">
      <alignment horizontal="center" shrinkToFit="0" vertical="bottom" wrapText="0"/>
    </xf>
    <xf borderId="1" fillId="256" fontId="8" numFmtId="0" xfId="0" applyAlignment="1" applyBorder="1" applyFill="1" applyFont="1">
      <alignment horizontal="center" readingOrder="0" shrinkToFit="0" vertical="center" wrapText="0"/>
    </xf>
    <xf borderId="1" fillId="61" fontId="13" numFmtId="167" xfId="0" applyAlignment="1" applyBorder="1" applyFill="1" applyFont="1" applyNumberFormat="1">
      <alignment horizontal="center" shrinkToFit="0" vertical="bottom" wrapText="0"/>
    </xf>
    <xf borderId="1" fillId="273" fontId="3" numFmtId="0" xfId="0" applyAlignment="1" applyBorder="1" applyFill="1" applyFont="1">
      <alignment horizontal="center" shrinkToFit="0" vertical="bottom" wrapText="0"/>
    </xf>
    <xf borderId="1" fillId="331" fontId="3" numFmtId="10" xfId="0" applyAlignment="1" applyBorder="1" applyFill="1" applyFont="1" applyNumberFormat="1">
      <alignment horizontal="center" shrinkToFit="0" vertical="bottom" wrapText="0"/>
    </xf>
    <xf borderId="1" fillId="248" fontId="13" numFmtId="0" xfId="0" applyAlignment="1" applyBorder="1" applyFill="1" applyFont="1">
      <alignment horizontal="center" shrinkToFit="0" vertical="bottom" wrapText="0"/>
    </xf>
    <xf borderId="1" fillId="248" fontId="13" numFmtId="167" xfId="0" applyAlignment="1" applyBorder="1" applyFill="1" applyFont="1" applyNumberFormat="1">
      <alignment horizontal="center" shrinkToFit="0" vertical="bottom" wrapText="0"/>
    </xf>
    <xf borderId="1" fillId="332" fontId="13" numFmtId="167" xfId="0" applyAlignment="1" applyBorder="1" applyFill="1" applyFont="1" applyNumberFormat="1">
      <alignment horizontal="center" shrinkToFit="0" vertical="bottom" wrapText="0"/>
    </xf>
    <xf borderId="3" fillId="52" fontId="15" numFmtId="10" xfId="0" applyAlignment="1" applyBorder="1" applyFill="1" applyFont="1" applyNumberFormat="1">
      <alignment horizontal="center" shrinkToFit="0" vertical="bottom" wrapText="0"/>
    </xf>
    <xf borderId="1" fillId="18" fontId="3" numFmtId="0" xfId="0" applyAlignment="1" applyBorder="1" applyFill="1" applyFont="1">
      <alignment horizontal="center" shrinkToFit="0" vertical="bottom" wrapText="0"/>
    </xf>
    <xf borderId="1" fillId="129" fontId="22" numFmtId="0" xfId="0" applyAlignment="1" applyBorder="1" applyFill="1" applyFont="1">
      <alignment horizontal="center" shrinkToFit="0" vertical="bottom" wrapText="0"/>
    </xf>
    <xf borderId="1" fillId="9" fontId="3" numFmtId="10" xfId="0" applyAlignment="1" applyBorder="1" applyFill="1" applyFont="1" applyNumberFormat="1">
      <alignment horizontal="center" shrinkToFit="0" vertical="bottom" wrapText="0"/>
    </xf>
    <xf borderId="1" fillId="181" fontId="11" numFmtId="167" xfId="0" applyAlignment="1" applyBorder="1" applyFill="1" applyFont="1" applyNumberFormat="1">
      <alignment horizontal="center" shrinkToFit="0" vertical="bottom" wrapText="0"/>
    </xf>
    <xf borderId="1" fillId="0" fontId="8" numFmtId="49" xfId="0" applyAlignment="1" applyBorder="1" applyFont="1" applyNumberFormat="1">
      <alignment horizontal="center" readingOrder="0" shrinkToFit="0" vertical="bottom" wrapText="0"/>
    </xf>
    <xf borderId="1" fillId="333" fontId="11" numFmtId="167" xfId="0" applyAlignment="1" applyBorder="1" applyFill="1" applyFont="1" applyNumberFormat="1">
      <alignment horizontal="center" shrinkToFit="0" vertical="bottom" wrapText="0"/>
    </xf>
    <xf borderId="3" fillId="271" fontId="14" numFmtId="10" xfId="0" applyAlignment="1" applyBorder="1" applyFill="1" applyFont="1" applyNumberFormat="1">
      <alignment horizontal="center" shrinkToFit="0" vertical="bottom" wrapText="0"/>
    </xf>
    <xf borderId="1" fillId="248" fontId="11" numFmtId="0" xfId="0" applyAlignment="1" applyBorder="1" applyFill="1" applyFont="1">
      <alignment horizontal="center" shrinkToFit="0" vertical="bottom" wrapText="0"/>
    </xf>
    <xf borderId="1" fillId="248" fontId="11" numFmtId="167" xfId="0" applyAlignment="1" applyBorder="1" applyFill="1" applyFont="1" applyNumberFormat="1">
      <alignment horizontal="center" shrinkToFit="0" vertical="bottom" wrapText="0"/>
    </xf>
    <xf borderId="1" fillId="32" fontId="22" numFmtId="0" xfId="0" applyAlignment="1" applyBorder="1" applyFill="1" applyFont="1">
      <alignment horizontal="center" shrinkToFit="0" vertical="bottom" wrapText="0"/>
    </xf>
    <xf borderId="3" fillId="271" fontId="14" numFmtId="10" xfId="0" applyAlignment="1" applyBorder="1" applyFill="1" applyFont="1" applyNumberFormat="1">
      <alignment horizontal="center" readingOrder="0" shrinkToFit="0" vertical="bottom" wrapText="0"/>
    </xf>
    <xf borderId="1" fillId="249" fontId="11" numFmtId="0" xfId="0" applyAlignment="1" applyBorder="1" applyFill="1" applyFont="1">
      <alignment horizontal="center" shrinkToFit="0" vertical="bottom" wrapText="0"/>
    </xf>
    <xf borderId="1" fillId="334" fontId="11" numFmtId="167" xfId="0" applyAlignment="1" applyBorder="1" applyFill="1" applyFont="1" applyNumberFormat="1">
      <alignment horizontal="center" shrinkToFit="0" vertical="bottom" wrapText="0"/>
    </xf>
    <xf borderId="1" fillId="273" fontId="11" numFmtId="167" xfId="0" applyAlignment="1" applyBorder="1" applyFill="1" applyFont="1" applyNumberFormat="1">
      <alignment horizontal="center" shrinkToFit="0" vertical="bottom" wrapText="0"/>
    </xf>
    <xf borderId="1" fillId="92" fontId="3" numFmtId="10" xfId="0" applyAlignment="1" applyBorder="1" applyFill="1" applyFont="1" applyNumberFormat="1">
      <alignment horizontal="center" shrinkToFit="0" vertical="bottom" wrapText="0"/>
    </xf>
    <xf borderId="1" fillId="312" fontId="3" numFmtId="0" xfId="0" applyAlignment="1" applyBorder="1" applyFill="1" applyFont="1">
      <alignment horizontal="center" shrinkToFit="0" vertical="bottom" wrapText="0"/>
    </xf>
    <xf borderId="1" fillId="335" fontId="3" numFmtId="10" xfId="0" applyAlignment="1" applyBorder="1" applyFill="1" applyFont="1" applyNumberFormat="1">
      <alignment horizontal="center" shrinkToFit="0" vertical="bottom" wrapText="0"/>
    </xf>
    <xf borderId="3" fillId="267" fontId="14" numFmtId="10" xfId="0" applyAlignment="1" applyBorder="1" applyFill="1" applyFont="1" applyNumberFormat="1">
      <alignment horizontal="center" shrinkToFit="0" vertical="bottom" wrapText="0"/>
    </xf>
    <xf borderId="1" fillId="77" fontId="11" numFmtId="167" xfId="0" applyAlignment="1" applyBorder="1" applyFill="1" applyFont="1" applyNumberFormat="1">
      <alignment horizontal="center" shrinkToFit="0" vertical="bottom" wrapText="0"/>
    </xf>
    <xf borderId="1" fillId="162" fontId="3" numFmtId="0" xfId="0" applyAlignment="1" applyBorder="1" applyFill="1" applyFont="1">
      <alignment horizontal="center" shrinkToFit="0" vertical="bottom" wrapText="0"/>
    </xf>
    <xf borderId="1" fillId="20" fontId="3" numFmtId="10" xfId="0" applyAlignment="1" applyBorder="1" applyFill="1" applyFont="1" applyNumberFormat="1">
      <alignment horizontal="center" shrinkToFit="0" vertical="bottom" wrapText="0"/>
    </xf>
    <xf borderId="1" fillId="225" fontId="3" numFmtId="0" xfId="0" applyAlignment="1" applyBorder="1" applyFill="1" applyFont="1">
      <alignment horizontal="center" shrinkToFit="0" vertical="bottom" wrapText="0"/>
    </xf>
    <xf borderId="1" fillId="95" fontId="11" numFmtId="167" xfId="0" applyAlignment="1" applyBorder="1" applyFill="1" applyFont="1" applyNumberFormat="1">
      <alignment horizontal="center" shrinkToFit="0" vertical="bottom" wrapText="0"/>
    </xf>
    <xf borderId="1" fillId="328" fontId="3" numFmtId="10" xfId="0" applyAlignment="1" applyBorder="1" applyFill="1" applyFont="1" applyNumberFormat="1">
      <alignment horizontal="center" shrinkToFit="0" vertical="bottom" wrapText="0"/>
    </xf>
    <xf borderId="1" fillId="83" fontId="11" numFmtId="167" xfId="0" applyAlignment="1" applyBorder="1" applyFill="1" applyFont="1" applyNumberFormat="1">
      <alignment horizontal="center" shrinkToFit="0" vertical="bottom" wrapText="0"/>
    </xf>
    <xf borderId="3" fillId="207" fontId="14" numFmtId="10" xfId="0" applyAlignment="1" applyBorder="1" applyFill="1" applyFont="1" applyNumberFormat="1">
      <alignment horizontal="center" shrinkToFit="0" vertical="bottom" wrapText="0"/>
    </xf>
    <xf borderId="1" fillId="336" fontId="3" numFmtId="10" xfId="0" applyAlignment="1" applyBorder="1" applyFill="1" applyFont="1" applyNumberFormat="1">
      <alignment horizontal="center" shrinkToFit="0" vertical="bottom" wrapText="0"/>
    </xf>
    <xf borderId="1" fillId="109" fontId="3" numFmtId="10" xfId="0" applyAlignment="1" applyBorder="1" applyFill="1" applyFont="1" applyNumberFormat="1">
      <alignment horizontal="center" shrinkToFit="0" vertical="bottom" wrapText="0"/>
    </xf>
    <xf borderId="1" fillId="337" fontId="3" numFmtId="0" xfId="0" applyAlignment="1" applyBorder="1" applyFill="1" applyFont="1">
      <alignment horizontal="center" shrinkToFit="0" vertical="bottom" wrapText="0"/>
    </xf>
    <xf borderId="1" fillId="338" fontId="11" numFmtId="167" xfId="0" applyAlignment="1" applyBorder="1" applyFill="1" applyFont="1" applyNumberFormat="1">
      <alignment horizontal="center" shrinkToFit="0" vertical="bottom" wrapText="0"/>
    </xf>
    <xf borderId="1" fillId="132" fontId="3" numFmtId="0" xfId="0" applyAlignment="1" applyBorder="1" applyFill="1" applyFont="1">
      <alignment horizontal="center" shrinkToFit="0" vertical="bottom" wrapText="0"/>
    </xf>
    <xf borderId="1" fillId="339" fontId="11" numFmtId="167" xfId="0" applyAlignment="1" applyBorder="1" applyFill="1" applyFont="1" applyNumberFormat="1">
      <alignment horizontal="center" shrinkToFit="0" vertical="bottom" wrapText="0"/>
    </xf>
    <xf borderId="1" fillId="286" fontId="3" numFmtId="10" xfId="0" applyAlignment="1" applyBorder="1" applyFill="1" applyFont="1" applyNumberFormat="1">
      <alignment horizontal="center" shrinkToFit="0" vertical="bottom" wrapText="0"/>
    </xf>
    <xf borderId="1" fillId="330" fontId="11" numFmtId="167" xfId="0" applyAlignment="1" applyBorder="1" applyFill="1" applyFont="1" applyNumberFormat="1">
      <alignment horizontal="center" shrinkToFit="0" vertical="bottom" wrapText="0"/>
    </xf>
    <xf borderId="3" fillId="207" fontId="14" numFmtId="10" xfId="0" applyAlignment="1" applyBorder="1" applyFill="1" applyFont="1" applyNumberFormat="1">
      <alignment horizontal="center" readingOrder="0" shrinkToFit="0" vertical="bottom" wrapText="0"/>
    </xf>
    <xf borderId="1" fillId="3" fontId="22" numFmtId="4" xfId="0" applyAlignment="1" applyBorder="1" applyFill="1" applyFont="1" applyNumberFormat="1">
      <alignment horizontal="center" shrinkToFit="0" vertical="bottom" wrapText="0"/>
    </xf>
    <xf borderId="0" fillId="3" fontId="22" numFmtId="4" xfId="0" applyAlignment="1" applyFill="1" applyFont="1" applyNumberFormat="1">
      <alignment horizontal="center" shrinkToFit="0" vertical="bottom" wrapText="0"/>
    </xf>
    <xf borderId="0" fillId="3" fontId="5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 shrinkToFit="0" wrapText="0"/>
    </xf>
    <xf borderId="1" fillId="340" fontId="11" numFmtId="167" xfId="0" applyAlignment="1" applyBorder="1" applyFill="1" applyFont="1" applyNumberFormat="1">
      <alignment horizontal="center" shrinkToFit="0" vertical="bottom" wrapText="0"/>
    </xf>
    <xf borderId="6" fillId="52" fontId="14" numFmtId="49" xfId="0" applyAlignment="1" applyBorder="1" applyFill="1" applyFont="1" applyNumberFormat="1">
      <alignment horizontal="center" shrinkToFit="0" vertical="bottom" wrapText="0"/>
    </xf>
    <xf borderId="1" fillId="341" fontId="11" numFmtId="167" xfId="0" applyAlignment="1" applyBorder="1" applyFill="1" applyFont="1" applyNumberFormat="1">
      <alignment horizontal="center" shrinkToFit="0" vertical="bottom" wrapText="0"/>
    </xf>
    <xf borderId="3" fillId="52" fontId="14" numFmtId="49" xfId="0" applyAlignment="1" applyBorder="1" applyFill="1" applyFont="1" applyNumberFormat="1">
      <alignment horizontal="center" shrinkToFit="0" vertical="bottom" wrapText="0"/>
    </xf>
    <xf borderId="1" fillId="86" fontId="11" numFmtId="167" xfId="0" applyAlignment="1" applyBorder="1" applyFill="1" applyFont="1" applyNumberFormat="1">
      <alignment horizontal="center" shrinkToFit="0" vertical="bottom" wrapText="0"/>
    </xf>
    <xf borderId="1" fillId="342" fontId="11" numFmtId="167" xfId="0" applyAlignment="1" applyBorder="1" applyFill="1" applyFont="1" applyNumberFormat="1">
      <alignment horizontal="center" shrinkToFit="0" vertical="bottom" wrapText="0"/>
    </xf>
    <xf borderId="1" fillId="343" fontId="11" numFmtId="167" xfId="0" applyAlignment="1" applyBorder="1" applyFill="1" applyFont="1" applyNumberFormat="1">
      <alignment horizontal="center" shrinkToFit="0" vertical="bottom" wrapText="0"/>
    </xf>
    <xf borderId="1" fillId="344" fontId="11" numFmtId="167" xfId="0" applyAlignment="1" applyBorder="1" applyFill="1" applyFont="1" applyNumberFormat="1">
      <alignment horizontal="center" shrinkToFit="0" vertical="bottom" wrapText="0"/>
    </xf>
    <xf borderId="1" fillId="345" fontId="11" numFmtId="167" xfId="0" applyAlignment="1" applyBorder="1" applyFill="1" applyFont="1" applyNumberFormat="1">
      <alignment horizontal="center" shrinkToFit="0" vertical="bottom" wrapText="0"/>
    </xf>
    <xf borderId="1" fillId="346" fontId="11" numFmtId="167" xfId="0" applyAlignment="1" applyBorder="1" applyFill="1" applyFont="1" applyNumberFormat="1">
      <alignment horizontal="center" shrinkToFit="0" vertical="bottom" wrapText="0"/>
    </xf>
    <xf borderId="1" fillId="347" fontId="11" numFmtId="167" xfId="0" applyAlignment="1" applyBorder="1" applyFill="1" applyFont="1" applyNumberFormat="1">
      <alignment horizontal="center" shrinkToFit="0" vertical="bottom" wrapText="0"/>
    </xf>
    <xf borderId="3" fillId="49" fontId="14" numFmtId="49" xfId="0" applyAlignment="1" applyBorder="1" applyFill="1" applyFont="1" applyNumberFormat="1">
      <alignment horizontal="center" shrinkToFit="0" vertical="bottom" wrapText="0"/>
    </xf>
    <xf borderId="1" fillId="348" fontId="11" numFmtId="167" xfId="0" applyAlignment="1" applyBorder="1" applyFill="1" applyFont="1" applyNumberFormat="1">
      <alignment horizontal="center" shrinkToFit="0" vertical="bottom" wrapText="0"/>
    </xf>
    <xf borderId="1" fillId="332" fontId="11" numFmtId="167" xfId="0" applyAlignment="1" applyBorder="1" applyFill="1" applyFont="1" applyNumberFormat="1">
      <alignment horizontal="center" shrinkToFit="0" vertical="bottom" wrapText="0"/>
    </xf>
    <xf borderId="1" fillId="349" fontId="11" numFmtId="167" xfId="0" applyAlignment="1" applyBorder="1" applyFill="1" applyFont="1" applyNumberFormat="1">
      <alignment horizontal="center" shrinkToFit="0" vertical="bottom" wrapText="0"/>
    </xf>
    <xf borderId="1" fillId="350" fontId="11" numFmtId="167" xfId="0" applyAlignment="1" applyBorder="1" applyFill="1" applyFont="1" applyNumberFormat="1">
      <alignment horizontal="center" shrinkToFit="0" vertical="bottom" wrapText="0"/>
    </xf>
    <xf borderId="1" fillId="194" fontId="13" numFmtId="167" xfId="0" applyAlignment="1" applyBorder="1" applyFill="1" applyFont="1" applyNumberFormat="1">
      <alignment horizontal="center" shrinkToFit="0" vertical="bottom" wrapText="0"/>
    </xf>
    <xf borderId="1" fillId="351" fontId="11" numFmtId="167" xfId="0" applyAlignment="1" applyBorder="1" applyFill="1" applyFont="1" applyNumberFormat="1">
      <alignment horizontal="center" shrinkToFit="0" vertical="bottom" wrapText="0"/>
    </xf>
    <xf borderId="1" fillId="352" fontId="13" numFmtId="167" xfId="0" applyAlignment="1" applyBorder="1" applyFill="1" applyFont="1" applyNumberFormat="1">
      <alignment horizontal="center" shrinkToFit="0" vertical="center" wrapText="0"/>
    </xf>
    <xf borderId="1" fillId="184" fontId="13" numFmtId="167" xfId="0" applyAlignment="1" applyBorder="1" applyFill="1" applyFont="1" applyNumberFormat="1">
      <alignment horizontal="center" shrinkToFit="0" vertical="bottom" wrapText="0"/>
    </xf>
    <xf borderId="1" fillId="48" fontId="13" numFmtId="167" xfId="0" applyAlignment="1" applyBorder="1" applyFill="1" applyFont="1" applyNumberFormat="1">
      <alignment horizontal="center" shrinkToFit="0" vertical="center" wrapText="0"/>
    </xf>
    <xf borderId="1" fillId="59" fontId="13" numFmtId="167" xfId="0" applyAlignment="1" applyBorder="1" applyFill="1" applyFont="1" applyNumberFormat="1">
      <alignment horizontal="center" shrinkToFit="0" vertical="center" wrapText="0"/>
    </xf>
    <xf borderId="1" fillId="353" fontId="11" numFmtId="167" xfId="0" applyAlignment="1" applyBorder="1" applyFill="1" applyFont="1" applyNumberFormat="1">
      <alignment horizontal="center" shrinkToFit="0" vertical="bottom" wrapText="0"/>
    </xf>
    <xf borderId="1" fillId="354" fontId="13" numFmtId="167" xfId="0" applyAlignment="1" applyBorder="1" applyFill="1" applyFont="1" applyNumberFormat="1">
      <alignment horizontal="center" shrinkToFit="0" vertical="bottom" wrapText="0"/>
    </xf>
    <xf borderId="1" fillId="355" fontId="13" numFmtId="167" xfId="0" applyAlignment="1" applyBorder="1" applyFill="1" applyFont="1" applyNumberFormat="1">
      <alignment horizontal="center" shrinkToFit="0" vertical="center" wrapText="0"/>
    </xf>
    <xf borderId="1" fillId="3" fontId="22" numFmtId="49" xfId="0" applyAlignment="1" applyBorder="1" applyFill="1" applyFont="1" applyNumberFormat="1">
      <alignment horizontal="center" shrinkToFit="0" vertical="bottom" wrapText="0"/>
    </xf>
    <xf borderId="1" fillId="339" fontId="13" numFmtId="167" xfId="0" applyAlignment="1" applyBorder="1" applyFill="1" applyFont="1" applyNumberFormat="1">
      <alignment horizontal="center" shrinkToFit="0" vertical="center" wrapText="0"/>
    </xf>
    <xf borderId="0" fillId="3" fontId="14" numFmtId="49" xfId="0" applyAlignment="1" applyFill="1" applyFont="1" applyNumberFormat="1">
      <alignment horizontal="center" readingOrder="0" shrinkToFit="0" vertical="bottom" wrapText="0"/>
    </xf>
    <xf borderId="0" fillId="3" fontId="22" numFmtId="10" xfId="0" applyAlignment="1" applyFill="1" applyFont="1" applyNumberFormat="1">
      <alignment horizontal="center" shrinkToFit="0" vertical="bottom" wrapText="0"/>
    </xf>
    <xf borderId="0" fillId="3" fontId="22" numFmtId="165" xfId="0" applyAlignment="1" applyFill="1" applyFont="1" applyNumberFormat="1">
      <alignment horizontal="center" shrinkToFit="0" vertical="bottom" wrapText="0"/>
    </xf>
    <xf borderId="0" fillId="3" fontId="22" numFmtId="49" xfId="0" applyAlignment="1" applyFill="1" applyFont="1" applyNumberFormat="1">
      <alignment horizontal="center" shrinkToFit="0" vertical="bottom" wrapText="0"/>
    </xf>
    <xf borderId="0" fillId="3" fontId="22" numFmtId="164" xfId="0" applyAlignment="1" applyFill="1" applyFont="1" applyNumberFormat="1">
      <alignment horizontal="center" shrinkToFit="0" vertical="bottom" wrapText="0"/>
    </xf>
    <xf borderId="0" fillId="257" fontId="13" numFmtId="167" xfId="0" applyAlignment="1" applyFill="1" applyFont="1" applyNumberFormat="1">
      <alignment horizontal="center" shrinkToFit="0" vertical="center" wrapText="0"/>
    </xf>
    <xf borderId="0" fillId="3" fontId="6" numFmtId="49" xfId="0" applyAlignment="1" applyFill="1" applyFont="1" applyNumberFormat="1">
      <alignment horizontal="center"/>
    </xf>
    <xf borderId="0" fillId="3" fontId="21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 shrinkToFit="0" vertical="bottom" wrapText="0"/>
    </xf>
    <xf borderId="0" fillId="3" fontId="8" numFmtId="49" xfId="0" applyAlignment="1" applyFill="1" applyFont="1" applyNumberFormat="1">
      <alignment horizontal="center" readingOrder="0" shrinkToFit="0" wrapText="0"/>
    </xf>
    <xf borderId="1" fillId="3" fontId="13" numFmtId="0" xfId="0" applyAlignment="1" applyBorder="1" applyFill="1" applyFont="1">
      <alignment horizontal="center" shrinkToFit="0" vertical="center" wrapText="0"/>
    </xf>
    <xf borderId="0" fillId="356" fontId="13" numFmtId="167" xfId="0" applyAlignment="1" applyFill="1" applyFont="1" applyNumberFormat="1">
      <alignment horizontal="center" shrinkToFit="0" vertical="center" wrapText="0"/>
    </xf>
    <xf borderId="0" fillId="0" fontId="8" numFmtId="49" xfId="0" applyAlignment="1" applyFont="1" applyNumberFormat="1">
      <alignment horizontal="center" readingOrder="0" shrinkToFit="0" wrapText="0"/>
    </xf>
    <xf borderId="1" fillId="357" fontId="13" numFmtId="167" xfId="0" applyAlignment="1" applyBorder="1" applyFill="1" applyFont="1" applyNumberFormat="1">
      <alignment horizontal="center" shrinkToFit="0" vertical="bottom" wrapText="0"/>
    </xf>
    <xf borderId="0" fillId="0" fontId="8" numFmtId="49" xfId="0" applyAlignment="1" applyFont="1" applyNumberFormat="1">
      <alignment horizontal="center" readingOrder="0" shrinkToFit="0" wrapText="0"/>
    </xf>
    <xf borderId="0" fillId="70" fontId="13" numFmtId="167" xfId="0" applyAlignment="1" applyFill="1" applyFont="1" applyNumberFormat="1">
      <alignment horizontal="center" shrinkToFit="0" vertical="bottom" wrapText="0"/>
    </xf>
    <xf borderId="0" fillId="57" fontId="13" numFmtId="167" xfId="0" applyAlignment="1" applyFill="1" applyFont="1" applyNumberFormat="1">
      <alignment horizontal="center" shrinkToFit="0" vertical="bottom" wrapText="0"/>
    </xf>
    <xf borderId="0" fillId="3" fontId="13" numFmtId="167" xfId="0" applyAlignment="1" applyFill="1" applyFont="1" applyNumberFormat="1">
      <alignment horizontal="center" shrinkToFit="0" vertical="bottom" wrapText="0"/>
    </xf>
    <xf borderId="1" fillId="47" fontId="13" numFmtId="167" xfId="0" applyAlignment="1" applyBorder="1" applyFill="1" applyFont="1" applyNumberFormat="1">
      <alignment horizontal="center" shrinkToFit="0" vertical="bottom" wrapText="0"/>
    </xf>
    <xf borderId="0" fillId="54" fontId="13" numFmtId="167" xfId="0" applyAlignment="1" applyFill="1" applyFont="1" applyNumberFormat="1">
      <alignment horizontal="center" shrinkToFit="0" vertical="bottom" wrapText="0"/>
    </xf>
    <xf borderId="0" fillId="79" fontId="13" numFmtId="167" xfId="0" applyAlignment="1" applyFill="1" applyFont="1" applyNumberFormat="1">
      <alignment horizontal="center" shrinkToFit="0" vertical="bottom" wrapText="0"/>
    </xf>
    <xf borderId="0" fillId="66" fontId="13" numFmtId="167" xfId="0" applyAlignment="1" applyFill="1" applyFont="1" applyNumberFormat="1">
      <alignment horizontal="center" shrinkToFit="0" vertical="bottom" wrapText="0"/>
    </xf>
    <xf borderId="1" fillId="358" fontId="11" numFmtId="167" xfId="0" applyAlignment="1" applyBorder="1" applyFill="1" applyFont="1" applyNumberFormat="1">
      <alignment horizontal="center" shrinkToFit="0" vertical="bottom" wrapText="0"/>
    </xf>
    <xf borderId="0" fillId="73" fontId="11" numFmtId="167" xfId="0" applyAlignment="1" applyFill="1" applyFont="1" applyNumberFormat="1">
      <alignment horizontal="center" shrinkToFit="0" vertical="bottom" wrapText="0"/>
    </xf>
    <xf borderId="0" fillId="359" fontId="11" numFmtId="167" xfId="0" applyAlignment="1" applyFill="1" applyFont="1" applyNumberFormat="1">
      <alignment horizontal="center" shrinkToFit="0" vertical="bottom" wrapText="0"/>
    </xf>
    <xf borderId="0" fillId="332" fontId="11" numFmtId="167" xfId="0" applyAlignment="1" applyFill="1" applyFont="1" applyNumberFormat="1">
      <alignment horizontal="center" shrinkToFit="0" vertical="bottom" wrapText="0"/>
    </xf>
    <xf borderId="0" fillId="59" fontId="11" numFmtId="167" xfId="0" applyAlignment="1" applyFill="1" applyFont="1" applyNumberFormat="1">
      <alignment horizontal="center" shrinkToFit="0" vertical="bottom" wrapText="0"/>
    </xf>
    <xf borderId="0" fillId="350" fontId="11" numFmtId="167" xfId="0" applyAlignment="1" applyFill="1" applyFont="1" applyNumberFormat="1">
      <alignment horizontal="center" shrinkToFit="0" vertical="bottom" wrapText="0"/>
    </xf>
    <xf borderId="0" fillId="360" fontId="11" numFmtId="167" xfId="0" applyAlignment="1" applyFill="1" applyFont="1" applyNumberFormat="1">
      <alignment horizontal="center" shrinkToFit="0" vertical="bottom" wrapText="0"/>
    </xf>
    <xf borderId="1" fillId="140" fontId="22" numFmtId="0" xfId="0" applyAlignment="1" applyBorder="1" applyFill="1" applyFont="1">
      <alignment horizontal="center" shrinkToFit="0" vertical="bottom" wrapText="0"/>
    </xf>
    <xf borderId="1" fillId="293" fontId="22" numFmtId="0" xfId="0" applyAlignment="1" applyBorder="1" applyFill="1" applyFont="1">
      <alignment horizontal="center" shrinkToFit="0" vertical="bottom" wrapText="0"/>
    </xf>
    <xf borderId="0" fillId="48" fontId="11" numFmtId="167" xfId="0" applyAlignment="1" applyFill="1" applyFont="1" applyNumberFormat="1">
      <alignment horizontal="center" shrinkToFit="0" vertical="bottom" wrapText="0"/>
    </xf>
    <xf borderId="1" fillId="361" fontId="22" numFmtId="0" xfId="0" applyAlignment="1" applyBorder="1" applyFill="1" applyFont="1">
      <alignment horizontal="center" shrinkToFit="0" vertical="bottom" wrapText="0"/>
    </xf>
    <xf borderId="0" fillId="355" fontId="11" numFmtId="167" xfId="0" applyAlignment="1" applyFill="1" applyFont="1" applyNumberFormat="1">
      <alignment horizontal="center" shrinkToFit="0" vertical="center" wrapText="0"/>
    </xf>
    <xf borderId="1" fillId="223" fontId="22" numFmtId="10" xfId="0" applyAlignment="1" applyBorder="1" applyFill="1" applyFont="1" applyNumberFormat="1">
      <alignment horizontal="center" shrinkToFit="0" vertical="bottom" wrapText="0"/>
    </xf>
    <xf borderId="1" fillId="114" fontId="22" numFmtId="0" xfId="0" applyAlignment="1" applyBorder="1" applyFill="1" applyFont="1">
      <alignment horizontal="center" shrinkToFit="0" vertical="bottom" wrapText="0"/>
    </xf>
    <xf borderId="1" fillId="204" fontId="22" numFmtId="10" xfId="0" applyAlignment="1" applyBorder="1" applyFill="1" applyFont="1" applyNumberFormat="1">
      <alignment horizontal="center" shrinkToFit="0" vertical="bottom" wrapText="0"/>
    </xf>
    <xf borderId="1" fillId="225" fontId="22" numFmtId="0" xfId="0" applyAlignment="1" applyBorder="1" applyFill="1" applyFont="1">
      <alignment horizontal="center" shrinkToFit="0" vertical="bottom" wrapText="0"/>
    </xf>
    <xf borderId="1" fillId="237" fontId="22" numFmtId="0" xfId="0" applyAlignment="1" applyBorder="1" applyFill="1" applyFont="1">
      <alignment horizontal="center" shrinkToFit="0" vertical="bottom" wrapText="0"/>
    </xf>
    <xf borderId="1" fillId="97" fontId="22" numFmtId="10" xfId="0" applyAlignment="1" applyBorder="1" applyFill="1" applyFont="1" applyNumberFormat="1">
      <alignment horizontal="center" shrinkToFit="0" vertical="bottom" wrapText="0"/>
    </xf>
    <xf borderId="1" fillId="362" fontId="22" numFmtId="0" xfId="0" applyAlignment="1" applyBorder="1" applyFill="1" applyFont="1">
      <alignment horizontal="center" shrinkToFit="0" vertical="bottom" wrapText="0"/>
    </xf>
    <xf borderId="0" fillId="0" fontId="6" numFmtId="10" xfId="0" applyAlignment="1" applyFont="1" applyNumberFormat="1">
      <alignment horizontal="right" readingOrder="0"/>
    </xf>
    <xf borderId="1" fillId="19" fontId="22" numFmtId="0" xfId="0" applyAlignment="1" applyBorder="1" applyFill="1" applyFont="1">
      <alignment horizontal="center" shrinkToFit="0" vertical="bottom" wrapText="0"/>
    </xf>
    <xf borderId="1" fillId="243" fontId="22" numFmtId="0" xfId="0" applyAlignment="1" applyBorder="1" applyFill="1" applyFont="1">
      <alignment horizontal="center" shrinkToFit="0" vertical="bottom" wrapText="0"/>
    </xf>
    <xf borderId="1" fillId="17" fontId="22" numFmtId="10" xfId="0" applyAlignment="1" applyBorder="1" applyFill="1" applyFont="1" applyNumberFormat="1">
      <alignment horizontal="center" shrinkToFit="0" vertical="bottom" wrapText="0"/>
    </xf>
    <xf borderId="0" fillId="0" fontId="6" numFmtId="0" xfId="0" applyAlignment="1" applyFont="1">
      <alignment horizontal="right"/>
    </xf>
    <xf borderId="1" fillId="240" fontId="22" numFmtId="10" xfId="0" applyAlignment="1" applyBorder="1" applyFill="1" applyFont="1" applyNumberFormat="1">
      <alignment horizontal="center" shrinkToFit="0" vertical="bottom" wrapText="0"/>
    </xf>
    <xf borderId="1" fillId="329" fontId="22" numFmtId="165" xfId="0" applyAlignment="1" applyBorder="1" applyFill="1" applyFont="1" applyNumberFormat="1">
      <alignment horizontal="center" shrinkToFit="0" vertical="bottom" wrapText="0"/>
    </xf>
    <xf borderId="1" fillId="208" fontId="22" numFmtId="164" xfId="0" applyAlignment="1" applyBorder="1" applyFill="1" applyFont="1" applyNumberFormat="1">
      <alignment horizontal="center" shrinkToFit="0" vertical="bottom" wrapText="0"/>
    </xf>
    <xf borderId="1" fillId="287" fontId="22" numFmtId="10" xfId="0" applyAlignment="1" applyBorder="1" applyFill="1" applyFont="1" applyNumberFormat="1">
      <alignment horizontal="center" shrinkToFit="0" vertical="bottom" wrapText="0"/>
    </xf>
    <xf borderId="1" fillId="322" fontId="22" numFmtId="10" xfId="0" applyAlignment="1" applyBorder="1" applyFill="1" applyFont="1" applyNumberFormat="1">
      <alignment horizontal="center" shrinkToFit="0" vertical="bottom" wrapText="0"/>
    </xf>
    <xf borderId="1" fillId="101" fontId="22" numFmtId="165" xfId="0" applyAlignment="1" applyBorder="1" applyFill="1" applyFont="1" applyNumberFormat="1">
      <alignment horizontal="center" shrinkToFit="0" vertical="bottom" wrapText="0"/>
    </xf>
    <xf borderId="1" fillId="91" fontId="22" numFmtId="164" xfId="0" applyAlignment="1" applyBorder="1" applyFill="1" applyFont="1" applyNumberFormat="1">
      <alignment horizontal="center" shrinkToFit="0" vertical="bottom" wrapText="0"/>
    </xf>
    <xf borderId="1" fillId="293" fontId="22" numFmtId="10" xfId="0" applyAlignment="1" applyBorder="1" applyFill="1" applyFont="1" applyNumberFormat="1">
      <alignment horizontal="center" shrinkToFit="0" vertical="bottom" wrapText="0"/>
    </xf>
    <xf borderId="1" fillId="26" fontId="22" numFmtId="0" xfId="0" applyAlignment="1" applyBorder="1" applyFill="1" applyFont="1">
      <alignment horizontal="center" shrinkToFit="0" vertical="bottom" wrapText="0"/>
    </xf>
    <xf borderId="1" fillId="138" fontId="22" numFmtId="10" xfId="0" applyAlignment="1" applyBorder="1" applyFill="1" applyFont="1" applyNumberFormat="1">
      <alignment horizontal="center" shrinkToFit="0" vertical="bottom" wrapText="0"/>
    </xf>
    <xf borderId="1" fillId="140" fontId="22" numFmtId="165" xfId="0" applyAlignment="1" applyBorder="1" applyFill="1" applyFont="1" applyNumberFormat="1">
      <alignment horizontal="center" shrinkToFit="0" vertical="bottom" wrapText="0"/>
    </xf>
    <xf borderId="1" fillId="43" fontId="22" numFmtId="10" xfId="0" applyAlignment="1" applyBorder="1" applyFill="1" applyFont="1" applyNumberFormat="1">
      <alignment horizontal="center" shrinkToFit="0" vertical="bottom" wrapText="0"/>
    </xf>
    <xf borderId="1" fillId="109" fontId="22" numFmtId="164" xfId="0" applyAlignment="1" applyBorder="1" applyFill="1" applyFont="1" applyNumberFormat="1">
      <alignment horizontal="center" shrinkToFit="0" vertical="bottom" wrapText="0"/>
    </xf>
    <xf borderId="1" fillId="155" fontId="22" numFmtId="10" xfId="0" applyAlignment="1" applyBorder="1" applyFill="1" applyFont="1" applyNumberFormat="1">
      <alignment horizontal="center" shrinkToFit="0" vertical="bottom" wrapText="0"/>
    </xf>
    <xf borderId="1" fillId="110" fontId="22" numFmtId="10" xfId="0" applyAlignment="1" applyBorder="1" applyFill="1" applyFont="1" applyNumberFormat="1">
      <alignment horizontal="center" shrinkToFit="0" vertical="bottom" wrapText="0"/>
    </xf>
    <xf borderId="1" fillId="90" fontId="22" numFmtId="165" xfId="0" applyAlignment="1" applyBorder="1" applyFill="1" applyFont="1" applyNumberFormat="1">
      <alignment horizontal="center" shrinkToFit="0" vertical="bottom" wrapText="0"/>
    </xf>
    <xf borderId="1" fillId="10" fontId="22" numFmtId="10" xfId="0" applyAlignment="1" applyBorder="1" applyFill="1" applyFont="1" applyNumberFormat="1">
      <alignment horizontal="center" shrinkToFit="0" vertical="bottom" wrapText="0"/>
    </xf>
    <xf borderId="1" fillId="134" fontId="22" numFmtId="164" xfId="0" applyAlignment="1" applyBorder="1" applyFill="1" applyFont="1" applyNumberFormat="1">
      <alignment horizontal="center" shrinkToFit="0" vertical="bottom" wrapText="0"/>
    </xf>
    <xf borderId="1" fillId="101" fontId="22" numFmtId="10" xfId="0" applyAlignment="1" applyBorder="1" applyFill="1" applyFont="1" applyNumberFormat="1">
      <alignment horizontal="center" shrinkToFit="0" vertical="bottom" wrapText="0"/>
    </xf>
    <xf borderId="1" fillId="178" fontId="22" numFmtId="165" xfId="0" applyAlignment="1" applyBorder="1" applyFill="1" applyFont="1" applyNumberFormat="1">
      <alignment horizontal="center" shrinkToFit="0" vertical="bottom" wrapText="0"/>
    </xf>
    <xf borderId="1" fillId="139" fontId="22" numFmtId="10" xfId="0" applyAlignment="1" applyBorder="1" applyFill="1" applyFont="1" applyNumberFormat="1">
      <alignment horizontal="center" shrinkToFit="0" vertical="bottom" wrapText="0"/>
    </xf>
    <xf borderId="1" fillId="191" fontId="22" numFmtId="164" xfId="0" applyAlignment="1" applyBorder="1" applyFill="1" applyFont="1" applyNumberFormat="1">
      <alignment horizontal="center" shrinkToFit="0" vertical="bottom" wrapText="0"/>
    </xf>
    <xf borderId="1" fillId="141" fontId="22" numFmtId="0" xfId="0" applyAlignment="1" applyBorder="1" applyFill="1" applyFont="1">
      <alignment horizontal="center" shrinkToFit="0" vertical="bottom" wrapText="0"/>
    </xf>
    <xf borderId="1" fillId="363" fontId="22" numFmtId="10" xfId="0" applyAlignment="1" applyBorder="1" applyFill="1" applyFont="1" applyNumberFormat="1">
      <alignment horizontal="center" shrinkToFit="0" vertical="bottom" wrapText="0"/>
    </xf>
    <xf borderId="1" fillId="213" fontId="22" numFmtId="0" xfId="0" applyAlignment="1" applyBorder="1" applyFill="1" applyFont="1">
      <alignment horizontal="center" shrinkToFit="0" vertical="bottom" wrapText="0"/>
    </xf>
    <xf borderId="1" fillId="364" fontId="22" numFmtId="10" xfId="0" applyAlignment="1" applyBorder="1" applyFill="1" applyFont="1" applyNumberFormat="1">
      <alignment horizontal="center" shrinkToFit="0" vertical="bottom" wrapText="0"/>
    </xf>
    <xf borderId="1" fillId="219" fontId="22" numFmtId="0" xfId="0" applyAlignment="1" applyBorder="1" applyFill="1" applyFont="1">
      <alignment horizontal="center" shrinkToFit="0" vertical="bottom" wrapText="0"/>
    </xf>
    <xf borderId="1" fillId="213" fontId="22" numFmtId="10" xfId="0" applyAlignment="1" applyBorder="1" applyFill="1" applyFont="1" applyNumberFormat="1">
      <alignment horizontal="center" shrinkToFit="0" vertical="bottom" wrapText="0"/>
    </xf>
    <xf borderId="1" fillId="118" fontId="22" numFmtId="10" xfId="0" applyAlignment="1" applyBorder="1" applyFill="1" applyFont="1" applyNumberFormat="1">
      <alignment horizontal="center" shrinkToFit="0" vertical="bottom" wrapText="0"/>
    </xf>
    <xf borderId="1" fillId="228" fontId="22" numFmtId="0" xfId="0" applyAlignment="1" applyBorder="1" applyFill="1" applyFont="1">
      <alignment horizontal="center" shrinkToFit="0" vertical="bottom" wrapText="0"/>
    </xf>
    <xf borderId="1" fillId="143" fontId="22" numFmtId="10" xfId="0" applyAlignment="1" applyBorder="1" applyFill="1" applyFont="1" applyNumberFormat="1">
      <alignment horizontal="center" shrinkToFit="0" vertical="bottom" wrapText="0"/>
    </xf>
    <xf borderId="1" fillId="229" fontId="22" numFmtId="0" xfId="0" applyAlignment="1" applyBorder="1" applyFill="1" applyFont="1">
      <alignment horizontal="center" shrinkToFit="0" vertical="bottom" wrapText="0"/>
    </xf>
    <xf borderId="1" fillId="37" fontId="22" numFmtId="10" xfId="0" applyAlignment="1" applyBorder="1" applyFill="1" applyFont="1" applyNumberFormat="1">
      <alignment horizontal="center" shrinkToFit="0" vertical="bottom" wrapText="0"/>
    </xf>
    <xf borderId="1" fillId="8" fontId="22" numFmtId="0" xfId="0" applyAlignment="1" applyBorder="1" applyFill="1" applyFont="1">
      <alignment horizontal="center" shrinkToFit="0" vertical="bottom" wrapText="0"/>
    </xf>
    <xf borderId="1" fillId="325" fontId="22" numFmtId="0" xfId="0" applyAlignment="1" applyBorder="1" applyFill="1" applyFont="1">
      <alignment horizontal="center" shrinkToFit="0" vertical="bottom" wrapText="0"/>
    </xf>
    <xf borderId="1" fillId="144" fontId="22" numFmtId="10" xfId="0" applyAlignment="1" applyBorder="1" applyFill="1" applyFont="1" applyNumberFormat="1">
      <alignment horizontal="center" shrinkToFit="0" vertical="bottom" wrapText="0"/>
    </xf>
    <xf borderId="1" fillId="147" fontId="22" numFmtId="0" xfId="0" applyAlignment="1" applyBorder="1" applyFill="1" applyFont="1">
      <alignment horizontal="center" shrinkToFit="0" vertical="bottom" wrapText="0"/>
    </xf>
    <xf borderId="1" fillId="98" fontId="22" numFmtId="10" xfId="0" applyAlignment="1" applyBorder="1" applyFill="1" applyFont="1" applyNumberFormat="1">
      <alignment horizontal="center" shrinkToFit="0" vertical="bottom" wrapText="0"/>
    </xf>
    <xf borderId="9" fillId="0" fontId="22" numFmtId="49" xfId="0" applyAlignment="1" applyBorder="1" applyFont="1" applyNumberFormat="1">
      <alignment horizontal="center" readingOrder="0" shrinkToFit="0" vertical="center" wrapText="0"/>
    </xf>
    <xf borderId="10" fillId="0" fontId="22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readingOrder="0" shrinkToFit="0" vertical="bottom" wrapText="0"/>
    </xf>
    <xf borderId="0" fillId="365" fontId="22" numFmtId="0" xfId="0" applyAlignment="1" applyFill="1" applyFont="1">
      <alignment horizontal="center" readingOrder="0" shrinkToFit="0" vertical="center" wrapText="0"/>
    </xf>
    <xf borderId="1" fillId="210" fontId="22" numFmtId="0" xfId="0" applyAlignment="1" applyBorder="1" applyFill="1" applyFont="1">
      <alignment horizontal="center" shrinkToFit="0" vertical="bottom" wrapText="0"/>
    </xf>
    <xf borderId="0" fillId="366" fontId="22" numFmtId="10" xfId="0" applyAlignment="1" applyFill="1" applyFont="1" applyNumberFormat="1">
      <alignment horizontal="center" readingOrder="0" shrinkToFit="0" vertical="center" wrapText="0"/>
    </xf>
    <xf borderId="1" fillId="268" fontId="22" numFmtId="10" xfId="0" applyAlignment="1" applyBorder="1" applyFill="1" applyFont="1" applyNumberFormat="1">
      <alignment horizontal="center" shrinkToFit="0" vertical="bottom" wrapText="0"/>
    </xf>
    <xf borderId="11" fillId="0" fontId="22" numFmtId="165" xfId="0" applyAlignment="1" applyBorder="1" applyFont="1" applyNumberFormat="1">
      <alignment horizontal="center" readingOrder="0" shrinkToFit="0" vertical="center" wrapText="0"/>
    </xf>
    <xf borderId="0" fillId="140" fontId="22" numFmtId="0" xfId="0" applyAlignment="1" applyFill="1" applyFont="1">
      <alignment horizontal="center" readingOrder="0" shrinkToFit="0" vertical="center" wrapText="0"/>
    </xf>
    <xf borderId="1" fillId="184" fontId="22" numFmtId="0" xfId="0" applyAlignment="1" applyBorder="1" applyFill="1" applyFont="1">
      <alignment horizontal="center" shrinkToFit="0" vertical="bottom" wrapText="0"/>
    </xf>
    <xf borderId="0" fillId="367" fontId="22" numFmtId="10" xfId="0" applyAlignment="1" applyFill="1" applyFont="1" applyNumberFormat="1">
      <alignment horizontal="center" readingOrder="0" shrinkToFit="0" vertical="center" wrapText="0"/>
    </xf>
    <xf borderId="11" fillId="0" fontId="22" numFmtId="164" xfId="0" applyAlignment="1" applyBorder="1" applyFont="1" applyNumberFormat="1">
      <alignment horizontal="center" readingOrder="0" shrinkToFit="0" vertical="center" wrapText="0"/>
    </xf>
    <xf borderId="0" fillId="368" fontId="22" numFmtId="0" xfId="0" applyAlignment="1" applyFill="1" applyFont="1">
      <alignment horizontal="center" readingOrder="0" shrinkToFit="0" vertical="center" wrapText="0"/>
    </xf>
    <xf borderId="0" fillId="369" fontId="22" numFmtId="10" xfId="0" applyAlignment="1" applyFill="1" applyFont="1" applyNumberFormat="1">
      <alignment horizontal="center" readingOrder="0" shrinkToFit="0" vertical="center" wrapText="0"/>
    </xf>
    <xf borderId="0" fillId="370" fontId="22" numFmtId="10" xfId="0" applyAlignment="1" applyFill="1" applyFont="1" applyNumberFormat="1">
      <alignment horizontal="center" shrinkToFit="0" vertical="bottom" wrapText="0"/>
    </xf>
    <xf borderId="0" fillId="262" fontId="22" numFmtId="0" xfId="0" applyAlignment="1" applyFill="1" applyFont="1">
      <alignment horizontal="center" readingOrder="0" shrinkToFit="0" vertical="center" wrapText="0"/>
    </xf>
    <xf borderId="0" fillId="371" fontId="22" numFmtId="10" xfId="0" applyAlignment="1" applyFill="1" applyFont="1" applyNumberFormat="1">
      <alignment horizontal="center" readingOrder="0" shrinkToFit="0" vertical="center" wrapText="0"/>
    </xf>
    <xf borderId="0" fillId="14" fontId="22" numFmtId="0" xfId="0" applyAlignment="1" applyFill="1" applyFont="1">
      <alignment horizontal="center" readingOrder="0" shrinkToFit="0" vertical="center" wrapText="0"/>
    </xf>
    <xf borderId="0" fillId="372" fontId="22" numFmtId="10" xfId="0" applyAlignment="1" applyFill="1" applyFont="1" applyNumberFormat="1">
      <alignment horizontal="center" readingOrder="0" shrinkToFit="0" vertical="center" wrapText="0"/>
    </xf>
    <xf borderId="0" fillId="197" fontId="22" numFmtId="0" xfId="0" applyAlignment="1" applyFill="1" applyFont="1">
      <alignment horizontal="center" readingOrder="0" shrinkToFit="0" vertical="center" wrapText="0"/>
    </xf>
    <xf borderId="1" fillId="181" fontId="22" numFmtId="0" xfId="0" applyAlignment="1" applyBorder="1" applyFill="1" applyFont="1">
      <alignment horizontal="center" shrinkToFit="0" vertical="bottom" wrapText="0"/>
    </xf>
    <xf borderId="0" fillId="373" fontId="22" numFmtId="10" xfId="0" applyAlignment="1" applyFill="1" applyFont="1" applyNumberFormat="1">
      <alignment horizontal="center" readingOrder="0" shrinkToFit="0" vertical="center" wrapText="0"/>
    </xf>
    <xf borderId="0" fillId="374" fontId="22" numFmtId="10" xfId="0" applyAlignment="1" applyFill="1" applyFont="1" applyNumberFormat="1">
      <alignment horizontal="center" shrinkToFit="0" vertical="bottom" wrapText="0"/>
    </xf>
    <xf borderId="1" fillId="133" fontId="22" numFmtId="10" xfId="0" applyAlignment="1" applyBorder="1" applyFill="1" applyFont="1" applyNumberFormat="1">
      <alignment horizontal="center" shrinkToFit="0" vertical="bottom" wrapText="0"/>
    </xf>
    <xf borderId="0" fillId="375" fontId="22" numFmtId="10" xfId="0" applyAlignment="1" applyFill="1" applyFont="1" applyNumberFormat="1">
      <alignment horizontal="center" readingOrder="0" shrinkToFit="0" vertical="center" wrapText="0"/>
    </xf>
    <xf borderId="0" fillId="8" fontId="22" numFmtId="0" xfId="0" applyAlignment="1" applyFill="1" applyFont="1">
      <alignment horizontal="center" readingOrder="0" shrinkToFit="0" vertical="center" wrapText="0"/>
    </xf>
    <xf borderId="0" fillId="376" fontId="22" numFmtId="10" xfId="0" applyAlignment="1" applyFill="1" applyFont="1" applyNumberFormat="1">
      <alignment horizontal="center" readingOrder="0" shrinkToFit="0" vertical="center" wrapText="0"/>
    </xf>
    <xf borderId="0" fillId="377" fontId="22" numFmtId="0" xfId="0" applyAlignment="1" applyFill="1" applyFont="1">
      <alignment horizontal="center" readingOrder="0" shrinkToFit="0" vertical="center" wrapText="0"/>
    </xf>
    <xf borderId="0" fillId="378" fontId="22" numFmtId="10" xfId="0" applyAlignment="1" applyFill="1" applyFont="1" applyNumberFormat="1">
      <alignment horizontal="center" readingOrder="0" shrinkToFit="0" vertical="center" wrapText="0"/>
    </xf>
    <xf borderId="1" fillId="379" fontId="22" numFmtId="0" xfId="0" applyAlignment="1" applyBorder="1" applyFill="1" applyFont="1">
      <alignment horizontal="center" shrinkToFit="0" vertical="bottom" wrapText="0"/>
    </xf>
    <xf borderId="0" fillId="380" fontId="22" numFmtId="0" xfId="0" applyAlignment="1" applyFill="1" applyFont="1">
      <alignment horizontal="center" readingOrder="0" shrinkToFit="0" vertical="center" wrapText="0"/>
    </xf>
    <xf borderId="1" fillId="152" fontId="22" numFmtId="0" xfId="0" applyAlignment="1" applyBorder="1" applyFill="1" applyFont="1">
      <alignment horizontal="center" shrinkToFit="0" vertical="bottom" wrapText="0"/>
    </xf>
    <xf borderId="0" fillId="381" fontId="22" numFmtId="10" xfId="0" applyAlignment="1" applyFill="1" applyFont="1" applyNumberFormat="1">
      <alignment horizontal="center" readingOrder="0" shrinkToFit="0" vertical="center" wrapText="0"/>
    </xf>
    <xf borderId="1" fillId="382" fontId="22" numFmtId="10" xfId="0" applyAlignment="1" applyBorder="1" applyFill="1" applyFont="1" applyNumberFormat="1">
      <alignment horizontal="center" shrinkToFit="0" vertical="bottom" wrapText="0"/>
    </xf>
    <xf borderId="0" fillId="182" fontId="22" numFmtId="0" xfId="0" applyAlignment="1" applyFill="1" applyFont="1">
      <alignment horizontal="center" readingOrder="0" shrinkToFit="0" vertical="center" wrapText="0"/>
    </xf>
    <xf borderId="0" fillId="383" fontId="22" numFmtId="10" xfId="0" applyAlignment="1" applyFill="1" applyFont="1" applyNumberFormat="1">
      <alignment horizontal="center" readingOrder="0" shrinkToFit="0" vertical="center" wrapText="0"/>
    </xf>
    <xf borderId="1" fillId="39" fontId="22" numFmtId="0" xfId="0" applyAlignment="1" applyBorder="1" applyFill="1" applyFont="1">
      <alignment horizontal="center" shrinkToFit="0" vertical="bottom" wrapText="0"/>
    </xf>
    <xf borderId="0" fillId="384" fontId="22" numFmtId="10" xfId="0" applyAlignment="1" applyFill="1" applyFont="1" applyNumberFormat="1">
      <alignment horizontal="center" readingOrder="0" shrinkToFit="0" vertical="center" wrapText="0"/>
    </xf>
    <xf borderId="1" fillId="385" fontId="22" numFmtId="10" xfId="0" applyAlignment="1" applyBorder="1" applyFill="1" applyFont="1" applyNumberFormat="1">
      <alignment horizontal="center" shrinkToFit="0" vertical="bottom" wrapText="0"/>
    </xf>
    <xf borderId="0" fillId="386" fontId="22" numFmtId="0" xfId="0" applyAlignment="1" applyFill="1" applyFont="1">
      <alignment horizontal="center" readingOrder="0" shrinkToFit="0" vertical="center" wrapText="0"/>
    </xf>
    <xf borderId="0" fillId="387" fontId="22" numFmtId="10" xfId="0" applyAlignment="1" applyFill="1" applyFont="1" applyNumberFormat="1">
      <alignment horizontal="center" readingOrder="0" shrinkToFit="0" vertical="center" wrapText="0"/>
    </xf>
    <xf borderId="0" fillId="388" fontId="22" numFmtId="0" xfId="0" applyAlignment="1" applyFill="1" applyFont="1">
      <alignment horizontal="center" readingOrder="0" shrinkToFit="0" vertical="center" wrapText="0"/>
    </xf>
    <xf borderId="1" fillId="39" fontId="22" numFmtId="10" xfId="0" applyAlignment="1" applyBorder="1" applyFill="1" applyFont="1" applyNumberFormat="1">
      <alignment horizontal="center" shrinkToFit="0" vertical="bottom" wrapText="0"/>
    </xf>
    <xf borderId="0" fillId="389" fontId="22" numFmtId="10" xfId="0" applyAlignment="1" applyFill="1" applyFont="1" applyNumberFormat="1">
      <alignment horizontal="center" readingOrder="0" shrinkToFit="0" vertical="center" wrapText="0"/>
    </xf>
    <xf borderId="0" fillId="390" fontId="22" numFmtId="0" xfId="0" applyAlignment="1" applyFill="1" applyFont="1">
      <alignment horizontal="center" readingOrder="0" shrinkToFit="0" vertical="center" wrapText="0"/>
    </xf>
    <xf borderId="0" fillId="391" fontId="22" numFmtId="10" xfId="0" applyAlignment="1" applyFill="1" applyFont="1" applyNumberFormat="1">
      <alignment horizontal="center" readingOrder="0" shrinkToFit="0" vertical="center" wrapText="0"/>
    </xf>
    <xf borderId="1" fillId="183" fontId="22" numFmtId="10" xfId="0" applyAlignment="1" applyBorder="1" applyFill="1" applyFont="1" applyNumberFormat="1">
      <alignment horizontal="center" shrinkToFit="0" vertical="bottom" wrapText="0"/>
    </xf>
    <xf borderId="0" fillId="392" fontId="22" numFmtId="10" xfId="0" applyAlignment="1" applyFill="1" applyFont="1" applyNumberFormat="1">
      <alignment horizontal="center" shrinkToFit="0" vertical="bottom" wrapText="0"/>
    </xf>
    <xf borderId="1" fillId="106" fontId="22" numFmtId="0" xfId="0" applyAlignment="1" applyBorder="1" applyFill="1" applyFont="1">
      <alignment horizontal="center" shrinkToFit="0" vertical="bottom" wrapText="0"/>
    </xf>
    <xf borderId="1" fillId="302" fontId="22" numFmtId="10" xfId="0" applyAlignment="1" applyBorder="1" applyFill="1" applyFont="1" applyNumberFormat="1">
      <alignment horizontal="center" shrinkToFit="0" vertical="bottom" wrapText="0"/>
    </xf>
    <xf borderId="10" fillId="0" fontId="11" numFmtId="0" xfId="0" applyAlignment="1" applyBorder="1" applyFont="1">
      <alignment readingOrder="0" shrinkToFit="0" vertical="center" wrapText="0"/>
    </xf>
    <xf borderId="0" fillId="393" fontId="22" numFmtId="10" xfId="0" applyAlignment="1" applyFill="1" applyFont="1" applyNumberFormat="1">
      <alignment horizontal="center" readingOrder="0" shrinkToFit="0" vertical="center" wrapText="0"/>
    </xf>
    <xf borderId="0" fillId="94" fontId="22" numFmtId="0" xfId="0" applyAlignment="1" applyFill="1" applyFont="1">
      <alignment horizontal="center" readingOrder="0" shrinkToFit="0" vertical="center" wrapText="0"/>
    </xf>
    <xf borderId="0" fillId="0" fontId="11" numFmtId="10" xfId="0" applyAlignment="1" applyFont="1" applyNumberFormat="1">
      <alignment readingOrder="0" shrinkToFit="0" vertical="center" wrapText="0"/>
    </xf>
    <xf borderId="0" fillId="3" fontId="22" numFmtId="0" xfId="0" applyAlignment="1" applyFill="1" applyFont="1">
      <alignment horizontal="center" readingOrder="0" shrinkToFit="0" vertical="center" wrapText="0"/>
    </xf>
    <xf borderId="0" fillId="394" fontId="22" numFmtId="10" xfId="0" applyAlignment="1" applyFill="1" applyFont="1" applyNumberFormat="1">
      <alignment horizontal="center" readingOrder="0" shrinkToFit="0" vertical="center" wrapText="0"/>
    </xf>
    <xf borderId="0" fillId="395" fontId="22" numFmtId="10" xfId="0" applyAlignment="1" applyFill="1" applyFont="1" applyNumberFormat="1">
      <alignment horizontal="center" shrinkToFit="0" vertical="bottom" wrapText="0"/>
    </xf>
    <xf borderId="1" fillId="40" fontId="22" numFmtId="10" xfId="0" applyAlignment="1" applyBorder="1" applyFill="1" applyFont="1" applyNumberFormat="1">
      <alignment horizontal="center" shrinkToFit="0" vertical="bottom" wrapText="0"/>
    </xf>
    <xf borderId="1" fillId="222" fontId="22" numFmtId="0" xfId="0" applyAlignment="1" applyBorder="1" applyFill="1" applyFont="1">
      <alignment horizontal="center" shrinkToFit="0" vertical="bottom" wrapText="0"/>
    </xf>
    <xf borderId="0" fillId="396" fontId="22" numFmtId="10" xfId="0" applyAlignment="1" applyFill="1" applyFont="1" applyNumberFormat="1">
      <alignment horizontal="center" readingOrder="0" shrinkToFit="0" vertical="center" wrapText="0"/>
    </xf>
    <xf borderId="0" fillId="176" fontId="22" numFmtId="165" xfId="0" applyAlignment="1" applyFill="1" applyFont="1" applyNumberFormat="1">
      <alignment horizontal="center" readingOrder="0" shrinkToFit="0" vertical="center" wrapText="0"/>
    </xf>
    <xf borderId="0" fillId="397" fontId="22" numFmtId="10" xfId="0" applyAlignment="1" applyFill="1" applyFont="1" applyNumberFormat="1">
      <alignment horizontal="center" readingOrder="0" shrinkToFit="0" vertical="center" wrapText="0"/>
    </xf>
    <xf borderId="0" fillId="398" fontId="22" numFmtId="164" xfId="0" applyAlignment="1" applyFill="1" applyFont="1" applyNumberFormat="1">
      <alignment horizontal="center" readingOrder="0" shrinkToFit="0" vertical="center" wrapText="0"/>
    </xf>
    <xf borderId="0" fillId="399" fontId="22" numFmtId="10" xfId="0" applyAlignment="1" applyFill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293" fontId="22" numFmtId="165" xfId="0" applyAlignment="1" applyFill="1" applyFont="1" applyNumberFormat="1">
      <alignment horizontal="center" readingOrder="0" shrinkToFit="0" vertical="center" wrapText="0"/>
    </xf>
    <xf borderId="0" fillId="400" fontId="22" numFmtId="10" xfId="0" applyAlignment="1" applyFill="1" applyFont="1" applyNumberFormat="1">
      <alignment horizontal="center" readingOrder="0" shrinkToFit="0" vertical="center" wrapText="0"/>
    </xf>
    <xf borderId="1" fillId="239" fontId="22" numFmtId="10" xfId="0" applyAlignment="1" applyBorder="1" applyFill="1" applyFont="1" applyNumberFormat="1">
      <alignment horizontal="center" shrinkToFit="0" vertical="bottom" wrapText="0"/>
    </xf>
    <xf borderId="0" fillId="265" fontId="22" numFmtId="164" xfId="0" applyAlignment="1" applyFill="1" applyFont="1" applyNumberFormat="1">
      <alignment horizontal="center" readingOrder="0" shrinkToFit="0" vertical="center" wrapText="0"/>
    </xf>
    <xf borderId="0" fillId="401" fontId="22" numFmtId="10" xfId="0" applyAlignment="1" applyFill="1" applyFont="1" applyNumberFormat="1">
      <alignment horizontal="center" readingOrder="0" shrinkToFit="0" vertical="center" wrapText="0"/>
    </xf>
    <xf borderId="1" fillId="89" fontId="22" numFmtId="0" xfId="0" applyAlignment="1" applyBorder="1" applyFill="1" applyFont="1">
      <alignment horizontal="center" shrinkToFit="0" vertical="bottom" wrapText="0"/>
    </xf>
    <xf borderId="0" fillId="402" fontId="22" numFmtId="10" xfId="0" applyAlignment="1" applyFill="1" applyFont="1" applyNumberFormat="1">
      <alignment horizontal="center" shrinkToFit="0" vertical="bottom" wrapText="0"/>
    </xf>
    <xf borderId="0" fillId="142" fontId="22" numFmtId="0" xfId="0" applyAlignment="1" applyFill="1" applyFont="1">
      <alignment horizontal="center" readingOrder="0" shrinkToFit="0" vertical="center" wrapText="0"/>
    </xf>
    <xf borderId="0" fillId="403" fontId="22" numFmtId="10" xfId="0" applyAlignment="1" applyFill="1" applyFont="1" applyNumberFormat="1">
      <alignment horizontal="center" readingOrder="0" shrinkToFit="0" vertical="center" wrapText="0"/>
    </xf>
    <xf borderId="0" fillId="404" fontId="22" numFmtId="0" xfId="0" applyAlignment="1" applyFill="1" applyFont="1">
      <alignment horizontal="center" readingOrder="0" shrinkToFit="0" vertical="center" wrapText="0"/>
    </xf>
    <xf borderId="0" fillId="405" fontId="22" numFmtId="10" xfId="0" applyAlignment="1" applyFill="1" applyFont="1" applyNumberFormat="1">
      <alignment horizontal="center" readingOrder="0" shrinkToFit="0" vertical="center" wrapText="0"/>
    </xf>
    <xf borderId="0" fillId="406" fontId="22" numFmtId="10" xfId="0" applyAlignment="1" applyFill="1" applyFont="1" applyNumberFormat="1">
      <alignment horizontal="center" shrinkToFit="0" vertical="bottom" wrapText="0"/>
    </xf>
    <xf borderId="0" fillId="209" fontId="22" numFmtId="0" xfId="0" applyAlignment="1" applyFill="1" applyFont="1">
      <alignment horizontal="center" readingOrder="0" shrinkToFit="0" vertical="center" wrapText="0"/>
    </xf>
    <xf borderId="0" fillId="392" fontId="22" numFmtId="10" xfId="0" applyAlignment="1" applyFill="1" applyFont="1" applyNumberFormat="1">
      <alignment horizontal="center" readingOrder="0" shrinkToFit="0" vertical="center" wrapText="0"/>
    </xf>
    <xf borderId="1" fillId="407" fontId="22" numFmtId="10" xfId="0" applyAlignment="1" applyBorder="1" applyFill="1" applyFont="1" applyNumberFormat="1">
      <alignment horizontal="center" shrinkToFit="0" vertical="bottom" wrapText="0"/>
    </xf>
    <xf borderId="0" fillId="408" fontId="22" numFmtId="10" xfId="0" applyAlignment="1" applyFill="1" applyFont="1" applyNumberFormat="1">
      <alignment horizontal="center" readingOrder="0" shrinkToFit="0" vertical="center" wrapText="0"/>
    </xf>
    <xf borderId="0" fillId="239" fontId="22" numFmtId="0" xfId="0" applyAlignment="1" applyFill="1" applyFont="1">
      <alignment horizontal="center" readingOrder="0" shrinkToFit="0" vertical="center" wrapText="0"/>
    </xf>
    <xf borderId="0" fillId="87" fontId="22" numFmtId="0" xfId="0" applyAlignment="1" applyFill="1" applyFont="1">
      <alignment horizontal="center" readingOrder="0" shrinkToFit="0" vertical="center" wrapText="0"/>
    </xf>
    <xf borderId="0" fillId="409" fontId="22" numFmtId="10" xfId="0" applyAlignment="1" applyFill="1" applyFont="1" applyNumberFormat="1">
      <alignment horizontal="center" readingOrder="0" shrinkToFit="0" vertical="center" wrapText="0"/>
    </xf>
    <xf borderId="1" fillId="410" fontId="22" numFmtId="10" xfId="0" applyAlignment="1" applyBorder="1" applyFill="1" applyFont="1" applyNumberFormat="1">
      <alignment horizontal="center" shrinkToFit="0" vertical="bottom" wrapText="0"/>
    </xf>
    <xf borderId="0" fillId="348" fontId="22" numFmtId="0" xfId="0" applyAlignment="1" applyFill="1" applyFont="1">
      <alignment horizontal="center" readingOrder="0" shrinkToFit="0" vertical="center" wrapText="0"/>
    </xf>
    <xf borderId="0" fillId="109" fontId="22" numFmtId="0" xfId="0" applyAlignment="1" applyFill="1" applyFont="1">
      <alignment horizontal="center" readingOrder="0" shrinkToFit="0" vertical="center" wrapText="0"/>
    </xf>
    <xf borderId="0" fillId="411" fontId="22" numFmtId="10" xfId="0" applyAlignment="1" applyFill="1" applyFont="1" applyNumberFormat="1">
      <alignment horizontal="center" readingOrder="0" shrinkToFit="0" vertical="center" wrapText="0"/>
    </xf>
    <xf borderId="0" fillId="412" fontId="22" numFmtId="0" xfId="0" applyAlignment="1" applyFill="1" applyFont="1">
      <alignment horizontal="center" readingOrder="0" shrinkToFit="0" vertical="center" wrapText="0"/>
    </xf>
    <xf borderId="0" fillId="413" fontId="22" numFmtId="10" xfId="0" applyAlignment="1" applyFill="1" applyFont="1" applyNumberFormat="1">
      <alignment horizontal="center" shrinkToFit="0" vertical="bottom" wrapText="0"/>
    </xf>
    <xf borderId="0" fillId="281" fontId="22" numFmtId="0" xfId="0" applyAlignment="1" applyFill="1" applyFont="1">
      <alignment horizontal="center" readingOrder="0" shrinkToFit="0" vertical="center" wrapText="0"/>
    </xf>
    <xf borderId="0" fillId="414" fontId="22" numFmtId="10" xfId="0" applyAlignment="1" applyFill="1" applyFont="1" applyNumberFormat="1">
      <alignment horizontal="center" readingOrder="0" shrinkToFit="0" vertical="center" wrapText="0"/>
    </xf>
    <xf borderId="0" fillId="47" fontId="22" numFmtId="0" xfId="0" applyAlignment="1" applyFill="1" applyFont="1">
      <alignment horizontal="center" readingOrder="0" shrinkToFit="0" vertical="center" wrapText="0"/>
    </xf>
    <xf borderId="0" fillId="395" fontId="22" numFmtId="10" xfId="0" applyAlignment="1" applyFill="1" applyFont="1" applyNumberFormat="1">
      <alignment horizontal="center" readingOrder="0" shrinkToFit="0" vertical="center" wrapText="0"/>
    </xf>
    <xf borderId="1" fillId="147" fontId="22" numFmtId="10" xfId="0" applyAlignment="1" applyBorder="1" applyFill="1" applyFont="1" applyNumberFormat="1">
      <alignment horizontal="center" shrinkToFit="0" vertical="bottom" wrapText="0"/>
    </xf>
    <xf borderId="1" fillId="234" fontId="22" numFmtId="0" xfId="0" applyAlignment="1" applyBorder="1" applyFill="1" applyFont="1">
      <alignment horizontal="center" shrinkToFit="0" vertical="bottom" wrapText="0"/>
    </xf>
    <xf borderId="1" fillId="15" fontId="22" numFmtId="10" xfId="0" applyAlignment="1" applyBorder="1" applyFill="1" applyFont="1" applyNumberFormat="1">
      <alignment horizontal="center" shrinkToFit="0" vertical="bottom" wrapText="0"/>
    </xf>
    <xf borderId="0" fillId="369" fontId="22" numFmtId="10" xfId="0" applyAlignment="1" applyFill="1" applyFont="1" applyNumberFormat="1">
      <alignment horizontal="center" shrinkToFit="0" vertical="bottom" wrapText="0"/>
    </xf>
    <xf borderId="0" fillId="415" fontId="22" numFmtId="10" xfId="0" applyAlignment="1" applyFill="1" applyFont="1" applyNumberFormat="1">
      <alignment horizontal="center" readingOrder="0" shrinkToFit="0" vertical="center" wrapText="0"/>
    </xf>
    <xf borderId="0" fillId="141" fontId="22" numFmtId="0" xfId="0" applyAlignment="1" applyFill="1" applyFont="1">
      <alignment horizontal="center" readingOrder="0" shrinkToFit="0" vertical="center" wrapText="0"/>
    </xf>
    <xf borderId="0" fillId="416" fontId="22" numFmtId="10" xfId="0" applyAlignment="1" applyFill="1" applyFont="1" applyNumberFormat="1">
      <alignment horizontal="center" readingOrder="0" shrinkToFit="0" vertical="center" wrapText="0"/>
    </xf>
    <xf borderId="0" fillId="417" fontId="22" numFmtId="0" xfId="0" applyAlignment="1" applyFill="1" applyFont="1">
      <alignment horizontal="center" readingOrder="0" shrinkToFit="0" vertical="center" wrapText="0"/>
    </xf>
    <xf borderId="0" fillId="418" fontId="22" numFmtId="10" xfId="0" applyAlignment="1" applyFill="1" applyFont="1" applyNumberFormat="1">
      <alignment horizontal="center" readingOrder="0" shrinkToFit="0" vertical="center" wrapText="0"/>
    </xf>
    <xf borderId="0" fillId="391" fontId="22" numFmtId="10" xfId="0" applyAlignment="1" applyFill="1" applyFont="1" applyNumberFormat="1">
      <alignment horizontal="center" shrinkToFit="0" vertical="bottom" wrapText="0"/>
    </xf>
    <xf borderId="1" fillId="160" fontId="22" numFmtId="0" xfId="0" applyAlignment="1" applyBorder="1" applyFill="1" applyFont="1">
      <alignment horizontal="center" shrinkToFit="0" vertical="bottom" wrapText="0"/>
    </xf>
    <xf borderId="0" fillId="111" fontId="22" numFmtId="0" xfId="0" applyAlignment="1" applyFill="1" applyFont="1">
      <alignment horizontal="center" readingOrder="0" shrinkToFit="0" vertical="center" wrapText="0"/>
    </xf>
    <xf borderId="0" fillId="419" fontId="22" numFmtId="0" xfId="0" applyAlignment="1" applyFill="1" applyFont="1">
      <alignment horizontal="center" readingOrder="0" shrinkToFit="0" vertical="center" wrapText="0"/>
    </xf>
    <xf borderId="1" fillId="133" fontId="22" numFmtId="0" xfId="0" applyAlignment="1" applyBorder="1" applyFill="1" applyFont="1">
      <alignment horizontal="center" shrinkToFit="0" vertical="bottom" wrapText="0"/>
    </xf>
    <xf borderId="0" fillId="420" fontId="22" numFmtId="0" xfId="0" applyAlignment="1" applyFill="1" applyFont="1">
      <alignment horizontal="center" readingOrder="0" shrinkToFit="0" vertical="center" wrapText="0"/>
    </xf>
    <xf borderId="1" fillId="17" fontId="22" numFmtId="0" xfId="0" applyAlignment="1" applyBorder="1" applyFill="1" applyFont="1">
      <alignment horizontal="center" shrinkToFit="0" vertical="bottom" wrapText="0"/>
    </xf>
    <xf borderId="0" fillId="165" fontId="22" numFmtId="0" xfId="0" applyAlignment="1" applyFill="1" applyFont="1">
      <alignment horizontal="center" readingOrder="0" shrinkToFit="0" vertical="center" wrapText="0"/>
    </xf>
    <xf borderId="0" fillId="421" fontId="22" numFmtId="10" xfId="0" applyAlignment="1" applyFill="1" applyFont="1" applyNumberFormat="1">
      <alignment horizontal="center" readingOrder="0" shrinkToFit="0" vertical="center" wrapText="0"/>
    </xf>
    <xf borderId="0" fillId="217" fontId="22" numFmtId="0" xfId="0" applyAlignment="1" applyFill="1" applyFont="1">
      <alignment horizontal="center" readingOrder="0" shrinkToFit="0" vertical="center" wrapText="0"/>
    </xf>
    <xf borderId="1" fillId="225" fontId="3" numFmtId="1" xfId="0" applyAlignment="1" applyBorder="1" applyFill="1" applyFont="1" applyNumberFormat="1">
      <alignment horizontal="center" shrinkToFit="0" vertical="bottom" wrapText="0"/>
    </xf>
    <xf borderId="1" fillId="335" fontId="22" numFmtId="10" xfId="0" applyAlignment="1" applyBorder="1" applyFill="1" applyFont="1" applyNumberFormat="1">
      <alignment horizontal="center" shrinkToFit="0" vertical="bottom" wrapText="0"/>
    </xf>
    <xf borderId="1" fillId="178" fontId="22" numFmtId="0" xfId="0" applyAlignment="1" applyBorder="1" applyFill="1" applyFont="1">
      <alignment horizontal="center" shrinkToFit="0" vertical="bottom" wrapText="0"/>
    </xf>
    <xf borderId="1" fillId="177" fontId="22" numFmtId="10" xfId="0" applyAlignment="1" applyBorder="1" applyFill="1" applyFont="1" applyNumberFormat="1">
      <alignment horizontal="center" shrinkToFit="0" vertical="bottom" wrapText="0"/>
    </xf>
    <xf borderId="0" fillId="194" fontId="22" numFmtId="0" xfId="0" applyAlignment="1" applyFill="1" applyFont="1">
      <alignment horizontal="center" readingOrder="0" shrinkToFit="0" vertical="center" wrapText="0"/>
    </xf>
    <xf borderId="0" fillId="129" fontId="22" numFmtId="0" xfId="0" applyAlignment="1" applyFill="1" applyFont="1">
      <alignment horizontal="center" readingOrder="0" shrinkToFit="0" vertical="center" wrapText="0"/>
    </xf>
    <xf borderId="0" fillId="422" fontId="22" numFmtId="10" xfId="0" applyAlignment="1" applyFill="1" applyFont="1" applyNumberFormat="1">
      <alignment horizontal="center" readingOrder="0" shrinkToFit="0" vertical="center" wrapText="0"/>
    </xf>
    <xf borderId="0" fillId="196" fontId="22" numFmtId="0" xfId="0" applyAlignment="1" applyFill="1" applyFont="1">
      <alignment horizontal="center" readingOrder="0" shrinkToFit="0" vertical="center" wrapText="0"/>
    </xf>
    <xf borderId="1" fillId="108" fontId="3" numFmtId="1" xfId="0" applyAlignment="1" applyBorder="1" applyFill="1" applyFont="1" applyNumberFormat="1">
      <alignment horizontal="center" shrinkToFit="0" vertical="bottom" wrapText="0"/>
    </xf>
    <xf borderId="0" fillId="423" fontId="22" numFmtId="10" xfId="0" applyAlignment="1" applyFill="1" applyFont="1" applyNumberFormat="1">
      <alignment horizontal="center" readingOrder="0" shrinkToFit="0" vertical="center" wrapText="0"/>
    </xf>
    <xf borderId="1" fillId="424" fontId="22" numFmtId="0" xfId="0" applyAlignment="1" applyBorder="1" applyFill="1" applyFont="1">
      <alignment horizontal="center" shrinkToFit="0" vertical="bottom" wrapText="0"/>
    </xf>
    <xf borderId="1" fillId="123" fontId="22" numFmtId="10" xfId="0" applyAlignment="1" applyBorder="1" applyFill="1" applyFont="1" applyNumberFormat="1">
      <alignment horizontal="center" shrinkToFit="0" vertical="bottom" wrapText="0"/>
    </xf>
    <xf borderId="0" fillId="274" fontId="22" numFmtId="0" xfId="0" applyAlignment="1" applyFill="1" applyFont="1">
      <alignment horizontal="center" readingOrder="0" shrinkToFit="0" vertical="center" wrapText="0"/>
    </xf>
    <xf borderId="0" fillId="425" fontId="22" numFmtId="10" xfId="0" applyAlignment="1" applyFill="1" applyFont="1" applyNumberFormat="1">
      <alignment horizontal="center" readingOrder="0" shrinkToFit="0" vertical="center" wrapText="0"/>
    </xf>
    <xf borderId="0" fillId="426" fontId="22" numFmtId="0" xfId="0" applyAlignment="1" applyFill="1" applyFont="1">
      <alignment horizontal="center" readingOrder="0" shrinkToFit="0" vertical="center" wrapText="0"/>
    </xf>
    <xf borderId="0" fillId="427" fontId="22" numFmtId="10" xfId="0" applyAlignment="1" applyFill="1" applyFont="1" applyNumberFormat="1">
      <alignment horizontal="center" readingOrder="0" shrinkToFit="0" vertical="center" wrapText="0"/>
    </xf>
    <xf borderId="1" fillId="152" fontId="3" numFmtId="1" xfId="0" applyAlignment="1" applyBorder="1" applyFill="1" applyFont="1" applyNumberFormat="1">
      <alignment horizontal="center" shrinkToFit="0" vertical="bottom" wrapText="0"/>
    </xf>
    <xf borderId="1" fillId="26" fontId="22" numFmtId="10" xfId="0" applyAlignment="1" applyBorder="1" applyFill="1" applyFont="1" applyNumberFormat="1">
      <alignment horizontal="center" shrinkToFit="0" vertical="bottom" wrapText="0"/>
    </xf>
    <xf borderId="0" fillId="315" fontId="22" numFmtId="0" xfId="0" applyAlignment="1" applyFill="1" applyFont="1">
      <alignment horizontal="center" readingOrder="0" shrinkToFit="0" vertical="center" wrapText="0"/>
    </xf>
    <xf borderId="1" fillId="169" fontId="22" numFmtId="0" xfId="0" applyAlignment="1" applyBorder="1" applyFill="1" applyFont="1">
      <alignment horizontal="center" shrinkToFit="0" vertical="bottom" wrapText="0"/>
    </xf>
    <xf borderId="1" fillId="100" fontId="22" numFmtId="10" xfId="0" applyAlignment="1" applyBorder="1" applyFill="1" applyFont="1" applyNumberFormat="1">
      <alignment horizontal="center" shrinkToFit="0" vertical="bottom" wrapText="0"/>
    </xf>
    <xf borderId="0" fillId="223" fontId="22" numFmtId="0" xfId="0" applyAlignment="1" applyFill="1" applyFont="1">
      <alignment horizontal="center" readingOrder="0" shrinkToFit="0" vertical="center" wrapText="0"/>
    </xf>
    <xf borderId="0" fillId="428" fontId="22" numFmtId="10" xfId="0" applyAlignment="1" applyFill="1" applyFont="1" applyNumberFormat="1">
      <alignment horizontal="center" shrinkToFit="0" vertical="bottom" wrapText="0"/>
    </xf>
    <xf borderId="0" fillId="429" fontId="22" numFmtId="0" xfId="0" applyAlignment="1" applyFill="1" applyFont="1">
      <alignment horizontal="center" readingOrder="0" shrinkToFit="0" vertical="center" wrapText="0"/>
    </xf>
    <xf borderId="0" fillId="430" fontId="22" numFmtId="10" xfId="0" applyAlignment="1" applyFill="1" applyFont="1" applyNumberFormat="1">
      <alignment horizontal="center" readingOrder="0" shrinkToFit="0" vertical="center" wrapText="0"/>
    </xf>
    <xf borderId="0" fillId="288" fontId="22" numFmtId="0" xfId="0" applyAlignment="1" applyFill="1" applyFont="1">
      <alignment horizontal="center" readingOrder="0" shrinkToFit="0" vertical="center" wrapText="0"/>
    </xf>
    <xf borderId="0" fillId="431" fontId="22" numFmtId="10" xfId="0" applyAlignment="1" applyFill="1" applyFont="1" applyNumberFormat="1">
      <alignment horizontal="center" readingOrder="0" shrinkToFit="0" vertical="center" wrapText="0"/>
    </xf>
    <xf borderId="1" fillId="237" fontId="3" numFmtId="1" xfId="0" applyAlignment="1" applyBorder="1" applyFill="1" applyFont="1" applyNumberFormat="1">
      <alignment horizontal="center" shrinkToFit="0" vertical="bottom" wrapText="0"/>
    </xf>
    <xf borderId="1" fillId="432" fontId="22" numFmtId="10" xfId="0" applyAlignment="1" applyBorder="1" applyFill="1" applyFont="1" applyNumberFormat="1">
      <alignment horizontal="center" shrinkToFit="0" vertical="bottom" wrapText="0"/>
    </xf>
    <xf borderId="1" fillId="104" fontId="22" numFmtId="0" xfId="0" applyAlignment="1" applyBorder="1" applyFill="1" applyFont="1">
      <alignment horizontal="center" shrinkToFit="0" vertical="bottom" wrapText="0"/>
    </xf>
    <xf borderId="0" fillId="433" fontId="22" numFmtId="0" xfId="0" applyAlignment="1" applyFill="1" applyFont="1">
      <alignment horizontal="center" readingOrder="0" shrinkToFit="0" vertical="center" wrapText="0"/>
    </xf>
    <xf borderId="0" fillId="434" fontId="22" numFmtId="10" xfId="0" applyAlignment="1" applyFill="1" applyFont="1" applyNumberFormat="1">
      <alignment horizontal="center" readingOrder="0" shrinkToFit="0" vertical="center" wrapText="0"/>
    </xf>
    <xf borderId="0" fillId="122" fontId="22" numFmtId="165" xfId="0" applyAlignment="1" applyFill="1" applyFont="1" applyNumberFormat="1">
      <alignment horizontal="center" readingOrder="0" shrinkToFit="0" vertical="center" wrapText="0"/>
    </xf>
    <xf borderId="0" fillId="435" fontId="22" numFmtId="10" xfId="0" applyAlignment="1" applyFill="1" applyFont="1" applyNumberFormat="1">
      <alignment horizontal="center" readingOrder="0" shrinkToFit="0" vertical="center" wrapText="0"/>
    </xf>
    <xf borderId="0" fillId="209" fontId="22" numFmtId="164" xfId="0" applyAlignment="1" applyFill="1" applyFont="1" applyNumberFormat="1">
      <alignment horizontal="center" readingOrder="0" shrinkToFit="0" vertical="center" wrapText="0"/>
    </xf>
    <xf borderId="0" fillId="436" fontId="22" numFmtId="10" xfId="0" applyAlignment="1" applyFill="1" applyFont="1" applyNumberFormat="1">
      <alignment horizontal="center" readingOrder="0" shrinkToFit="0" vertical="center" wrapText="0"/>
    </xf>
    <xf borderId="1" fillId="3" fontId="3" numFmtId="1" xfId="0" applyAlignment="1" applyBorder="1" applyFill="1" applyFont="1" applyNumberFormat="1">
      <alignment horizontal="center" shrinkToFit="0" vertical="bottom" wrapText="0"/>
    </xf>
    <xf borderId="1" fillId="176" fontId="22" numFmtId="10" xfId="0" applyAlignment="1" applyBorder="1" applyFill="1" applyFont="1" applyNumberFormat="1">
      <alignment horizontal="center" shrinkToFit="0" vertical="bottom" wrapText="0"/>
    </xf>
    <xf borderId="1" fillId="221" fontId="22" numFmtId="0" xfId="0" applyAlignment="1" applyBorder="1" applyFill="1" applyFont="1">
      <alignment horizontal="center" shrinkToFit="0" vertical="bottom" wrapText="0"/>
    </xf>
    <xf borderId="1" fillId="336" fontId="22" numFmtId="10" xfId="0" applyAlignment="1" applyBorder="1" applyFill="1" applyFont="1" applyNumberFormat="1">
      <alignment horizontal="center" shrinkToFit="0" vertical="bottom" wrapText="0"/>
    </xf>
    <xf borderId="0" fillId="160" fontId="22" numFmtId="0" xfId="0" applyAlignment="1" applyFill="1" applyFont="1">
      <alignment horizontal="center" readingOrder="0" shrinkToFit="0" vertical="center" wrapText="0"/>
    </xf>
    <xf borderId="0" fillId="437" fontId="22" numFmtId="10" xfId="0" applyAlignment="1" applyFill="1" applyFont="1" applyNumberFormat="1">
      <alignment horizontal="center" readingOrder="0" shrinkToFit="0" vertical="center" wrapText="0"/>
    </xf>
    <xf borderId="0" fillId="438" fontId="22" numFmtId="10" xfId="0" applyAlignment="1" applyFill="1" applyFont="1" applyNumberFormat="1">
      <alignment horizontal="center" shrinkToFit="0" vertical="bottom" wrapText="0"/>
    </xf>
    <xf borderId="0" fillId="439" fontId="22" numFmtId="0" xfId="0" applyAlignment="1" applyFill="1" applyFont="1">
      <alignment horizontal="center" readingOrder="0" shrinkToFit="0" vertical="center" wrapText="0"/>
    </xf>
    <xf borderId="1" fillId="14" fontId="3" numFmtId="1" xfId="0" applyAlignment="1" applyBorder="1" applyFill="1" applyFont="1" applyNumberFormat="1">
      <alignment horizontal="center" shrinkToFit="0" vertical="bottom" wrapText="0"/>
    </xf>
    <xf borderId="0" fillId="440" fontId="22" numFmtId="10" xfId="0" applyAlignment="1" applyFill="1" applyFont="1" applyNumberFormat="1">
      <alignment horizontal="center" readingOrder="0" shrinkToFit="0" vertical="center" wrapText="0"/>
    </xf>
    <xf borderId="1" fillId="441" fontId="3" numFmtId="10" xfId="0" applyAlignment="1" applyBorder="1" applyFill="1" applyFont="1" applyNumberFormat="1">
      <alignment horizontal="center" shrinkToFit="0" vertical="bottom" wrapText="0"/>
    </xf>
    <xf borderId="0" fillId="224" fontId="22" numFmtId="0" xfId="0" applyAlignment="1" applyFill="1" applyFont="1">
      <alignment horizontal="center" readingOrder="0" shrinkToFit="0" vertical="center" wrapText="0"/>
    </xf>
    <xf borderId="0" fillId="421" fontId="22" numFmtId="10" xfId="0" applyAlignment="1" applyFill="1" applyFont="1" applyNumberFormat="1">
      <alignment horizontal="center" shrinkToFit="0" vertical="bottom" wrapText="0"/>
    </xf>
    <xf borderId="1" fillId="171" fontId="22" numFmtId="10" xfId="0" applyAlignment="1" applyBorder="1" applyFill="1" applyFont="1" applyNumberFormat="1">
      <alignment horizontal="center" shrinkToFit="0" vertical="bottom" wrapText="0"/>
    </xf>
    <xf borderId="0" fillId="442" fontId="22" numFmtId="10" xfId="0" applyAlignment="1" applyFill="1" applyFont="1" applyNumberFormat="1">
      <alignment horizontal="center" readingOrder="0" shrinkToFit="0" vertical="center" wrapText="0"/>
    </xf>
    <xf borderId="0" fillId="443" fontId="22" numFmtId="0" xfId="0" applyAlignment="1" applyFill="1" applyFont="1">
      <alignment horizontal="center" readingOrder="0" shrinkToFit="0" vertical="center" wrapText="0"/>
    </xf>
    <xf borderId="1" fillId="444" fontId="22" numFmtId="0" xfId="0" applyAlignment="1" applyBorder="1" applyFill="1" applyFont="1">
      <alignment horizontal="center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1" fillId="298" fontId="3" numFmtId="1" xfId="0" applyAlignment="1" applyBorder="1" applyFill="1" applyFont="1" applyNumberFormat="1">
      <alignment horizontal="center" shrinkToFit="0" vertical="bottom" wrapText="0"/>
    </xf>
    <xf borderId="0" fillId="445" fontId="22" numFmtId="10" xfId="0" applyAlignment="1" applyFill="1" applyFont="1" applyNumberFormat="1">
      <alignment horizontal="center" readingOrder="0" shrinkToFit="0" vertical="center" wrapText="0"/>
    </xf>
    <xf borderId="1" fillId="446" fontId="22" numFmtId="0" xfId="0" applyAlignment="1" applyBorder="1" applyFill="1" applyFont="1">
      <alignment horizontal="center" shrinkToFit="0" vertical="bottom" wrapText="0"/>
    </xf>
    <xf borderId="1" fillId="214" fontId="22" numFmtId="10" xfId="0" applyAlignment="1" applyBorder="1" applyFill="1" applyFont="1" applyNumberFormat="1">
      <alignment horizontal="center" shrinkToFit="0" vertical="bottom" wrapText="0"/>
    </xf>
    <xf borderId="0" fillId="447" fontId="22" numFmtId="164" xfId="0" applyAlignment="1" applyFill="1" applyFont="1" applyNumberFormat="1">
      <alignment horizontal="center" readingOrder="0" shrinkToFit="0" vertical="center" wrapText="0"/>
    </xf>
    <xf borderId="0" fillId="448" fontId="22" numFmtId="10" xfId="0" applyAlignment="1" applyFill="1" applyFont="1" applyNumberFormat="1">
      <alignment horizontal="center" readingOrder="0" shrinkToFit="0" vertical="center" wrapText="0"/>
    </xf>
    <xf borderId="1" fillId="35" fontId="3" numFmtId="10" xfId="0" applyAlignment="1" applyBorder="1" applyFill="1" applyFont="1" applyNumberFormat="1">
      <alignment horizontal="center" shrinkToFit="0" vertical="bottom" wrapText="0"/>
    </xf>
    <xf borderId="1" fillId="26" fontId="3" numFmtId="1" xfId="0" applyAlignment="1" applyBorder="1" applyFill="1" applyFont="1" applyNumberFormat="1">
      <alignment horizontal="center" shrinkToFit="0" vertical="bottom" wrapText="0"/>
    </xf>
    <xf borderId="0" fillId="169" fontId="22" numFmtId="0" xfId="0" applyAlignment="1" applyFill="1" applyFont="1">
      <alignment horizontal="center" readingOrder="0" shrinkToFit="0" vertical="center" wrapText="0"/>
    </xf>
    <xf borderId="1" fillId="432" fontId="22" numFmtId="0" xfId="0" applyAlignment="1" applyBorder="1" applyFill="1" applyFont="1">
      <alignment horizontal="center" shrinkToFit="0" vertical="bottom" wrapText="0"/>
    </xf>
    <xf borderId="0" fillId="449" fontId="22" numFmtId="0" xfId="0" applyAlignment="1" applyFill="1" applyFont="1">
      <alignment horizontal="center" readingOrder="0" shrinkToFit="0" vertical="center" wrapText="0"/>
    </xf>
    <xf borderId="1" fillId="21" fontId="22" numFmtId="0" xfId="0" applyAlignment="1" applyBorder="1" applyFill="1" applyFont="1">
      <alignment horizontal="center" shrinkToFit="0" vertical="bottom" wrapText="0"/>
    </xf>
    <xf borderId="0" fillId="183" fontId="22" numFmtId="165" xfId="0" applyAlignment="1" applyFill="1" applyFont="1" applyNumberFormat="1">
      <alignment horizontal="center" readingOrder="0" shrinkToFit="0" vertical="center" wrapText="0"/>
    </xf>
    <xf borderId="0" fillId="65" fontId="22" numFmtId="164" xfId="0" applyAlignment="1" applyFill="1" applyFont="1" applyNumberFormat="1">
      <alignment horizontal="center" readingOrder="0" shrinkToFit="0" vertical="center" wrapText="0"/>
    </xf>
    <xf borderId="1" fillId="450" fontId="3" numFmtId="10" xfId="0" applyAlignment="1" applyBorder="1" applyFill="1" applyFont="1" applyNumberFormat="1">
      <alignment horizontal="center" shrinkToFit="0" vertical="bottom" wrapText="0"/>
    </xf>
    <xf borderId="1" fillId="34" fontId="22" numFmtId="0" xfId="0" applyAlignment="1" applyBorder="1" applyFill="1" applyFont="1">
      <alignment horizontal="center" shrinkToFit="0" vertical="bottom" wrapText="0"/>
    </xf>
    <xf borderId="1" fillId="147" fontId="3" numFmtId="1" xfId="0" applyAlignment="1" applyBorder="1" applyFill="1" applyFont="1" applyNumberFormat="1">
      <alignment horizontal="center" shrinkToFit="0" vertical="bottom" wrapText="0"/>
    </xf>
    <xf borderId="0" fillId="451" fontId="22" numFmtId="10" xfId="0" applyAlignment="1" applyFill="1" applyFont="1" applyNumberFormat="1">
      <alignment horizontal="center" readingOrder="0" shrinkToFit="0" vertical="center" wrapText="0"/>
    </xf>
    <xf borderId="0" fillId="260" fontId="22" numFmtId="0" xfId="0" applyAlignment="1" applyFill="1" applyFont="1">
      <alignment horizontal="center" readingOrder="0" shrinkToFit="0" vertical="center" wrapText="0"/>
    </xf>
    <xf borderId="1" fillId="87" fontId="22" numFmtId="0" xfId="0" applyAlignment="1" applyBorder="1" applyFill="1" applyFont="1">
      <alignment horizontal="center" shrinkToFit="0" vertical="bottom" wrapText="0"/>
    </xf>
    <xf borderId="1" fillId="109" fontId="22" numFmtId="10" xfId="0" applyAlignment="1" applyBorder="1" applyFill="1" applyFont="1" applyNumberFormat="1">
      <alignment horizontal="center" shrinkToFit="0" vertical="bottom" wrapText="0"/>
    </xf>
    <xf borderId="1" fillId="304" fontId="3" numFmtId="10" xfId="0" applyAlignment="1" applyBorder="1" applyFill="1" applyFont="1" applyNumberFormat="1">
      <alignment horizontal="center" shrinkToFit="0" vertical="bottom" wrapText="0"/>
    </xf>
    <xf borderId="0" fillId="58" fontId="22" numFmtId="0" xfId="0" applyAlignment="1" applyFill="1" applyFont="1">
      <alignment horizontal="center" readingOrder="0" shrinkToFit="0" vertical="center" wrapText="0"/>
    </xf>
    <xf borderId="1" fillId="0" fontId="5" numFmtId="9" xfId="0" applyAlignment="1" applyBorder="1" applyFont="1" applyNumberFormat="1">
      <alignment horizontal="center" readingOrder="0" shrinkToFit="0" vertical="center" wrapText="0"/>
    </xf>
    <xf borderId="1" fillId="131" fontId="3" numFmtId="1" xfId="0" applyAlignment="1" applyBorder="1" applyFill="1" applyFont="1" applyNumberFormat="1">
      <alignment horizontal="center" shrinkToFit="0" vertical="bottom" wrapText="0"/>
    </xf>
    <xf borderId="0" fillId="235" fontId="22" numFmtId="0" xfId="0" applyAlignment="1" applyFill="1" applyFont="1">
      <alignment horizontal="center" readingOrder="0" shrinkToFit="0" vertical="center" wrapText="0"/>
    </xf>
    <xf borderId="0" fillId="6" fontId="11" numFmtId="49" xfId="0" applyAlignment="1" applyFill="1" applyFont="1" applyNumberFormat="1">
      <alignment horizontal="center" shrinkToFit="0" vertical="bottom" wrapText="0"/>
    </xf>
    <xf borderId="0" fillId="452" fontId="22" numFmtId="0" xfId="0" applyAlignment="1" applyFill="1" applyFont="1">
      <alignment horizontal="center" readingOrder="0" shrinkToFit="0" vertical="center" wrapText="0"/>
    </xf>
    <xf borderId="0" fillId="0" fontId="5" numFmtId="10" xfId="0" applyAlignment="1" applyFont="1" applyNumberFormat="1">
      <alignment horizontal="center" readingOrder="0" shrinkToFit="0" vertical="center" wrapText="0"/>
    </xf>
    <xf borderId="1" fillId="0" fontId="23" numFmtId="0" xfId="0" applyAlignment="1" applyBorder="1" applyFont="1">
      <alignment horizontal="center" shrinkToFit="0" vertical="bottom" wrapText="0"/>
    </xf>
    <xf borderId="0" fillId="415" fontId="22" numFmtId="10" xfId="0" applyAlignment="1" applyFill="1" applyFont="1" applyNumberFormat="1">
      <alignment horizontal="center" shrinkToFit="0" vertical="bottom" wrapText="0"/>
    </xf>
    <xf borderId="1" fillId="0" fontId="23" numFmtId="49" xfId="0" applyAlignment="1" applyBorder="1" applyFont="1" applyNumberFormat="1">
      <alignment horizontal="center" shrinkToFit="0" vertical="bottom" wrapText="0"/>
    </xf>
    <xf borderId="0" fillId="453" fontId="22" numFmtId="10" xfId="0" applyAlignment="1" applyFill="1" applyFont="1" applyNumberFormat="1">
      <alignment horizontal="center" readingOrder="0" shrinkToFit="0" vertical="center" wrapText="0"/>
    </xf>
    <xf borderId="0" fillId="147" fontId="22" numFmtId="0" xfId="0" applyAlignment="1" applyFill="1" applyFont="1">
      <alignment horizontal="center" readingOrder="0" shrinkToFit="0" vertical="center" wrapText="0"/>
    </xf>
    <xf borderId="1" fillId="454" fontId="3" numFmtId="10" xfId="0" applyAlignment="1" applyBorder="1" applyFill="1" applyFont="1" applyNumberFormat="1">
      <alignment horizontal="center" shrinkToFit="0" vertical="bottom" wrapText="0"/>
    </xf>
    <xf borderId="0" fillId="455" fontId="22" numFmtId="10" xfId="0" applyAlignment="1" applyFill="1" applyFont="1" applyNumberFormat="1">
      <alignment horizontal="center" readingOrder="0" shrinkToFit="0" vertical="center" wrapText="0"/>
    </xf>
    <xf borderId="1" fillId="102" fontId="3" numFmtId="1" xfId="0" applyAlignment="1" applyBorder="1" applyFill="1" applyFont="1" applyNumberFormat="1">
      <alignment horizontal="center" shrinkToFit="0" vertical="bottom" wrapText="0"/>
    </xf>
    <xf borderId="1" fillId="0" fontId="26" numFmtId="0" xfId="0" applyAlignment="1" applyBorder="1" applyFont="1">
      <alignment horizontal="center" shrinkToFit="0" vertical="bottom" wrapText="0"/>
    </xf>
    <xf borderId="0" fillId="203" fontId="22" numFmtId="0" xfId="0" applyAlignment="1" applyFill="1" applyFont="1">
      <alignment horizontal="center" readingOrder="0" shrinkToFit="0" vertical="center" wrapText="0"/>
    </xf>
    <xf borderId="0" fillId="456" fontId="22" numFmtId="10" xfId="0" applyAlignment="1" applyFill="1" applyFont="1" applyNumberFormat="1">
      <alignment horizontal="center" readingOrder="0" shrinkToFit="0" vertical="center" wrapText="0"/>
    </xf>
    <xf borderId="1" fillId="379" fontId="3" numFmtId="10" xfId="0" applyAlignment="1" applyBorder="1" applyFill="1" applyFont="1" applyNumberFormat="1">
      <alignment horizontal="center" shrinkToFit="0" vertical="bottom" wrapText="0"/>
    </xf>
    <xf borderId="0" fillId="222" fontId="22" numFmtId="0" xfId="0" applyAlignment="1" applyFill="1" applyFont="1">
      <alignment horizontal="center" readingOrder="0" shrinkToFit="0" vertical="center" wrapText="0"/>
    </xf>
    <xf borderId="0" fillId="105" fontId="22" numFmtId="0" xfId="0" applyAlignment="1" applyFill="1" applyFont="1">
      <alignment horizontal="center" readingOrder="0" shrinkToFit="0" vertical="center" wrapText="0"/>
    </xf>
    <xf borderId="0" fillId="456" fontId="22" numFmtId="10" xfId="0" applyAlignment="1" applyFill="1" applyFont="1" applyNumberFormat="1">
      <alignment horizontal="center" shrinkToFit="0" vertical="bottom" wrapText="0"/>
    </xf>
    <xf borderId="1" fillId="97" fontId="3" numFmtId="1" xfId="0" applyAlignment="1" applyBorder="1" applyFill="1" applyFont="1" applyNumberFormat="1">
      <alignment horizontal="center" shrinkToFit="0" vertical="bottom" wrapText="0"/>
    </xf>
    <xf borderId="0" fillId="457" fontId="22" numFmtId="0" xfId="0" applyAlignment="1" applyFill="1" applyFont="1">
      <alignment horizontal="center" readingOrder="0" shrinkToFit="0" vertical="center" wrapText="0"/>
    </xf>
    <xf borderId="0" fillId="458" fontId="22" numFmtId="10" xfId="0" applyAlignment="1" applyFill="1" applyFont="1" applyNumberFormat="1">
      <alignment horizontal="center" readingOrder="0" shrinkToFit="0" vertical="center" wrapText="0"/>
    </xf>
    <xf borderId="0" fillId="459" fontId="22" numFmtId="0" xfId="0" applyAlignment="1" applyFill="1" applyFont="1">
      <alignment horizontal="center" readingOrder="0" shrinkToFit="0" vertical="center" wrapText="0"/>
    </xf>
    <xf borderId="0" fillId="460" fontId="22" numFmtId="0" xfId="0" applyAlignment="1" applyFill="1" applyFont="1">
      <alignment horizontal="center" readingOrder="0" shrinkToFit="0" vertical="center" wrapText="0"/>
    </xf>
    <xf borderId="1" fillId="461" fontId="3" numFmtId="10" xfId="0" applyAlignment="1" applyBorder="1" applyFill="1" applyFont="1" applyNumberFormat="1">
      <alignment horizontal="center" shrinkToFit="0" vertical="bottom" wrapText="0"/>
    </xf>
    <xf borderId="0" fillId="462" fontId="22" numFmtId="0" xfId="0" applyAlignment="1" applyFill="1" applyFont="1">
      <alignment horizontal="center" readingOrder="0" shrinkToFit="0" vertical="center" wrapText="0"/>
    </xf>
    <xf borderId="0" fillId="463" fontId="22" numFmtId="10" xfId="0" applyAlignment="1" applyFill="1" applyFont="1" applyNumberFormat="1">
      <alignment horizontal="center" readingOrder="0" shrinkToFit="0" vertical="center" wrapText="0"/>
    </xf>
    <xf borderId="10" fillId="0" fontId="22" numFmtId="0" xfId="0" applyAlignment="1" applyBorder="1" applyFont="1">
      <alignment horizontal="center" readingOrder="0" shrinkToFit="0" vertical="center" wrapText="0"/>
    </xf>
    <xf borderId="0" fillId="3" fontId="22" numFmtId="0" xfId="0" applyAlignment="1" applyFill="1" applyFont="1">
      <alignment horizontal="center" readingOrder="0" shrinkToFit="0" vertical="center" wrapText="0"/>
    </xf>
    <xf borderId="0" fillId="464" fontId="22" numFmtId="10" xfId="0" applyAlignment="1" applyFill="1" applyFont="1" applyNumberFormat="1">
      <alignment horizontal="center" readingOrder="0" shrinkToFit="0" vertical="center" wrapText="0"/>
    </xf>
    <xf borderId="0" fillId="302" fontId="22" numFmtId="0" xfId="0" applyAlignment="1" applyFill="1" applyFont="1">
      <alignment horizontal="center" readingOrder="0" shrinkToFit="0" vertical="center" wrapText="0"/>
    </xf>
    <xf borderId="1" fillId="26" fontId="3" numFmtId="10" xfId="0" applyAlignment="1" applyBorder="1" applyFill="1" applyFont="1" applyNumberFormat="1">
      <alignment horizontal="center" shrinkToFit="0" vertical="bottom" wrapText="0"/>
    </xf>
    <xf borderId="0" fillId="198" fontId="22" numFmtId="0" xfId="0" applyAlignment="1" applyFill="1" applyFont="1">
      <alignment horizontal="center" readingOrder="0" shrinkToFit="0" vertical="center" wrapText="0"/>
    </xf>
    <xf borderId="0" fillId="65" fontId="22" numFmtId="0" xfId="0" applyAlignment="1" applyFill="1" applyFont="1">
      <alignment horizontal="center" readingOrder="0" shrinkToFit="0" vertical="center" wrapText="0"/>
    </xf>
    <xf borderId="0" fillId="465" fontId="22" numFmtId="10" xfId="0" applyAlignment="1" applyFill="1" applyFont="1" applyNumberFormat="1">
      <alignment horizontal="center" readingOrder="0" shrinkToFit="0" vertical="center" wrapText="0"/>
    </xf>
    <xf borderId="1" fillId="137" fontId="3" numFmtId="1" xfId="0" applyAlignment="1" applyBorder="1" applyFill="1" applyFont="1" applyNumberFormat="1">
      <alignment horizontal="center" shrinkToFit="0" vertical="bottom" wrapText="0"/>
    </xf>
    <xf borderId="0" fillId="392" fontId="22" numFmtId="49" xfId="0" applyAlignment="1" applyFill="1" applyFont="1" applyNumberFormat="1">
      <alignment horizontal="center" shrinkToFit="0" vertical="bottom" wrapText="0"/>
    </xf>
    <xf borderId="0" fillId="384" fontId="22" numFmtId="10" xfId="0" applyAlignment="1" applyFill="1" applyFont="1" applyNumberFormat="1">
      <alignment horizontal="center" shrinkToFit="0" vertical="bottom" wrapText="0"/>
    </xf>
    <xf borderId="0" fillId="466" fontId="22" numFmtId="0" xfId="0" applyAlignment="1" applyFill="1" applyFont="1">
      <alignment horizontal="center" readingOrder="0" shrinkToFit="0" vertical="center" wrapText="0"/>
    </xf>
    <xf borderId="0" fillId="467" fontId="22" numFmtId="10" xfId="0" applyAlignment="1" applyFill="1" applyFont="1" applyNumberFormat="1">
      <alignment horizontal="center" readingOrder="0" shrinkToFit="0" vertical="center" wrapText="0"/>
    </xf>
    <xf borderId="0" fillId="468" fontId="22" numFmtId="0" xfId="0" applyAlignment="1" applyFill="1" applyFont="1">
      <alignment horizontal="center" readingOrder="0" shrinkToFit="0" vertical="center" wrapText="0"/>
    </xf>
    <xf borderId="1" fillId="310" fontId="3" numFmtId="1" xfId="0" applyAlignment="1" applyBorder="1" applyFill="1" applyFont="1" applyNumberFormat="1">
      <alignment horizontal="center" shrinkToFit="0" vertical="bottom" wrapText="0"/>
    </xf>
    <xf borderId="0" fillId="469" fontId="22" numFmtId="49" xfId="0" applyAlignment="1" applyFill="1" applyFont="1" applyNumberFormat="1">
      <alignment horizontal="center" shrinkToFit="0" vertical="bottom" wrapText="0"/>
    </xf>
    <xf borderId="1" fillId="470" fontId="3" numFmtId="10" xfId="0" applyAlignment="1" applyBorder="1" applyFill="1" applyFont="1" applyNumberFormat="1">
      <alignment horizontal="center" shrinkToFit="0" vertical="bottom" wrapText="0"/>
    </xf>
    <xf borderId="0" fillId="101" fontId="22" numFmtId="0" xfId="0" applyAlignment="1" applyFill="1" applyFont="1">
      <alignment horizontal="center" readingOrder="0" shrinkToFit="0" vertical="center" wrapText="0"/>
    </xf>
    <xf borderId="0" fillId="365" fontId="22" numFmtId="0" xfId="0" applyAlignment="1" applyFill="1" applyFont="1">
      <alignment horizontal="center" readingOrder="0" shrinkToFit="0" vertical="center" wrapText="0"/>
    </xf>
    <xf borderId="0" fillId="397" fontId="22" numFmtId="10" xfId="0" applyAlignment="1" applyFill="1" applyFont="1" applyNumberFormat="1">
      <alignment horizontal="center" shrinkToFit="0" vertical="bottom" wrapText="0"/>
    </xf>
    <xf borderId="0" fillId="173" fontId="22" numFmtId="0" xfId="0" applyAlignment="1" applyFill="1" applyFont="1">
      <alignment horizontal="center" readingOrder="0" shrinkToFit="0" vertical="center" wrapText="0"/>
    </xf>
    <xf borderId="0" fillId="374" fontId="22" numFmtId="10" xfId="0" applyAlignment="1" applyFill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bottom" wrapText="0"/>
    </xf>
    <xf borderId="1" fillId="471" fontId="3" numFmtId="1" xfId="0" applyAlignment="1" applyBorder="1" applyFill="1" applyFont="1" applyNumberFormat="1">
      <alignment horizontal="center" shrinkToFit="0" vertical="bottom" wrapText="0"/>
    </xf>
    <xf borderId="0" fillId="47" fontId="22" numFmtId="0" xfId="0" applyAlignment="1" applyFill="1" applyFont="1">
      <alignment horizontal="center" readingOrder="0" shrinkToFit="0" vertical="center" wrapText="0"/>
    </xf>
    <xf borderId="0" fillId="472" fontId="22" numFmtId="10" xfId="0" applyAlignment="1" applyFill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right" readingOrder="0" shrinkToFit="0" vertical="bottom" wrapText="0"/>
    </xf>
    <xf borderId="0" fillId="295" fontId="22" numFmtId="0" xfId="0" applyAlignment="1" applyFill="1" applyFont="1">
      <alignment horizontal="center" readingOrder="0" shrinkToFit="0" vertical="center" wrapText="0"/>
    </xf>
    <xf borderId="0" fillId="469" fontId="22" numFmtId="10" xfId="0" applyAlignment="1" applyFill="1" applyFont="1" applyNumberFormat="1">
      <alignment horizontal="center" readingOrder="0" shrinkToFit="0" vertical="center" wrapText="0"/>
    </xf>
    <xf borderId="1" fillId="3" fontId="27" numFmtId="0" xfId="0" applyAlignment="1" applyBorder="1" applyFill="1" applyFont="1">
      <alignment horizontal="right" shrinkToFit="0" vertical="center" wrapText="0"/>
    </xf>
    <xf borderId="0" fillId="465" fontId="22" numFmtId="49" xfId="0" applyAlignment="1" applyFill="1" applyFont="1" applyNumberForma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center" wrapText="0"/>
    </xf>
    <xf borderId="1" fillId="0" fontId="13" numFmtId="1" xfId="0" applyAlignment="1" applyBorder="1" applyFont="1" applyNumberFormat="1">
      <alignment horizontal="center" readingOrder="0" shrinkToFit="0" vertical="bottom" wrapText="0"/>
    </xf>
    <xf borderId="0" fillId="159" fontId="22" numFmtId="0" xfId="0" applyAlignment="1" applyFill="1" applyFont="1">
      <alignment horizontal="center" readingOrder="0" shrinkToFit="0" vertical="center" wrapText="0"/>
    </xf>
    <xf borderId="0" fillId="473" fontId="22" numFmtId="0" xfId="0" applyAlignment="1" applyFill="1" applyFont="1">
      <alignment horizontal="center" readingOrder="0" shrinkToFit="0" vertical="center" wrapText="0"/>
    </xf>
    <xf borderId="1" fillId="44" fontId="27" numFmtId="0" xfId="0" applyAlignment="1" applyBorder="1" applyFill="1" applyFont="1">
      <alignment horizontal="right" shrinkToFit="0" vertical="center" wrapText="0"/>
    </xf>
    <xf borderId="0" fillId="402" fontId="22" numFmtId="49" xfId="0" applyAlignment="1" applyFill="1" applyFont="1" applyNumberFormat="1">
      <alignment horizontal="center" shrinkToFit="0" vertical="bottom" wrapText="0"/>
    </xf>
    <xf borderId="0" fillId="402" fontId="22" numFmtId="10" xfId="0" applyAlignment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0" xfId="0" applyAlignment="1" applyFont="1" applyNumberFormat="1">
      <alignment shrinkToFit="0" vertical="center" wrapText="0"/>
    </xf>
    <xf borderId="1" fillId="144" fontId="3" numFmtId="1" xfId="0" applyAlignment="1" applyBorder="1" applyFill="1" applyFont="1" applyNumberFormat="1">
      <alignment horizontal="center" shrinkToFit="0" vertical="bottom" wrapText="0"/>
    </xf>
    <xf borderId="1" fillId="41" fontId="3" numFmtId="10" xfId="0" applyAlignment="1" applyBorder="1" applyFill="1" applyFont="1" applyNumberFormat="1">
      <alignment horizontal="center" shrinkToFit="0" vertical="bottom" wrapText="0"/>
    </xf>
    <xf borderId="0" fillId="438" fontId="22" numFmtId="10" xfId="0" applyAlignment="1" applyFill="1" applyFont="1" applyNumberFormat="1">
      <alignment horizontal="center" readingOrder="0" shrinkToFit="0" vertical="center" wrapText="0"/>
    </xf>
    <xf borderId="0" fillId="50" fontId="22" numFmtId="0" xfId="0" applyAlignment="1" applyFill="1" applyFont="1">
      <alignment horizontal="center" readingOrder="0" shrinkToFit="0" vertical="center" wrapText="0"/>
    </xf>
    <xf borderId="0" fillId="374" fontId="22" numFmtId="49" xfId="0" applyAlignment="1" applyFill="1" applyFont="1" applyNumberFormat="1">
      <alignment horizontal="center" shrinkToFit="0" vertical="bottom" wrapText="0"/>
    </xf>
    <xf borderId="0" fillId="137" fontId="22" numFmtId="0" xfId="0" applyAlignment="1" applyFill="1" applyFont="1">
      <alignment horizontal="center" readingOrder="0" shrinkToFit="0" vertical="center" wrapText="0"/>
    </xf>
    <xf borderId="1" fillId="19" fontId="3" numFmtId="10" xfId="0" applyAlignment="1" applyBorder="1" applyFill="1" applyFont="1" applyNumberFormat="1">
      <alignment horizontal="center" shrinkToFit="0" vertical="bottom" wrapText="0"/>
    </xf>
    <xf borderId="0" fillId="474" fontId="22" numFmtId="0" xfId="0" applyAlignment="1" applyFill="1" applyFont="1">
      <alignment horizontal="center" readingOrder="0" shrinkToFit="0" vertical="center" wrapText="0"/>
    </xf>
    <xf borderId="0" fillId="91" fontId="22" numFmtId="0" xfId="0" applyAlignment="1" applyFill="1" applyFont="1">
      <alignment horizontal="center" readingOrder="0" shrinkToFit="0" vertical="center" wrapText="0"/>
    </xf>
    <xf borderId="0" fillId="475" fontId="22" numFmtId="10" xfId="0" applyAlignment="1" applyFill="1" applyFont="1" applyNumberFormat="1">
      <alignment horizontal="center" readingOrder="0" shrinkToFit="0" vertical="center" wrapText="0"/>
    </xf>
    <xf borderId="0" fillId="9" fontId="22" numFmtId="0" xfId="0" applyAlignment="1" applyFill="1" applyFont="1">
      <alignment horizontal="center" readingOrder="0" shrinkToFit="0" vertical="center" wrapText="0"/>
    </xf>
    <xf borderId="0" fillId="476" fontId="22" numFmtId="0" xfId="0" applyAlignment="1" applyFill="1" applyFont="1">
      <alignment horizontal="center" readingOrder="0" shrinkToFit="0" vertical="center" wrapText="0"/>
    </xf>
    <xf borderId="1" fillId="288" fontId="3" numFmtId="1" xfId="0" applyAlignment="1" applyBorder="1" applyFill="1" applyFont="1" applyNumberFormat="1">
      <alignment horizontal="center" shrinkToFit="0" vertical="bottom" wrapText="0"/>
    </xf>
    <xf borderId="0" fillId="163" fontId="22" numFmtId="0" xfId="0" applyAlignment="1" applyFill="1" applyFont="1">
      <alignment horizontal="center" readingOrder="0" shrinkToFit="0" vertical="center" wrapText="0"/>
    </xf>
    <xf borderId="0" fillId="477" fontId="22" numFmtId="0" xfId="0" applyAlignment="1" applyFill="1" applyFont="1">
      <alignment horizontal="center" readingOrder="0" shrinkToFit="0" vertical="center" wrapText="0"/>
    </xf>
    <xf borderId="1" fillId="0" fontId="23" numFmtId="166" xfId="0" applyAlignment="1" applyBorder="1" applyFont="1" applyNumberFormat="1">
      <alignment horizontal="center" shrinkToFit="0" vertical="bottom" wrapText="0"/>
    </xf>
    <xf borderId="0" fillId="370" fontId="22" numFmtId="10" xfId="0" applyAlignment="1" applyFill="1" applyFont="1" applyNumberFormat="1">
      <alignment horizontal="center" readingOrder="0" shrinkToFit="0" vertical="center" wrapText="0"/>
    </xf>
    <xf borderId="0" fillId="478" fontId="22" numFmtId="49" xfId="0" applyAlignment="1" applyFill="1" applyFont="1" applyNumberFormat="1">
      <alignment horizontal="center" shrinkToFit="0" vertical="bottom" wrapText="0"/>
    </xf>
    <xf borderId="1" fillId="128" fontId="3" numFmtId="1" xfId="0" applyAlignment="1" applyBorder="1" applyFill="1" applyFont="1" applyNumberFormat="1">
      <alignment horizontal="center" shrinkToFit="0" vertical="bottom" wrapText="0"/>
    </xf>
    <xf borderId="0" fillId="479" fontId="22" numFmtId="0" xfId="0" applyAlignment="1" applyFill="1" applyFont="1">
      <alignment horizontal="center" readingOrder="0" shrinkToFit="0" vertical="center" wrapText="0"/>
    </xf>
    <xf borderId="0" fillId="145" fontId="22" numFmtId="0" xfId="0" applyAlignment="1" applyFill="1" applyFont="1">
      <alignment horizontal="center" readingOrder="0" shrinkToFit="0" vertical="center" wrapText="0"/>
    </xf>
    <xf borderId="0" fillId="480" fontId="22" numFmtId="10" xfId="0" applyAlignment="1" applyFill="1" applyFont="1" applyNumberFormat="1">
      <alignment horizontal="center" readingOrder="0" shrinkToFit="0" vertical="center" wrapText="0"/>
    </xf>
    <xf borderId="1" fillId="145" fontId="3" numFmtId="10" xfId="0" applyAlignment="1" applyBorder="1" applyFill="1" applyFont="1" applyNumberFormat="1">
      <alignment horizontal="center" shrinkToFit="0" vertical="bottom" wrapText="0"/>
    </xf>
    <xf borderId="0" fillId="466" fontId="22" numFmtId="0" xfId="0" applyAlignment="1" applyFill="1" applyFont="1">
      <alignment horizontal="center" readingOrder="0" shrinkToFit="0" vertical="center" wrapText="0"/>
    </xf>
    <xf borderId="1" fillId="164" fontId="3" numFmtId="1" xfId="0" applyAlignment="1" applyBorder="1" applyFill="1" applyFont="1" applyNumberFormat="1">
      <alignment horizontal="center" shrinkToFit="0" vertical="bottom" wrapText="0"/>
    </xf>
    <xf borderId="0" fillId="317" fontId="22" numFmtId="0" xfId="0" applyAlignment="1" applyFill="1" applyFont="1">
      <alignment horizontal="center" readingOrder="0" shrinkToFit="0" vertical="center" wrapText="0"/>
    </xf>
    <xf borderId="0" fillId="481" fontId="22" numFmtId="10" xfId="0" applyAlignment="1" applyFill="1" applyFont="1" applyNumberFormat="1">
      <alignment horizontal="center" readingOrder="0" shrinkToFit="0" vertical="center" wrapText="0"/>
    </xf>
    <xf borderId="0" fillId="406" fontId="22" numFmtId="10" xfId="0" applyAlignment="1" applyFill="1" applyFont="1" applyNumberFormat="1">
      <alignment horizontal="center" readingOrder="0" shrinkToFit="0" vertical="center" wrapText="0"/>
    </xf>
    <xf borderId="0" fillId="311" fontId="22" numFmtId="0" xfId="0" applyAlignment="1" applyFill="1" applyFont="1">
      <alignment horizontal="center" readingOrder="0" shrinkToFit="0" vertical="center" wrapText="0"/>
    </xf>
    <xf borderId="1" fillId="130" fontId="3" numFmtId="1" xfId="0" applyAlignment="1" applyBorder="1" applyFill="1" applyFont="1" applyNumberFormat="1">
      <alignment horizontal="center" shrinkToFit="0" vertical="bottom" wrapText="0"/>
    </xf>
    <xf borderId="0" fillId="482" fontId="22" numFmtId="10" xfId="0" applyAlignment="1" applyFill="1" applyFont="1" applyNumberFormat="1">
      <alignment horizontal="center" readingOrder="0" shrinkToFit="0" vertical="center" wrapText="0"/>
    </xf>
    <xf borderId="0" fillId="483" fontId="22" numFmtId="49" xfId="0" applyAlignment="1" applyFill="1" applyFont="1" applyNumberFormat="1">
      <alignment horizontal="center" shrinkToFit="0" vertical="bottom" wrapText="0"/>
    </xf>
    <xf borderId="1" fillId="484" fontId="3" numFmtId="10" xfId="0" applyAlignment="1" applyBorder="1" applyFill="1" applyFont="1" applyNumberFormat="1">
      <alignment horizontal="center" shrinkToFit="0" vertical="bottom" wrapText="0"/>
    </xf>
    <xf borderId="0" fillId="485" fontId="22" numFmtId="0" xfId="0" applyAlignment="1" applyFill="1" applyFont="1">
      <alignment horizontal="center" readingOrder="0" shrinkToFit="0" vertical="center" wrapText="0"/>
    </xf>
    <xf borderId="0" fillId="486" fontId="22" numFmtId="10" xfId="0" applyAlignment="1" applyFill="1" applyFont="1" applyNumberFormat="1">
      <alignment horizontal="center" readingOrder="0" shrinkToFit="0" vertical="center" wrapText="0"/>
    </xf>
    <xf borderId="1" fillId="316" fontId="3" numFmtId="1" xfId="0" applyAlignment="1" applyBorder="1" applyFill="1" applyFont="1" applyNumberFormat="1">
      <alignment horizontal="center" shrinkToFit="0" vertical="bottom" wrapText="0"/>
    </xf>
    <xf borderId="1" fillId="246" fontId="3" numFmtId="10" xfId="0" applyAlignment="1" applyBorder="1" applyFill="1" applyFont="1" applyNumberFormat="1">
      <alignment horizontal="center" shrinkToFit="0" vertical="bottom" wrapText="0"/>
    </xf>
    <xf borderId="0" fillId="487" fontId="22" numFmtId="0" xfId="0" applyAlignment="1" applyFill="1" applyFont="1">
      <alignment horizontal="center" readingOrder="0" shrinkToFit="0" vertical="center" wrapText="0"/>
    </xf>
    <xf borderId="0" fillId="174" fontId="22" numFmtId="0" xfId="0" applyAlignment="1" applyFill="1" applyFont="1">
      <alignment horizontal="center" readingOrder="0" shrinkToFit="0" vertical="center" wrapText="0"/>
    </xf>
    <xf borderId="0" fillId="488" fontId="22" numFmtId="49" xfId="0" applyAlignment="1" applyFill="1" applyFont="1" applyNumberFormat="1">
      <alignment horizontal="center" shrinkToFit="0" vertical="bottom" wrapText="0"/>
    </xf>
    <xf borderId="1" fillId="129" fontId="3" numFmtId="1" xfId="0" applyAlignment="1" applyBorder="1" applyFill="1" applyFont="1" applyNumberFormat="1">
      <alignment horizontal="center" shrinkToFit="0" vertical="bottom" wrapText="0"/>
    </xf>
    <xf borderId="1" fillId="232" fontId="3" numFmtId="10" xfId="0" applyAlignment="1" applyBorder="1" applyFill="1" applyFont="1" applyNumberFormat="1">
      <alignment horizontal="center" shrinkToFit="0" vertical="bottom" wrapText="0"/>
    </xf>
    <xf borderId="1" fillId="134" fontId="3" numFmtId="1" xfId="0" applyAlignment="1" applyBorder="1" applyFill="1" applyFont="1" applyNumberFormat="1">
      <alignment horizontal="center" shrinkToFit="0" vertical="bottom" wrapText="0"/>
    </xf>
    <xf borderId="0" fillId="489" fontId="22" numFmtId="0" xfId="0" applyAlignment="1" applyFill="1" applyFont="1">
      <alignment horizontal="center" readingOrder="0" shrinkToFit="0" vertical="center" wrapText="0"/>
    </xf>
    <xf borderId="0" fillId="458" fontId="22" numFmtId="49" xfId="0" applyAlignment="1" applyFill="1" applyFont="1" applyNumberFormat="1">
      <alignment horizontal="center" shrinkToFit="0" vertical="bottom" wrapText="0"/>
    </xf>
    <xf borderId="1" fillId="124" fontId="3" numFmtId="10" xfId="0" applyAlignment="1" applyBorder="1" applyFill="1" applyFont="1" applyNumberFormat="1">
      <alignment horizontal="center" shrinkToFit="0" vertical="bottom" wrapText="0"/>
    </xf>
    <xf borderId="1" fillId="157" fontId="3" numFmtId="1" xfId="0" applyAlignment="1" applyBorder="1" applyFill="1" applyFont="1" applyNumberFormat="1">
      <alignment horizontal="center" shrinkToFit="0" vertical="bottom" wrapText="0"/>
    </xf>
    <xf borderId="0" fillId="480" fontId="22" numFmtId="49" xfId="0" applyAlignment="1" applyFill="1" applyFont="1" applyNumberFormat="1">
      <alignment horizontal="center" shrinkToFit="0" vertical="bottom" wrapText="0"/>
    </xf>
    <xf borderId="0" fillId="490" fontId="22" numFmtId="0" xfId="0" applyAlignment="1" applyFill="1" applyFont="1">
      <alignment horizontal="center" readingOrder="0" shrinkToFit="0" vertical="center" wrapText="0"/>
    </xf>
    <xf borderId="1" fillId="177" fontId="3" numFmtId="1" xfId="0" applyAlignment="1" applyBorder="1" applyFill="1" applyFont="1" applyNumberFormat="1">
      <alignment horizontal="center" shrinkToFit="0" vertical="bottom" wrapText="0"/>
    </xf>
    <xf borderId="1" fillId="491" fontId="3" numFmtId="10" xfId="0" applyAlignment="1" applyBorder="1" applyFill="1" applyFont="1" applyNumberFormat="1">
      <alignment horizontal="center" shrinkToFit="0" vertical="bottom" wrapText="0"/>
    </xf>
    <xf borderId="0" fillId="56" fontId="22" numFmtId="0" xfId="0" applyAlignment="1" applyFill="1" applyFont="1">
      <alignment horizontal="center" readingOrder="0" shrinkToFit="0" vertical="center" wrapText="0"/>
    </xf>
    <xf borderId="0" fillId="492" fontId="22" numFmtId="0" xfId="0" applyAlignment="1" applyFill="1" applyFont="1">
      <alignment horizontal="center" readingOrder="0" shrinkToFit="0" vertical="center" wrapText="0"/>
    </xf>
    <xf borderId="1" fillId="493" fontId="3" numFmtId="10" xfId="0" applyAlignment="1" applyBorder="1" applyFill="1" applyFont="1" applyNumberFormat="1">
      <alignment horizontal="center" shrinkToFit="0" vertical="bottom" wrapText="0"/>
    </xf>
    <xf borderId="1" fillId="242" fontId="3" numFmtId="1" xfId="0" applyAlignment="1" applyBorder="1" applyFill="1" applyFont="1" applyNumberFormat="1">
      <alignment horizontal="center" shrinkToFit="0" vertical="bottom" wrapText="0"/>
    </xf>
    <xf borderId="0" fillId="494" fontId="22" numFmtId="10" xfId="0" applyAlignment="1" applyFill="1" applyFont="1" applyNumberFormat="1">
      <alignment horizontal="center" readingOrder="0" shrinkToFit="0" vertical="center" wrapText="0"/>
    </xf>
    <xf borderId="1" fillId="495" fontId="11" numFmtId="167" xfId="0" applyAlignment="1" applyBorder="1" applyFill="1" applyFont="1" applyNumberFormat="1">
      <alignment horizontal="center" shrinkToFit="0" vertical="bottom" wrapText="0"/>
    </xf>
    <xf borderId="1" fillId="496" fontId="3" numFmtId="10" xfId="0" applyAlignment="1" applyBorder="1" applyFill="1" applyFont="1" applyNumberFormat="1">
      <alignment horizontal="center" shrinkToFit="0" vertical="bottom" wrapText="0"/>
    </xf>
    <xf borderId="1" fillId="419" fontId="11" numFmtId="167" xfId="0" applyAlignment="1" applyBorder="1" applyFill="1" applyFont="1" applyNumberFormat="1">
      <alignment horizontal="center" shrinkToFit="0" vertical="bottom" wrapText="0"/>
    </xf>
    <xf borderId="0" fillId="204" fontId="22" numFmtId="0" xfId="0" applyAlignment="1" applyFill="1" applyFont="1">
      <alignment horizontal="center" readingOrder="0" shrinkToFit="0" vertical="center" wrapText="0"/>
    </xf>
    <xf borderId="1" fillId="398" fontId="11" numFmtId="167" xfId="0" applyAlignment="1" applyBorder="1" applyFill="1" applyFont="1" applyNumberFormat="1">
      <alignment horizontal="center" shrinkToFit="0" vertical="bottom" wrapText="0"/>
    </xf>
    <xf borderId="1" fillId="136" fontId="3" numFmtId="1" xfId="0" applyAlignment="1" applyBorder="1" applyFill="1" applyFont="1" applyNumberFormat="1">
      <alignment horizontal="center" shrinkToFit="0" vertical="bottom" wrapText="0"/>
    </xf>
    <xf borderId="0" fillId="497" fontId="22" numFmtId="0" xfId="0" applyAlignment="1" applyFill="1" applyFont="1">
      <alignment horizontal="center" readingOrder="0" shrinkToFit="0" vertical="center" wrapText="0"/>
    </xf>
    <xf borderId="1" fillId="354" fontId="11" numFmtId="167" xfId="0" applyAlignment="1" applyBorder="1" applyFill="1" applyFont="1" applyNumberFormat="1">
      <alignment horizontal="center" shrinkToFit="0" vertical="bottom" wrapText="0"/>
    </xf>
    <xf borderId="1" fillId="184" fontId="11" numFmtId="167" xfId="0" applyAlignment="1" applyBorder="1" applyFill="1" applyFont="1" applyNumberFormat="1">
      <alignment horizontal="center" shrinkToFit="0" vertical="bottom" wrapText="0"/>
    </xf>
    <xf borderId="1" fillId="89" fontId="3" numFmtId="1" xfId="0" applyAlignment="1" applyBorder="1" applyFill="1" applyFont="1" applyNumberFormat="1">
      <alignment horizontal="center" shrinkToFit="0" vertical="bottom" wrapText="0"/>
    </xf>
    <xf borderId="12" fillId="6" fontId="11" numFmtId="49" xfId="0" applyAlignment="1" applyBorder="1" applyFill="1" applyFont="1" applyNumberFormat="1">
      <alignment shrinkToFit="0" vertical="bottom" wrapText="0"/>
    </xf>
    <xf borderId="0" fillId="498" fontId="22" numFmtId="0" xfId="0" applyAlignment="1" applyFill="1" applyFont="1">
      <alignment horizontal="center" readingOrder="0" shrinkToFit="0" vertical="center" wrapText="0"/>
    </xf>
    <xf borderId="0" fillId="499" fontId="11" numFmtId="167" xfId="0" applyAlignment="1" applyFill="1" applyFont="1" applyNumberFormat="1">
      <alignment horizontal="center" shrinkToFit="0" vertical="center" wrapText="0"/>
    </xf>
    <xf borderId="0" fillId="3" fontId="11" numFmtId="0" xfId="0" applyAlignment="1" applyFill="1" applyFont="1">
      <alignment horizontal="center" shrinkToFit="0" vertical="center" wrapText="0"/>
    </xf>
    <xf borderId="0" fillId="47" fontId="11" numFmtId="167" xfId="0" applyAlignment="1" applyFill="1" applyFont="1" applyNumberFormat="1">
      <alignment horizontal="center" shrinkToFit="0" vertical="center" wrapText="0"/>
    </xf>
    <xf borderId="6" fillId="52" fontId="14" numFmtId="10" xfId="0" applyAlignment="1" applyBorder="1" applyFill="1" applyFont="1" applyNumberFormat="1">
      <alignment horizontal="center" shrinkToFit="0" vertical="bottom" wrapText="0"/>
    </xf>
    <xf borderId="1" fillId="500" fontId="11" numFmtId="167" xfId="0" applyAlignment="1" applyBorder="1" applyFill="1" applyFont="1" applyNumberFormat="1">
      <alignment horizontal="center" shrinkToFit="0" vertical="bottom" wrapText="0"/>
    </xf>
    <xf borderId="0" fillId="421" fontId="22" numFmtId="49" xfId="0" applyAlignment="1" applyFill="1" applyFont="1" applyNumberFormat="1">
      <alignment horizontal="center" shrinkToFit="0" vertical="bottom" wrapText="0"/>
    </xf>
    <xf borderId="0" fillId="501" fontId="11" numFmtId="167" xfId="0" applyAlignment="1" applyFill="1" applyFont="1" applyNumberFormat="1">
      <alignment horizontal="center" shrinkToFit="0" vertical="center" wrapText="0"/>
    </xf>
    <xf borderId="0" fillId="502" fontId="22" numFmtId="0" xfId="0" applyAlignment="1" applyFill="1" applyFont="1">
      <alignment horizontal="center" readingOrder="0" shrinkToFit="0" vertical="center" wrapText="0"/>
    </xf>
    <xf borderId="0" fillId="68" fontId="11" numFmtId="167" xfId="0" applyAlignment="1" applyFill="1" applyFont="1" applyNumberFormat="1">
      <alignment horizontal="center" shrinkToFit="0" vertical="center" wrapText="0"/>
    </xf>
    <xf borderId="0" fillId="503" fontId="22" numFmtId="10" xfId="0" applyAlignment="1" applyFill="1" applyFont="1" applyNumberFormat="1">
      <alignment horizontal="center" readingOrder="0" shrinkToFit="0" vertical="center" wrapText="0"/>
    </xf>
    <xf borderId="1" fillId="504" fontId="11" numFmtId="167" xfId="0" applyAlignment="1" applyBorder="1" applyFill="1" applyFont="1" applyNumberFormat="1">
      <alignment horizontal="center" shrinkToFit="0" vertical="bottom" wrapText="0"/>
    </xf>
    <xf borderId="0" fillId="505" fontId="11" numFmtId="167" xfId="0" applyAlignment="1" applyFill="1" applyFont="1" applyNumberFormat="1">
      <alignment horizontal="center" shrinkToFit="0" vertical="center" wrapText="0"/>
    </xf>
    <xf borderId="0" fillId="506" fontId="22" numFmtId="10" xfId="0" applyAlignment="1" applyFill="1" applyFont="1" applyNumberFormat="1">
      <alignment horizontal="center" readingOrder="0" shrinkToFit="0" vertical="center" wrapText="0"/>
    </xf>
    <xf borderId="0" fillId="428" fontId="22" numFmtId="49" xfId="0" applyAlignment="1" applyFill="1" applyFont="1" applyNumberFormat="1">
      <alignment horizontal="center" shrinkToFit="0" vertical="bottom" wrapText="0"/>
    </xf>
    <xf borderId="0" fillId="217" fontId="11" numFmtId="167" xfId="0" applyAlignment="1" applyFill="1" applyFont="1" applyNumberFormat="1">
      <alignment horizontal="center" shrinkToFit="0" vertical="center" wrapText="0"/>
    </xf>
    <xf borderId="0" fillId="507" fontId="22" numFmtId="10" xfId="0" applyAlignment="1" applyFill="1" applyFont="1" applyNumberFormat="1">
      <alignment horizontal="center" readingOrder="0" shrinkToFit="0" vertical="center" wrapText="0"/>
    </xf>
    <xf borderId="0" fillId="508" fontId="11" numFmtId="167" xfId="0" applyAlignment="1" applyFill="1" applyFont="1" applyNumberFormat="1">
      <alignment horizontal="center" shrinkToFit="0" vertical="center" wrapText="0"/>
    </xf>
    <xf borderId="1" fillId="121" fontId="3" numFmtId="1" xfId="0" applyAlignment="1" applyBorder="1" applyFill="1" applyFont="1" applyNumberFormat="1">
      <alignment horizontal="center" shrinkToFit="0" vertical="bottom" wrapText="0"/>
    </xf>
    <xf borderId="0" fillId="348" fontId="11" numFmtId="167" xfId="0" applyAlignment="1" applyFill="1" applyFont="1" applyNumberFormat="1">
      <alignment horizontal="center" shrinkToFit="0" vertical="center" wrapText="0"/>
    </xf>
    <xf borderId="1" fillId="492" fontId="11" numFmtId="167" xfId="0" applyAlignment="1" applyBorder="1" applyFill="1" applyFont="1" applyNumberFormat="1">
      <alignment horizontal="center" shrinkToFit="0" vertical="bottom" wrapText="0"/>
    </xf>
    <xf borderId="0" fillId="509" fontId="11" numFmtId="167" xfId="0" applyAlignment="1" applyFill="1" applyFont="1" applyNumberFormat="1">
      <alignment horizontal="center" shrinkToFit="0" vertical="center" wrapText="0"/>
    </xf>
    <xf borderId="0" fillId="510" fontId="22" numFmtId="10" xfId="0" applyAlignment="1" applyFill="1" applyFont="1" applyNumberFormat="1">
      <alignment horizontal="center" readingOrder="0" shrinkToFit="0" vertical="center" wrapText="0"/>
    </xf>
    <xf borderId="1" fillId="36" fontId="3" numFmtId="1" xfId="0" applyAlignment="1" applyBorder="1" applyFill="1" applyFont="1" applyNumberFormat="1">
      <alignment horizontal="center" shrinkToFit="0" vertical="bottom" wrapText="0"/>
    </xf>
    <xf borderId="1" fillId="49" fontId="14" numFmtId="10" xfId="0" applyAlignment="1" applyBorder="1" applyFill="1" applyFont="1" applyNumberFormat="1">
      <alignment horizontal="center" readingOrder="0" shrinkToFit="0" vertical="bottom" wrapText="0"/>
    </xf>
    <xf borderId="0" fillId="487" fontId="11" numFmtId="167" xfId="0" applyAlignment="1" applyFill="1" applyFont="1" applyNumberFormat="1">
      <alignment horizontal="center" shrinkToFit="0" vertical="center" wrapText="0"/>
    </xf>
    <xf borderId="0" fillId="487" fontId="22" numFmtId="0" xfId="0" applyAlignment="1" applyFill="1" applyFont="1">
      <alignment horizontal="center" readingOrder="0" shrinkToFit="0" vertical="center" wrapText="0"/>
    </xf>
    <xf borderId="0" fillId="343" fontId="11" numFmtId="167" xfId="0" applyAlignment="1" applyFill="1" applyFont="1" applyNumberFormat="1">
      <alignment horizontal="center" shrinkToFit="0" vertical="center" wrapText="0"/>
    </xf>
    <xf borderId="1" fillId="144" fontId="3" numFmtId="10" xfId="0" applyAlignment="1" applyBorder="1" applyFill="1" applyFont="1" applyNumberFormat="1">
      <alignment horizontal="center" shrinkToFit="0" vertical="bottom" wrapText="0"/>
    </xf>
    <xf borderId="1" fillId="487" fontId="11" numFmtId="167" xfId="0" applyAlignment="1" applyBorder="1" applyFill="1" applyFont="1" applyNumberFormat="1">
      <alignment horizontal="center" shrinkToFit="0" vertical="bottom" wrapText="0"/>
    </xf>
    <xf borderId="0" fillId="511" fontId="11" numFmtId="167" xfId="0" applyAlignment="1" applyFill="1" applyFont="1" applyNumberFormat="1">
      <alignment horizontal="center" shrinkToFit="0" vertical="center" wrapText="0"/>
    </xf>
    <xf borderId="0" fillId="474" fontId="11" numFmtId="167" xfId="0" applyAlignment="1" applyFill="1" applyFont="1" applyNumberFormat="1">
      <alignment horizontal="center" shrinkToFit="0" vertical="center" wrapText="0"/>
    </xf>
    <xf borderId="0" fillId="369" fontId="22" numFmtId="49" xfId="0" applyAlignment="1" applyFill="1" applyFont="1" applyNumberFormat="1">
      <alignment horizontal="center" shrinkToFit="0" vertical="bottom" wrapText="0"/>
    </xf>
    <xf borderId="0" fillId="512" fontId="11" numFmtId="167" xfId="0" applyAlignment="1" applyFill="1" applyFont="1" applyNumberFormat="1">
      <alignment horizontal="center" shrinkToFit="0" vertical="center" wrapText="0"/>
    </xf>
    <xf borderId="0" fillId="483" fontId="22" numFmtId="10" xfId="0" applyAlignment="1" applyFill="1" applyFont="1" applyNumberFormat="1">
      <alignment horizontal="center" readingOrder="0" shrinkToFit="0" vertical="center" wrapText="0"/>
    </xf>
    <xf borderId="1" fillId="245" fontId="3" numFmtId="1" xfId="0" applyAlignment="1" applyBorder="1" applyFill="1" applyFont="1" applyNumberFormat="1">
      <alignment horizontal="center" shrinkToFit="0" vertical="bottom" wrapText="0"/>
    </xf>
    <xf borderId="0" fillId="70" fontId="11" numFmtId="167" xfId="0" applyAlignment="1" applyFill="1" applyFont="1" applyNumberFormat="1">
      <alignment horizontal="center" shrinkToFit="0" vertical="center" wrapText="0"/>
    </xf>
    <xf borderId="0" fillId="513" fontId="22" numFmtId="0" xfId="0" applyAlignment="1" applyFill="1" applyFont="1">
      <alignment horizontal="center" readingOrder="0" shrinkToFit="0" vertical="center" wrapText="0"/>
    </xf>
    <xf borderId="0" fillId="422" fontId="22" numFmtId="49" xfId="0" applyAlignment="1" applyFill="1" applyFont="1" applyNumberFormat="1">
      <alignment horizontal="center" shrinkToFit="0" vertical="bottom" wrapText="0"/>
    </xf>
    <xf borderId="1" fillId="357" fontId="11" numFmtId="167" xfId="0" applyAlignment="1" applyBorder="1" applyFill="1" applyFont="1" applyNumberFormat="1">
      <alignment horizontal="center" shrinkToFit="0" vertical="bottom" wrapText="0"/>
    </xf>
    <xf borderId="1" fillId="0" fontId="11" numFmtId="1" xfId="0" applyAlignment="1" applyBorder="1" applyFont="1" applyNumberFormat="1">
      <alignment horizontal="center" shrinkToFit="0" vertical="bottom" wrapText="0"/>
    </xf>
    <xf borderId="0" fillId="514" fontId="11" numFmtId="167" xfId="0" applyAlignment="1" applyFill="1" applyFont="1" applyNumberFormat="1">
      <alignment horizontal="center" shrinkToFit="0" vertical="center" wrapText="0"/>
    </xf>
    <xf borderId="0" fillId="358" fontId="22" numFmtId="0" xfId="0" applyAlignment="1" applyFill="1" applyFont="1">
      <alignment horizontal="center" readingOrder="0" shrinkToFit="0" vertical="center" wrapText="0"/>
    </xf>
    <xf borderId="3" fillId="515" fontId="14" numFmtId="10" xfId="0" applyAlignment="1" applyBorder="1" applyFill="1" applyFont="1" applyNumberFormat="1">
      <alignment horizontal="center" shrinkToFit="0" vertical="bottom" wrapText="0"/>
    </xf>
    <xf borderId="0" fillId="516" fontId="11" numFmtId="167" xfId="0" applyAlignment="1" applyFill="1" applyFont="1" applyNumberFormat="1">
      <alignment horizontal="center" shrinkToFit="0" vertical="center" wrapText="0"/>
    </xf>
    <xf borderId="0" fillId="501" fontId="22" numFmtId="0" xfId="0" applyAlignment="1" applyFill="1" applyFont="1">
      <alignment horizontal="center" readingOrder="0" shrinkToFit="0" vertical="center" wrapText="0"/>
    </xf>
    <xf borderId="1" fillId="433" fontId="11" numFmtId="167" xfId="0" applyAlignment="1" applyBorder="1" applyFill="1" applyFont="1" applyNumberFormat="1">
      <alignment horizontal="center" shrinkToFit="0" vertical="bottom" wrapText="0"/>
    </xf>
    <xf borderId="0" fillId="517" fontId="11" numFmtId="167" xfId="0" applyAlignment="1" applyFill="1" applyFont="1" applyNumberFormat="1">
      <alignment horizontal="center" shrinkToFit="0" vertical="center" wrapText="0"/>
    </xf>
    <xf borderId="1" fillId="515" fontId="14" numFmtId="10" xfId="0" applyAlignment="1" applyBorder="1" applyFill="1" applyFont="1" applyNumberFormat="1">
      <alignment horizontal="center" shrinkToFit="0" vertical="bottom" wrapText="0"/>
    </xf>
    <xf borderId="1" fillId="452" fontId="11" numFmtId="167" xfId="0" applyAlignment="1" applyBorder="1" applyFill="1" applyFont="1" applyNumberFormat="1">
      <alignment horizontal="center" shrinkToFit="0" vertical="bottom" wrapText="0"/>
    </xf>
    <xf borderId="0" fillId="518" fontId="11" numFmtId="167" xfId="0" applyAlignment="1" applyFill="1" applyFont="1" applyNumberFormat="1">
      <alignment horizontal="center" shrinkToFit="0" vertical="center" wrapText="0"/>
    </xf>
    <xf borderId="0" fillId="415" fontId="22" numFmtId="49" xfId="0" applyAlignment="1" applyFill="1" applyFont="1" applyNumberFormat="1">
      <alignment horizontal="center" shrinkToFit="0" vertical="bottom" wrapText="0"/>
    </xf>
    <xf borderId="0" fillId="519" fontId="11" numFmtId="167" xfId="0" applyAlignment="1" applyFill="1" applyFont="1" applyNumberFormat="1">
      <alignment horizontal="center" shrinkToFit="0" vertical="center" wrapText="0"/>
    </xf>
    <xf borderId="1" fillId="474" fontId="11" numFmtId="167" xfId="0" applyAlignment="1" applyBorder="1" applyFill="1" applyFont="1" applyNumberFormat="1">
      <alignment horizontal="center" shrinkToFit="0" vertical="bottom" wrapText="0"/>
    </xf>
    <xf borderId="0" fillId="216" fontId="11" numFmtId="167" xfId="0" applyAlignment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1" fillId="0" fontId="8" numFmtId="1" xfId="0" applyAlignment="1" applyBorder="1" applyFont="1" applyNumberFormat="1">
      <alignment horizontal="center" readingOrder="0" shrinkToFit="0" vertical="bottom" wrapText="0"/>
    </xf>
    <xf borderId="0" fillId="520" fontId="11" numFmtId="167" xfId="0" applyAlignment="1" applyFill="1" applyFont="1" applyNumberFormat="1">
      <alignment horizontal="center" shrinkToFit="0" vertical="center" wrapText="0"/>
    </xf>
    <xf borderId="1" fillId="521" fontId="11" numFmtId="167" xfId="0" applyAlignment="1" applyBorder="1" applyFill="1" applyFont="1" applyNumberFormat="1">
      <alignment horizontal="center" shrinkToFit="0" vertical="bottom" wrapText="0"/>
    </xf>
    <xf borderId="0" fillId="452" fontId="11" numFmtId="167" xfId="0" applyAlignment="1" applyFill="1" applyFont="1" applyNumberFormat="1">
      <alignment horizontal="center" shrinkToFit="0" vertical="center" wrapText="0"/>
    </xf>
    <xf borderId="1" fillId="426" fontId="11" numFmtId="167" xfId="0" applyAlignment="1" applyBorder="1" applyFill="1" applyFont="1" applyNumberFormat="1">
      <alignment horizontal="center" shrinkToFit="0" vertical="bottom" wrapText="0"/>
    </xf>
    <xf borderId="0" fillId="522" fontId="11" numFmtId="167" xfId="0" applyAlignment="1" applyFill="1" applyFont="1" applyNumberFormat="1">
      <alignment horizontal="center" shrinkToFit="0" vertical="center" wrapText="0"/>
    </xf>
    <xf borderId="1" fillId="523" fontId="11" numFmtId="167" xfId="0" applyAlignment="1" applyBorder="1" applyFill="1" applyFont="1" applyNumberFormat="1">
      <alignment horizontal="center" shrinkToFit="0" vertical="bottom" wrapText="0"/>
    </xf>
    <xf borderId="0" fillId="524" fontId="11" numFmtId="167" xfId="0" applyAlignment="1" applyFill="1" applyFont="1" applyNumberFormat="1">
      <alignment horizontal="center" shrinkToFit="0" vertical="center" wrapText="0"/>
    </xf>
    <xf borderId="1" fillId="525" fontId="11" numFmtId="167" xfId="0" applyAlignment="1" applyBorder="1" applyFill="1" applyFont="1" applyNumberFormat="1">
      <alignment horizontal="center" shrinkToFit="0" vertical="bottom" wrapText="0"/>
    </xf>
    <xf borderId="0" fillId="429" fontId="11" numFmtId="167" xfId="0" applyAlignment="1" applyFill="1" applyFont="1" applyNumberFormat="1">
      <alignment horizontal="center" shrinkToFit="0" vertical="center" wrapText="0"/>
    </xf>
    <xf borderId="1" fillId="526" fontId="11" numFmtId="167" xfId="0" applyAlignment="1" applyBorder="1" applyFill="1" applyFont="1" applyNumberFormat="1">
      <alignment horizontal="center" shrinkToFit="0" vertical="bottom" wrapText="0"/>
    </xf>
    <xf borderId="0" fillId="203" fontId="11" numFmtId="167" xfId="0" applyAlignment="1" applyFill="1" applyFont="1" applyNumberFormat="1">
      <alignment horizontal="center" shrinkToFit="0" vertical="center" wrapText="0"/>
    </xf>
    <xf borderId="0" fillId="477" fontId="11" numFmtId="167" xfId="0" applyAlignment="1" applyFill="1" applyFont="1" applyNumberFormat="1">
      <alignment horizontal="center" shrinkToFit="0" vertical="center" wrapText="0"/>
    </xf>
    <xf borderId="1" fillId="261" fontId="11" numFmtId="167" xfId="0" applyAlignment="1" applyBorder="1" applyFill="1" applyFont="1" applyNumberFormat="1">
      <alignment horizontal="center" shrinkToFit="0" vertical="bottom" wrapText="0"/>
    </xf>
    <xf borderId="1" fillId="443" fontId="11" numFmtId="167" xfId="0" applyAlignment="1" applyBorder="1" applyFill="1" applyFont="1" applyNumberFormat="1">
      <alignment horizontal="center" shrinkToFit="0" vertical="bottom" wrapText="0"/>
    </xf>
    <xf borderId="1" fillId="0" fontId="28" numFmtId="0" xfId="0" applyAlignment="1" applyBorder="1" applyFont="1">
      <alignment horizontal="center" readingOrder="0" shrinkToFit="0" vertical="bottom" wrapText="0"/>
    </xf>
    <xf borderId="1" fillId="417" fontId="11" numFmtId="167" xfId="0" applyAlignment="1" applyBorder="1" applyFill="1" applyFont="1" applyNumberFormat="1">
      <alignment horizontal="center" shrinkToFit="0" vertical="bottom" wrapText="0"/>
    </xf>
    <xf borderId="0" fillId="527" fontId="11" numFmtId="167" xfId="0" applyAlignment="1" applyFill="1" applyFont="1" applyNumberFormat="1">
      <alignment horizontal="center" shrinkToFit="0" vertical="center" wrapText="0"/>
    </xf>
    <xf borderId="1" fillId="3" fontId="11" numFmtId="1" xfId="0" applyAlignment="1" applyBorder="1" applyFill="1" applyFont="1" applyNumberFormat="1">
      <alignment horizontal="center" readingOrder="0" shrinkToFit="0" vertical="bottom" wrapText="0"/>
    </xf>
    <xf borderId="0" fillId="209" fontId="11" numFmtId="167" xfId="0" applyAlignment="1" applyFill="1" applyFont="1" applyNumberFormat="1">
      <alignment horizontal="center" shrinkToFit="0" vertical="center" wrapText="0"/>
    </xf>
    <xf borderId="1" fillId="528" fontId="11" numFmtId="167" xfId="0" applyAlignment="1" applyBorder="1" applyFill="1" applyFont="1" applyNumberFormat="1">
      <alignment horizontal="center" shrinkToFit="0" vertical="bottom" wrapText="0"/>
    </xf>
    <xf borderId="0" fillId="529" fontId="11" numFmtId="167" xfId="0" applyAlignment="1" applyFill="1" applyFont="1" applyNumberFormat="1">
      <alignment horizontal="center" shrinkToFit="0" vertical="center" wrapText="0"/>
    </xf>
    <xf borderId="0" fillId="530" fontId="11" numFmtId="167" xfId="0" applyAlignment="1" applyFill="1" applyFont="1" applyNumberFormat="1">
      <alignment horizontal="center" shrinkToFit="0" vertical="center" wrapText="0"/>
    </xf>
    <xf borderId="1" fillId="3" fontId="11" numFmtId="1" xfId="0" applyAlignment="1" applyBorder="1" applyFill="1" applyFont="1" applyNumberFormat="1">
      <alignment horizontal="center" shrinkToFit="0" vertical="bottom" wrapText="0"/>
    </xf>
    <xf borderId="1" fillId="49" fontId="14" numFmtId="49" xfId="0" applyAlignment="1" applyBorder="1" applyFill="1" applyFont="1" applyNumberFormat="1">
      <alignment horizontal="center" shrinkToFit="0" vertical="bottom" wrapText="0"/>
    </xf>
    <xf borderId="1" fillId="531" fontId="11" numFmtId="167" xfId="0" applyAlignment="1" applyBorder="1" applyFill="1" applyFont="1" applyNumberFormat="1">
      <alignment horizontal="center" shrinkToFit="0" vertical="bottom" wrapText="0"/>
    </xf>
    <xf borderId="1" fillId="532" fontId="11" numFmtId="167" xfId="0" applyAlignment="1" applyBorder="1" applyFill="1" applyFont="1" applyNumberFormat="1">
      <alignment horizontal="center" shrinkToFit="0" vertical="center" wrapText="0"/>
    </xf>
    <xf borderId="1" fillId="52" fontId="14" numFmtId="49" xfId="0" applyAlignment="1" applyBorder="1" applyFill="1" applyFont="1" applyNumberFormat="1">
      <alignment horizontal="center" shrinkToFit="0" vertical="bottom" wrapText="0"/>
    </xf>
    <xf borderId="1" fillId="533" fontId="11" numFmtId="167" xfId="0" applyAlignment="1" applyBorder="1" applyFill="1" applyFont="1" applyNumberFormat="1">
      <alignment horizontal="center" shrinkToFit="0" vertical="bottom" wrapText="0"/>
    </xf>
    <xf borderId="1" fillId="64" fontId="11" numFmtId="167" xfId="0" applyAlignment="1" applyBorder="1" applyFill="1" applyFont="1" applyNumberFormat="1">
      <alignment horizontal="center" shrinkToFit="0" vertical="center" wrapText="0"/>
    </xf>
    <xf borderId="1" fillId="534" fontId="11" numFmtId="167" xfId="0" applyAlignment="1" applyBorder="1" applyFill="1" applyFont="1" applyNumberFormat="1">
      <alignment horizontal="center" shrinkToFit="0" vertical="center" wrapText="0"/>
    </xf>
    <xf borderId="1" fillId="251" fontId="11" numFmtId="167" xfId="0" applyAlignment="1" applyBorder="1" applyFill="1" applyFont="1" applyNumberFormat="1">
      <alignment horizontal="center" shrinkToFit="0" vertical="center" wrapText="0"/>
    </xf>
    <xf borderId="1" fillId="535" fontId="11" numFmtId="167" xfId="0" applyAlignment="1" applyBorder="1" applyFill="1" applyFont="1" applyNumberFormat="1">
      <alignment horizontal="center" shrinkToFit="0" vertical="bottom" wrapText="0"/>
    </xf>
    <xf borderId="1" fillId="536" fontId="11" numFmtId="167" xfId="0" applyAlignment="1" applyBorder="1" applyFill="1" applyFont="1" applyNumberFormat="1">
      <alignment horizontal="center" shrinkToFit="0" vertical="center" wrapText="0"/>
    </xf>
    <xf borderId="1" fillId="477" fontId="11" numFmtId="167" xfId="0" applyAlignment="1" applyBorder="1" applyFill="1" applyFont="1" applyNumberFormat="1">
      <alignment horizontal="center" shrinkToFit="0" vertical="center" wrapText="0"/>
    </xf>
    <xf borderId="1" fillId="537" fontId="11" numFmtId="167" xfId="0" applyAlignment="1" applyBorder="1" applyFill="1" applyFont="1" applyNumberFormat="1">
      <alignment horizontal="center" shrinkToFit="0" vertical="bottom" wrapText="0"/>
    </xf>
    <xf borderId="1" fillId="67" fontId="11" numFmtId="167" xfId="0" applyAlignment="1" applyBorder="1" applyFill="1" applyFont="1" applyNumberFormat="1">
      <alignment horizontal="center" shrinkToFit="0" vertical="center" wrapText="0"/>
    </xf>
    <xf borderId="1" fillId="473" fontId="11" numFmtId="167" xfId="0" applyAlignment="1" applyBorder="1" applyFill="1" applyFont="1" applyNumberFormat="1">
      <alignment horizontal="center" shrinkToFit="0" vertical="center" wrapText="0"/>
    </xf>
    <xf borderId="1" fillId="73" fontId="11" numFmtId="167" xfId="0" applyAlignment="1" applyBorder="1" applyFill="1" applyFont="1" applyNumberFormat="1">
      <alignment horizontal="center" shrinkToFit="0" vertical="center" wrapText="0"/>
    </xf>
    <xf borderId="1" fillId="538" fontId="11" numFmtId="167" xfId="0" applyAlignment="1" applyBorder="1" applyFill="1" applyFont="1" applyNumberFormat="1">
      <alignment horizontal="center" shrinkToFit="0" vertical="center" wrapText="0"/>
    </xf>
    <xf borderId="1" fillId="299" fontId="11" numFmtId="167" xfId="0" applyAlignment="1" applyBorder="1" applyFill="1" applyFont="1" applyNumberFormat="1">
      <alignment horizontal="center" shrinkToFit="0" vertical="center" wrapText="0"/>
    </xf>
    <xf borderId="1" fillId="47" fontId="11" numFmtId="167" xfId="0" applyAlignment="1" applyBorder="1" applyFill="1" applyFont="1" applyNumberFormat="1">
      <alignment horizontal="center" shrinkToFit="0" vertical="center" wrapText="0"/>
    </xf>
    <xf borderId="1" fillId="404" fontId="11" numFmtId="167" xfId="0" applyAlignment="1" applyBorder="1" applyFill="1" applyFont="1" applyNumberFormat="1">
      <alignment horizontal="center" shrinkToFit="0" vertical="bottom" wrapText="0"/>
    </xf>
    <xf borderId="1" fillId="539" fontId="11" numFmtId="167" xfId="0" applyAlignment="1" applyBorder="1" applyFill="1" applyFont="1" applyNumberFormat="1">
      <alignment horizontal="center" shrinkToFit="0" vertical="bottom" wrapText="0"/>
    </xf>
    <xf borderId="1" fillId="540" fontId="11" numFmtId="167" xfId="0" applyAlignment="1" applyBorder="1" applyFill="1" applyFont="1" applyNumberFormat="1">
      <alignment horizontal="center" shrinkToFit="0" vertical="bottom" wrapText="0"/>
    </xf>
    <xf borderId="1" fillId="51" fontId="11" numFmtId="167" xfId="0" applyAlignment="1" applyBorder="1" applyFill="1" applyFont="1" applyNumberFormat="1">
      <alignment horizontal="center" shrinkToFit="0" vertical="center" wrapText="0"/>
    </xf>
    <xf borderId="1" fillId="541" fontId="11" numFmtId="167" xfId="0" applyAlignment="1" applyBorder="1" applyFill="1" applyFont="1" applyNumberFormat="1">
      <alignment horizontal="center" shrinkToFit="0" vertical="center" wrapText="0"/>
    </xf>
    <xf borderId="1" fillId="524" fontId="11" numFmtId="167" xfId="0" applyAlignment="1" applyBorder="1" applyFill="1" applyFont="1" applyNumberFormat="1">
      <alignment horizontal="center" shrinkToFit="0" vertical="bottom" wrapText="0"/>
    </xf>
    <xf borderId="1" fillId="339" fontId="11" numFmtId="167" xfId="0" applyAlignment="1" applyBorder="1" applyFill="1" applyFont="1" applyNumberFormat="1">
      <alignment horizontal="center" shrinkToFit="0" vertical="center" wrapText="0"/>
    </xf>
    <xf borderId="1" fillId="537" fontId="11" numFmtId="167" xfId="0" applyAlignment="1" applyBorder="1" applyFill="1" applyFont="1" applyNumberFormat="1">
      <alignment horizontal="center" shrinkToFit="0" vertical="center" wrapText="0"/>
    </xf>
    <xf borderId="1" fillId="501" fontId="11" numFmtId="167" xfId="0" applyAlignment="1" applyBorder="1" applyFill="1" applyFont="1" applyNumberFormat="1">
      <alignment horizontal="center" shrinkToFit="0" vertical="center" wrapText="0"/>
    </xf>
    <xf borderId="1" fillId="542" fontId="11" numFmtId="167" xfId="0" applyAlignment="1" applyBorder="1" applyFill="1" applyFont="1" applyNumberFormat="1">
      <alignment horizontal="center" shrinkToFit="0" vertical="center" wrapText="0"/>
    </xf>
    <xf borderId="1" fillId="355" fontId="11" numFmtId="167" xfId="0" applyAlignment="1" applyBorder="1" applyFill="1" applyFont="1" applyNumberFormat="1">
      <alignment horizontal="center" shrinkToFit="0" vertical="bottom" wrapText="0"/>
    </xf>
    <xf borderId="1" fillId="330" fontId="11" numFmtId="167" xfId="0" applyAlignment="1" applyBorder="1" applyFill="1" applyFont="1" applyNumberFormat="1">
      <alignment horizontal="center" shrinkToFit="0" vertical="center" wrapText="0"/>
    </xf>
    <xf borderId="1" fillId="543" fontId="11" numFmtId="167" xfId="0" applyAlignment="1" applyBorder="1" applyFill="1" applyFont="1" applyNumberFormat="1">
      <alignment horizontal="center" shrinkToFit="0" vertical="bottom" wrapText="0"/>
    </xf>
    <xf borderId="1" fillId="544" fontId="11" numFmtId="167" xfId="0" applyAlignment="1" applyBorder="1" applyFill="1" applyFont="1" applyNumberFormat="1">
      <alignment horizontal="center" shrinkToFit="0" vertical="center" wrapText="0"/>
    </xf>
    <xf borderId="1" fillId="348" fontId="11" numFmtId="167" xfId="0" applyAlignment="1" applyBorder="1" applyFill="1" applyFont="1" applyNumberFormat="1">
      <alignment horizontal="center" shrinkToFit="0" vertical="center" wrapText="0"/>
    </xf>
    <xf borderId="1" fillId="257" fontId="11" numFmtId="167" xfId="0" applyAlignment="1" applyBorder="1" applyFill="1" applyFont="1" applyNumberFormat="1">
      <alignment horizontal="center" shrinkToFit="0" vertical="center" wrapText="0"/>
    </xf>
    <xf borderId="1" fillId="536" fontId="11" numFmtId="167" xfId="0" applyAlignment="1" applyBorder="1" applyFill="1" applyFont="1" applyNumberFormat="1">
      <alignment horizontal="center" shrinkToFit="0" vertical="bottom" wrapText="0"/>
    </xf>
    <xf borderId="1" fillId="545" fontId="11" numFmtId="167" xfId="0" applyAlignment="1" applyBorder="1" applyFill="1" applyFont="1" applyNumberFormat="1">
      <alignment horizontal="center" shrinkToFit="0" vertical="bottom" wrapText="0"/>
    </xf>
    <xf borderId="1" fillId="3" fontId="11" numFmtId="49" xfId="0" applyAlignment="1" applyBorder="1" applyFill="1" applyFont="1" applyNumberFormat="1">
      <alignment horizontal="center" shrinkToFit="0" vertical="bottom" wrapText="0"/>
    </xf>
    <xf borderId="1" fillId="3" fontId="22" numFmtId="1" xfId="0" applyAlignment="1" applyBorder="1" applyFill="1" applyFont="1" applyNumberFormat="1">
      <alignment horizontal="center" shrinkToFit="0" vertical="bottom" wrapText="0"/>
    </xf>
    <xf borderId="0" fillId="3" fontId="22" numFmtId="1" xfId="0" applyAlignment="1" applyFill="1" applyFont="1" applyNumberFormat="1">
      <alignment horizontal="center" shrinkToFit="0" vertical="bottom" wrapText="0"/>
    </xf>
    <xf borderId="0" fillId="3" fontId="5" numFmtId="0" xfId="0" applyAlignment="1" applyFill="1" applyFont="1">
      <alignment horizontal="center" readingOrder="0"/>
    </xf>
    <xf borderId="0" fillId="3" fontId="21" numFmtId="0" xfId="0" applyAlignment="1" applyFill="1" applyFont="1">
      <alignment horizontal="right" readingOrder="0"/>
    </xf>
    <xf borderId="0" fillId="3" fontId="6" numFmtId="10" xfId="0" applyAlignment="1" applyFill="1" applyFont="1" applyNumberFormat="1">
      <alignment horizontal="right" readingOrder="0"/>
    </xf>
    <xf borderId="0" fillId="0" fontId="21" numFmtId="1" xfId="0" applyAlignment="1" applyFont="1" applyNumberFormat="1">
      <alignment horizontal="right" readingOrder="0"/>
    </xf>
    <xf borderId="0" fillId="0" fontId="6" numFmtId="9" xfId="0" applyAlignment="1" applyFont="1" applyNumberFormat="1">
      <alignment horizontal="right" readingOrder="0"/>
    </xf>
    <xf borderId="13" fillId="2" fontId="1" numFmtId="0" xfId="0" applyAlignment="1" applyBorder="1" applyFill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center" readingOrder="0" shrinkToFit="0" vertical="center" wrapText="0"/>
    </xf>
    <xf borderId="0" fillId="0" fontId="22" numFmtId="49" xfId="0" applyAlignment="1" applyFont="1" applyNumberFormat="1">
      <alignment horizontal="center" readingOrder="0" shrinkToFit="0" vertical="center" wrapText="0"/>
    </xf>
    <xf borderId="0" fillId="433" fontId="22" numFmtId="0" xfId="0" applyAlignment="1" applyFill="1" applyFont="1">
      <alignment horizontal="center" readingOrder="0" shrinkToFit="0" vertical="center" wrapText="0"/>
    </xf>
    <xf borderId="0" fillId="118" fontId="22" numFmtId="0" xfId="0" applyAlignment="1" applyFill="1" applyFont="1">
      <alignment horizontal="center" readingOrder="0" shrinkToFit="0" vertical="center" wrapText="0"/>
    </xf>
    <xf borderId="0" fillId="546" fontId="22" numFmtId="0" xfId="0" applyAlignment="1" applyFill="1" applyFont="1">
      <alignment horizontal="center" readingOrder="0" shrinkToFit="0" vertical="center" wrapText="0"/>
    </xf>
    <xf borderId="1" fillId="3" fontId="22" numFmtId="10" xfId="0" applyAlignment="1" applyBorder="1" applyFill="1" applyFont="1" applyNumberFormat="1">
      <alignment horizontal="center" readingOrder="0" shrinkToFit="0" vertical="center" wrapText="0"/>
    </xf>
    <xf borderId="0" fillId="202" fontId="22" numFmtId="0" xfId="0" applyAlignment="1" applyFill="1" applyFont="1">
      <alignment horizontal="center" readingOrder="0" shrinkToFit="0" vertical="center" wrapText="0"/>
    </xf>
    <xf borderId="0" fillId="547" fontId="22" numFmtId="0" xfId="0" applyAlignment="1" applyFill="1" applyFont="1">
      <alignment horizontal="center" readingOrder="0" shrinkToFit="0" vertical="center" wrapText="0"/>
    </xf>
    <xf borderId="0" fillId="43" fontId="22" numFmtId="0" xfId="0" applyAlignment="1" applyFill="1" applyFont="1">
      <alignment horizontal="center" readingOrder="0" shrinkToFit="0" vertical="center" wrapText="0"/>
    </xf>
    <xf borderId="0" fillId="343" fontId="22" numFmtId="0" xfId="0" applyAlignment="1" applyFill="1" applyFont="1">
      <alignment horizontal="center" readingOrder="0" shrinkToFit="0" vertical="center" wrapText="0"/>
    </xf>
    <xf borderId="0" fillId="280" fontId="22" numFmtId="0" xfId="0" applyAlignment="1" applyFill="1" applyFont="1">
      <alignment horizontal="center" readingOrder="0" shrinkToFit="0" vertical="center" wrapText="0"/>
    </xf>
    <xf borderId="0" fillId="363" fontId="22" numFmtId="0" xfId="0" applyAlignment="1" applyFill="1" applyFont="1">
      <alignment horizontal="center" readingOrder="0" shrinkToFit="0" vertical="center" wrapText="0"/>
    </xf>
    <xf borderId="0" fillId="85" fontId="22" numFmtId="0" xfId="0" applyAlignment="1" applyFill="1" applyFont="1">
      <alignment horizontal="center" readingOrder="0" shrinkToFit="0" vertical="center" wrapText="0"/>
    </xf>
    <xf borderId="0" fillId="434" fontId="22" numFmtId="49" xfId="0" applyAlignment="1" applyFill="1" applyFont="1" applyNumberFormat="1">
      <alignment horizontal="center" shrinkToFit="0" vertical="bottom" wrapText="0"/>
    </xf>
    <xf borderId="1" fillId="3" fontId="11" numFmtId="10" xfId="0" applyAlignment="1" applyBorder="1" applyFill="1" applyFont="1" applyNumberFormat="1">
      <alignment shrinkToFit="0" vertical="center" wrapText="0"/>
    </xf>
    <xf borderId="0" fillId="548" fontId="22" numFmtId="10" xfId="0" applyAlignment="1" applyFill="1" applyFont="1" applyNumberFormat="1">
      <alignment horizontal="center" readingOrder="0" shrinkToFit="0" vertical="center" wrapText="0"/>
    </xf>
    <xf borderId="0" fillId="184" fontId="22" numFmtId="0" xfId="0" applyAlignment="1" applyFill="1" applyFont="1">
      <alignment horizontal="center" readingOrder="0" shrinkToFit="0" vertical="center" wrapText="0"/>
    </xf>
    <xf borderId="0" fillId="506" fontId="22" numFmtId="49" xfId="0" applyAlignment="1" applyFill="1" applyFont="1" applyNumberForma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49" xfId="0" applyAlignment="1" applyBorder="1" applyFill="1" applyFont="1" applyNumberFormat="1">
      <alignment horizontal="center" readingOrder="0" shrinkToFit="0" vertical="center" wrapText="0"/>
    </xf>
    <xf borderId="1" fillId="3" fontId="1" numFmtId="49" xfId="0" applyAlignment="1" applyBorder="1" applyFill="1" applyFont="1" applyNumberFormat="1">
      <alignment horizontal="center" readingOrder="0" shrinkToFit="0" vertical="center" wrapText="0"/>
    </xf>
    <xf borderId="0" fillId="134" fontId="22" numFmtId="0" xfId="0" applyAlignment="1" applyFill="1" applyFont="1">
      <alignment horizontal="center" readingOrder="0" shrinkToFit="0" vertical="center" wrapText="0"/>
    </xf>
    <xf borderId="1" fillId="3" fontId="11" numFmtId="49" xfId="0" applyAlignment="1" applyBorder="1" applyFill="1" applyFont="1" applyNumberFormat="1">
      <alignment shrinkToFit="0" vertical="bottom" wrapText="0"/>
    </xf>
    <xf borderId="0" fillId="431" fontId="22" numFmtId="49" xfId="0" applyAlignment="1" applyFill="1" applyFont="1" applyNumberFormat="1">
      <alignment horizontal="center" shrinkToFit="0" vertical="bottom" wrapText="0"/>
    </xf>
    <xf borderId="0" fillId="7" fontId="22" numFmtId="0" xfId="0" applyAlignment="1" applyFill="1" applyFont="1">
      <alignment horizontal="center" readingOrder="0" shrinkToFit="0" vertical="center" wrapText="0"/>
    </xf>
    <xf borderId="1" fillId="3" fontId="11" numFmtId="49" xfId="0" applyAlignment="1" applyBorder="1" applyFill="1" applyFont="1" applyNumberFormat="1">
      <alignment horizontal="center" shrinkToFit="0" vertical="center" wrapText="0"/>
    </xf>
    <xf borderId="3" fillId="52" fontId="14" numFmtId="49" xfId="0" applyAlignment="1" applyBorder="1" applyFill="1" applyFont="1" applyNumberFormat="1">
      <alignment horizontal="center" readingOrder="0" shrinkToFit="0" vertical="bottom" wrapText="0"/>
    </xf>
    <xf borderId="0" fillId="95" fontId="22" numFmtId="0" xfId="0" applyAlignment="1" applyFill="1" applyFont="1">
      <alignment horizontal="center" readingOrder="0" shrinkToFit="0" vertical="center" wrapText="0"/>
    </xf>
    <xf borderId="0" fillId="549" fontId="22" numFmtId="0" xfId="0" applyAlignment="1" applyFill="1" applyFont="1">
      <alignment horizontal="center" readingOrder="0" shrinkToFit="0" vertical="center" wrapText="0"/>
    </xf>
    <xf borderId="0" fillId="550" fontId="22" numFmtId="0" xfId="0" applyAlignment="1" applyFill="1" applyFont="1">
      <alignment horizontal="center" readingOrder="0" shrinkToFit="0" vertical="center" wrapText="0"/>
    </xf>
    <xf borderId="0" fillId="299" fontId="22" numFmtId="0" xfId="0" applyAlignment="1" applyFill="1" applyFont="1">
      <alignment horizontal="center" readingOrder="0" shrinkToFit="0" vertical="center" wrapText="0"/>
    </xf>
    <xf borderId="0" fillId="521" fontId="22" numFmtId="0" xfId="0" applyAlignment="1" applyFill="1" applyFont="1">
      <alignment horizontal="center" readingOrder="0" shrinkToFit="0" vertical="center" wrapText="0"/>
    </xf>
    <xf borderId="0" fillId="411" fontId="22" numFmtId="49" xfId="0" applyAlignment="1" applyFill="1" applyFont="1" applyNumberFormat="1">
      <alignment horizontal="center" shrinkToFit="0" vertical="bottom" wrapText="0"/>
    </xf>
    <xf borderId="3" fillId="49" fontId="14" numFmtId="49" xfId="0" applyAlignment="1" applyBorder="1" applyFill="1" applyFont="1" applyNumberFormat="1">
      <alignment horizontal="center" readingOrder="0" shrinkToFit="0" vertical="bottom" wrapText="0"/>
    </xf>
    <xf borderId="0" fillId="393" fontId="22" numFmtId="49" xfId="0" applyAlignment="1" applyFill="1" applyFont="1" applyNumberFormat="1">
      <alignment horizontal="center" shrinkToFit="0" vertical="bottom" wrapText="0"/>
    </xf>
    <xf borderId="0" fillId="155" fontId="22" numFmtId="0" xfId="0" applyAlignment="1" applyFill="1" applyFont="1">
      <alignment horizontal="center" readingOrder="0" shrinkToFit="0" vertical="center" wrapText="0"/>
    </xf>
    <xf borderId="0" fillId="128" fontId="22" numFmtId="0" xfId="0" applyAlignment="1" applyFill="1" applyFont="1">
      <alignment horizontal="center" readingOrder="0" shrinkToFit="0" vertical="center" wrapText="0"/>
    </xf>
    <xf borderId="0" fillId="120" fontId="22" numFmtId="0" xfId="0" applyAlignment="1" applyFill="1" applyFont="1">
      <alignment horizontal="center" readingOrder="0" shrinkToFit="0" vertical="center" wrapText="0"/>
    </xf>
    <xf borderId="0" fillId="254" fontId="22" numFmtId="0" xfId="0" applyAlignment="1" applyFill="1" applyFont="1">
      <alignment horizontal="center" readingOrder="0" shrinkToFit="0" vertical="center" wrapText="0"/>
    </xf>
    <xf borderId="0" fillId="551" fontId="22" numFmtId="10" xfId="0" applyAlignment="1" applyFill="1" applyFont="1" applyNumberFormat="1">
      <alignment horizontal="center" readingOrder="0" shrinkToFit="0" vertical="center" wrapText="0"/>
    </xf>
    <xf borderId="0" fillId="552" fontId="22" numFmtId="10" xfId="0" applyAlignment="1" applyFill="1" applyFont="1" applyNumberFormat="1">
      <alignment horizontal="center" readingOrder="0" shrinkToFit="0" vertical="center" wrapText="0"/>
    </xf>
    <xf borderId="1" fillId="443" fontId="11" numFmtId="167" xfId="0" applyAlignment="1" applyBorder="1" applyFill="1" applyFont="1" applyNumberFormat="1">
      <alignment horizontal="center" shrinkToFit="0" vertical="center" wrapText="0"/>
    </xf>
    <xf borderId="0" fillId="553" fontId="22" numFmtId="0" xfId="0" applyAlignment="1" applyFill="1" applyFont="1">
      <alignment horizontal="center" readingOrder="0" shrinkToFit="0" vertical="center" wrapText="0"/>
    </xf>
    <xf borderId="1" fillId="49" fontId="14" numFmtId="49" xfId="0" applyAlignment="1" applyBorder="1" applyFill="1" applyFont="1" applyNumberFormat="1">
      <alignment horizontal="center" readingOrder="0" shrinkToFit="0" vertical="bottom" wrapText="0"/>
    </xf>
    <xf borderId="1" fillId="253" fontId="11" numFmtId="167" xfId="0" applyAlignment="1" applyBorder="1" applyFill="1" applyFont="1" applyNumberFormat="1">
      <alignment horizontal="center" shrinkToFit="0" vertical="center" wrapText="0"/>
    </xf>
    <xf borderId="1" fillId="52" fontId="14" numFmtId="49" xfId="0" applyAlignment="1" applyBorder="1" applyFill="1" applyFont="1" applyNumberFormat="1">
      <alignment horizontal="center" readingOrder="0" shrinkToFit="0" vertical="bottom" wrapText="0"/>
    </xf>
    <xf borderId="0" fillId="187" fontId="22" numFmtId="0" xfId="0" applyAlignment="1" applyFill="1" applyFont="1">
      <alignment horizontal="center" readingOrder="0" shrinkToFit="0" vertical="center" wrapText="0"/>
    </xf>
    <xf borderId="1" fillId="260" fontId="11" numFmtId="167" xfId="0" applyAlignment="1" applyBorder="1" applyFill="1" applyFont="1" applyNumberFormat="1">
      <alignment horizontal="center" shrinkToFit="0" vertical="center" wrapText="0"/>
    </xf>
    <xf borderId="1" fillId="531" fontId="11" numFmtId="167" xfId="0" applyAlignment="1" applyBorder="1" applyFill="1" applyFont="1" applyNumberFormat="1">
      <alignment horizontal="center" shrinkToFit="0" vertical="center" wrapText="0"/>
    </xf>
    <xf borderId="1" fillId="521" fontId="11" numFmtId="167" xfId="0" applyAlignment="1" applyBorder="1" applyFill="1" applyFont="1" applyNumberFormat="1">
      <alignment horizontal="center" shrinkToFit="0" vertical="center" wrapText="0"/>
    </xf>
    <xf borderId="1" fillId="354" fontId="11" numFmtId="167" xfId="0" applyAlignment="1" applyBorder="1" applyFill="1" applyFont="1" applyNumberFormat="1">
      <alignment horizontal="center" shrinkToFit="0" vertical="center" wrapText="0"/>
    </xf>
    <xf borderId="1" fillId="554" fontId="11" numFmtId="167" xfId="0" applyAlignment="1" applyBorder="1" applyFill="1" applyFont="1" applyNumberFormat="1">
      <alignment horizontal="center" shrinkToFit="0" vertical="center" wrapText="0"/>
    </xf>
    <xf borderId="1" fillId="334" fontId="11" numFmtId="167" xfId="0" applyAlignment="1" applyBorder="1" applyFill="1" applyFont="1" applyNumberFormat="1">
      <alignment horizontal="center" shrinkToFit="0" vertical="center" wrapText="0"/>
    </xf>
    <xf borderId="1" fillId="555" fontId="11" numFmtId="167" xfId="0" applyAlignment="1" applyBorder="1" applyFill="1" applyFont="1" applyNumberFormat="1">
      <alignment horizontal="center" shrinkToFit="0" vertical="center" wrapText="0"/>
    </xf>
    <xf borderId="0" fillId="556" fontId="22" numFmtId="0" xfId="0" applyAlignment="1" applyFill="1" applyFont="1">
      <alignment horizontal="center" readingOrder="0" shrinkToFit="0" vertical="center" wrapText="0"/>
    </xf>
    <xf borderId="1" fillId="557" fontId="11" numFmtId="167" xfId="0" applyAlignment="1" applyBorder="1" applyFill="1" applyFont="1" applyNumberFormat="1">
      <alignment horizontal="center" shrinkToFit="0" vertical="center" wrapText="0"/>
    </xf>
    <xf borderId="0" fillId="558" fontId="22" numFmtId="0" xfId="0" applyAlignment="1" applyFill="1" applyFont="1">
      <alignment horizontal="center" readingOrder="0" shrinkToFit="0" vertical="center" wrapText="0"/>
    </xf>
    <xf borderId="1" fillId="340" fontId="11" numFmtId="167" xfId="0" applyAlignment="1" applyBorder="1" applyFill="1" applyFont="1" applyNumberFormat="1">
      <alignment horizontal="center" shrinkToFit="0" vertical="center" wrapText="0"/>
    </xf>
    <xf borderId="1" fillId="404" fontId="11" numFmtId="167" xfId="0" applyAlignment="1" applyBorder="1" applyFill="1" applyFont="1" applyNumberFormat="1">
      <alignment horizontal="center" shrinkToFit="0" vertical="center" wrapText="0"/>
    </xf>
    <xf borderId="1" fillId="522" fontId="11" numFmtId="167" xfId="0" applyAlignment="1" applyBorder="1" applyFill="1" applyFont="1" applyNumberFormat="1">
      <alignment horizontal="center" shrinkToFit="0" vertical="center" wrapText="0"/>
    </xf>
    <xf borderId="1" fillId="559" fontId="11" numFmtId="167" xfId="0" applyAlignment="1" applyBorder="1" applyFill="1" applyFont="1" applyNumberFormat="1">
      <alignment horizontal="center" shrinkToFit="0" vertical="center" wrapText="0"/>
    </xf>
    <xf borderId="1" fillId="346" fontId="11" numFmtId="167" xfId="0" applyAlignment="1" applyBorder="1" applyFill="1" applyFont="1" applyNumberFormat="1">
      <alignment horizontal="center" shrinkToFit="0" vertical="center" wrapText="0"/>
    </xf>
    <xf borderId="1" fillId="196" fontId="11" numFmtId="167" xfId="0" applyAlignment="1" applyBorder="1" applyFill="1" applyFont="1" applyNumberFormat="1">
      <alignment horizontal="center" shrinkToFit="0" vertical="center" wrapText="0"/>
    </xf>
    <xf borderId="1" fillId="338" fontId="11" numFmtId="167" xfId="0" applyAlignment="1" applyBorder="1" applyFill="1" applyFont="1" applyNumberFormat="1">
      <alignment horizontal="center" shrinkToFit="0" vertical="center" wrapText="0"/>
    </xf>
    <xf borderId="1" fillId="524" fontId="11" numFmtId="167" xfId="0" applyAlignment="1" applyBorder="1" applyFill="1" applyFont="1" applyNumberFormat="1">
      <alignment horizontal="center" shrinkToFit="0" vertical="center" wrapText="0"/>
    </xf>
    <xf borderId="0" fillId="0" fontId="22" numFmtId="165" xfId="0" applyAlignment="1" applyFont="1" applyNumberFormat="1">
      <alignment horizontal="center" readingOrder="0" shrinkToFit="0" vertical="center" wrapText="0"/>
    </xf>
    <xf borderId="1" fillId="487" fontId="11" numFmtId="167" xfId="0" applyAlignment="1" applyBorder="1" applyFill="1" applyFont="1" applyNumberFormat="1">
      <alignment horizontal="center" shrinkToFit="0" vertical="center" wrapText="0"/>
    </xf>
    <xf borderId="0" fillId="0" fontId="22" numFmtId="164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3" fontId="11" numFmtId="10" xfId="0" applyAlignment="1" applyBorder="1" applyFill="1" applyFont="1" applyNumberFormat="1">
      <alignment readingOrder="0" shrinkToFit="0" vertical="center" wrapText="0"/>
    </xf>
    <xf borderId="1" fillId="254" fontId="11" numFmtId="167" xfId="0" applyAlignment="1" applyBorder="1" applyFill="1" applyFont="1" applyNumberFormat="1">
      <alignment horizontal="center" shrinkToFit="0" vertical="center" wrapText="0"/>
    </xf>
    <xf borderId="0" fillId="369" fontId="22" numFmtId="49" xfId="0" applyAlignment="1" applyFill="1" applyFont="1" applyNumberFormat="1">
      <alignment horizontal="center" readingOrder="0" shrinkToFit="0" vertical="bottom" wrapText="0"/>
    </xf>
    <xf borderId="1" fillId="560" fontId="11" numFmtId="167" xfId="0" applyAlignment="1" applyBorder="1" applyFill="1" applyFont="1" applyNumberFormat="1">
      <alignment horizontal="center" shrinkToFit="0" vertical="center" wrapText="0"/>
    </xf>
    <xf borderId="1" fillId="259" fontId="11" numFmtId="167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70" fontId="11" numFmtId="167" xfId="0" applyAlignment="1" applyBorder="1" applyFill="1" applyFont="1" applyNumberFormat="1">
      <alignment horizontal="center" shrinkToFit="0" vertical="center" wrapText="0"/>
    </xf>
    <xf borderId="1" fillId="227" fontId="11" numFmtId="167" xfId="0" applyAlignment="1" applyBorder="1" applyFill="1" applyFont="1" applyNumberFormat="1">
      <alignment horizontal="center" shrinkToFit="0" vertical="center" wrapText="0"/>
    </xf>
    <xf borderId="3" fillId="515" fontId="14" numFmtId="49" xfId="0" applyAlignment="1" applyBorder="1" applyFill="1" applyFont="1" applyNumberFormat="1">
      <alignment horizontal="center" readingOrder="0" shrinkToFit="0" vertical="bottom" wrapText="0"/>
    </xf>
    <xf borderId="1" fillId="342" fontId="11" numFmtId="167" xfId="0" applyAlignment="1" applyBorder="1" applyFill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3" fontId="22" numFmtId="49" xfId="0" applyAlignment="1" applyBorder="1" applyFill="1" applyFont="1" applyNumberFormat="1">
      <alignment horizontal="center" readingOrder="0" shrinkToFit="0" vertical="center" wrapText="0"/>
    </xf>
    <xf borderId="1" fillId="3" fontId="22" numFmtId="0" xfId="0" applyAlignment="1" applyBorder="1" applyFill="1" applyFont="1">
      <alignment horizontal="center" readingOrder="0" shrinkToFit="0" vertical="center" wrapText="0"/>
    </xf>
    <xf borderId="1" fillId="3" fontId="22" numFmtId="165" xfId="0" applyAlignment="1" applyBorder="1" applyFill="1" applyFont="1" applyNumberFormat="1">
      <alignment horizontal="center" readingOrder="0" shrinkToFit="0" vertical="center" wrapText="0"/>
    </xf>
    <xf borderId="1" fillId="417" fontId="11" numFmtId="167" xfId="0" applyAlignment="1" applyBorder="1" applyFill="1" applyFont="1" applyNumberFormat="1">
      <alignment horizontal="center" shrinkToFit="0" vertical="center" wrapText="0"/>
    </xf>
    <xf borderId="1" fillId="3" fontId="22" numFmtId="164" xfId="0" applyAlignment="1" applyBorder="1" applyFill="1" applyFont="1" applyNumberFormat="1">
      <alignment horizontal="center" readingOrder="0" shrinkToFit="0" vertical="center" wrapText="0"/>
    </xf>
    <xf borderId="1" fillId="518" fontId="11" numFmtId="167" xfId="0" applyAlignment="1" applyBorder="1" applyFill="1" applyFont="1" applyNumberFormat="1">
      <alignment horizontal="center" shrinkToFit="0" vertical="center" wrapText="0"/>
    </xf>
    <xf borderId="1" fillId="3" fontId="22" numFmtId="0" xfId="0" applyAlignment="1" applyBorder="1" applyFill="1" applyFont="1">
      <alignment horizontal="center" readingOrder="0" shrinkToFit="0" vertical="center" wrapText="0"/>
    </xf>
    <xf borderId="1" fillId="466" fontId="11" numFmtId="167" xfId="0" applyAlignment="1" applyBorder="1" applyFill="1" applyFont="1" applyNumberFormat="1">
      <alignment horizontal="center" shrinkToFit="0" vertical="center" wrapText="0"/>
    </xf>
    <xf borderId="1" fillId="91" fontId="11" numFmtId="167" xfId="0" applyAlignment="1" applyBorder="1" applyFill="1" applyFont="1" applyNumberFormat="1">
      <alignment horizontal="center" shrinkToFit="0" vertical="center" wrapText="0"/>
    </xf>
    <xf borderId="1" fillId="561" fontId="11" numFmtId="167" xfId="0" applyAlignment="1" applyBorder="1" applyFill="1" applyFont="1" applyNumberFormat="1">
      <alignment horizontal="center" shrinkToFit="0" vertical="center" wrapText="0"/>
    </xf>
    <xf borderId="1" fillId="332" fontId="11" numFmtId="167" xfId="0" applyAlignment="1" applyBorder="1" applyFill="1" applyFont="1" applyNumberFormat="1">
      <alignment horizontal="center" shrinkToFit="0" vertical="center" wrapText="0"/>
    </xf>
    <xf borderId="1" fillId="50" fontId="11" numFmtId="167" xfId="0" applyAlignment="1" applyBorder="1" applyFill="1" applyFont="1" applyNumberFormat="1">
      <alignment horizontal="center" shrinkToFit="0" vertical="center" wrapText="0"/>
    </xf>
    <xf borderId="1" fillId="130" fontId="11" numFmtId="167" xfId="0" applyAlignment="1" applyBorder="1" applyFill="1" applyFont="1" applyNumberFormat="1">
      <alignment horizontal="center" shrinkToFit="0" vertical="center" wrapText="0"/>
    </xf>
    <xf borderId="1" fillId="562" fontId="11" numFmtId="167" xfId="0" applyAlignment="1" applyBorder="1" applyFill="1" applyFont="1" applyNumberFormat="1">
      <alignment horizontal="center" shrinkToFit="0" vertical="center" wrapText="0"/>
    </xf>
    <xf borderId="1" fillId="563" fontId="11" numFmtId="167" xfId="0" applyAlignment="1" applyBorder="1" applyFill="1" applyFont="1" applyNumberFormat="1">
      <alignment horizontal="center" shrinkToFit="0" vertical="center" wrapText="0"/>
    </xf>
    <xf borderId="1" fillId="72" fontId="11" numFmtId="167" xfId="0" applyAlignment="1" applyBorder="1" applyFill="1" applyFont="1" applyNumberFormat="1">
      <alignment horizontal="center" shrinkToFit="0" vertical="center" wrapText="0"/>
    </xf>
    <xf borderId="1" fillId="0" fontId="22" numFmtId="49" xfId="0" applyAlignment="1" applyBorder="1" applyFont="1" applyNumberForma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1" fillId="47" fontId="22" numFmtId="0" xfId="0" applyAlignment="1" applyBorder="1" applyFill="1" applyFont="1">
      <alignment horizontal="center" readingOrder="0" shrinkToFit="0" vertical="center" wrapText="0"/>
    </xf>
    <xf borderId="1" fillId="369" fontId="22" numFmtId="10" xfId="0" applyAlignment="1" applyBorder="1" applyFill="1" applyFont="1" applyNumberFormat="1">
      <alignment horizontal="center" readingOrder="0" shrinkToFit="0" vertical="center" wrapText="0"/>
    </xf>
    <xf borderId="1" fillId="47" fontId="22" numFmtId="0" xfId="0" applyAlignment="1" applyBorder="1" applyFill="1" applyFont="1">
      <alignment horizontal="center" readingOrder="0" shrinkToFit="0" vertical="center" wrapText="0"/>
    </xf>
    <xf borderId="1" fillId="0" fontId="22" numFmtId="165" xfId="0" applyAlignment="1" applyBorder="1" applyFont="1" applyNumberFormat="1">
      <alignment horizontal="center" readingOrder="0" shrinkToFit="0" vertical="center" wrapText="0"/>
    </xf>
    <xf borderId="1" fillId="142" fontId="22" numFmtId="0" xfId="0" applyAlignment="1" applyBorder="1" applyFill="1" applyFont="1">
      <alignment horizontal="center" readingOrder="0" shrinkToFit="0" vertical="center" wrapText="0"/>
    </xf>
    <xf borderId="1" fillId="463" fontId="22" numFmtId="10" xfId="0" applyAlignment="1" applyBorder="1" applyFill="1" applyFont="1" applyNumberFormat="1">
      <alignment horizontal="center" readingOrder="0" shrinkToFit="0" vertical="center" wrapText="0"/>
    </xf>
    <xf borderId="1" fillId="0" fontId="22" numFmtId="164" xfId="0" applyAlignment="1" applyBorder="1" applyFont="1" applyNumberFormat="1">
      <alignment horizontal="center" readingOrder="0" shrinkToFit="0" vertical="center" wrapText="0"/>
    </xf>
    <xf borderId="1" fillId="387" fontId="22" numFmtId="10" xfId="0" applyAlignment="1" applyBorder="1" applyFill="1" applyFont="1" applyNumberFormat="1">
      <alignment horizontal="center" readingOrder="0" shrinkToFit="0" vertical="center" wrapText="0"/>
    </xf>
    <xf borderId="1" fillId="530" fontId="22" numFmtId="0" xfId="0" applyAlignment="1" applyBorder="1" applyFill="1" applyFont="1">
      <alignment horizontal="center" readingOrder="0" shrinkToFit="0" vertical="center" wrapText="0"/>
    </xf>
    <xf borderId="1" fillId="478" fontId="22" numFmtId="10" xfId="0" applyAlignment="1" applyBorder="1" applyFill="1" applyFont="1" applyNumberFormat="1">
      <alignment horizontal="center" readingOrder="0" shrinkToFit="0" vertical="center" wrapText="0"/>
    </xf>
    <xf borderId="1" fillId="494" fontId="22" numFmtId="49" xfId="0" applyAlignment="1" applyBorder="1" applyFill="1" applyFont="1" applyNumberFormat="1">
      <alignment horizontal="center" shrinkToFit="0" vertical="bottom" wrapText="0"/>
    </xf>
    <xf borderId="1" fillId="370" fontId="22" numFmtId="49" xfId="0" applyAlignment="1" applyBorder="1" applyFill="1" applyFont="1" applyNumberFormat="1">
      <alignment horizontal="center" shrinkToFit="0" vertical="bottom" wrapText="0"/>
    </xf>
    <xf borderId="1" fillId="394" fontId="22" numFmtId="10" xfId="0" applyAlignment="1" applyBorder="1" applyFill="1" applyFont="1" applyNumberFormat="1">
      <alignment horizontal="center" readingOrder="0" shrinkToFit="0" vertical="center" wrapText="0"/>
    </xf>
    <xf borderId="1" fillId="14" fontId="22" numFmtId="0" xfId="0" applyAlignment="1" applyBorder="1" applyFill="1" applyFont="1">
      <alignment horizontal="center" readingOrder="0" shrinkToFit="0" vertical="center" wrapText="0"/>
    </xf>
    <xf borderId="1" fillId="231" fontId="22" numFmtId="0" xfId="0" applyAlignment="1" applyBorder="1" applyFill="1" applyFont="1">
      <alignment horizontal="center" readingOrder="0" shrinkToFit="0" vertical="center" wrapText="0"/>
    </xf>
    <xf borderId="1" fillId="472" fontId="22" numFmtId="10" xfId="0" applyAlignment="1" applyBorder="1" applyFill="1" applyFont="1" applyNumberFormat="1">
      <alignment horizontal="center" readingOrder="0" shrinkToFit="0" vertical="center" wrapText="0"/>
    </xf>
    <xf borderId="1" fillId="448" fontId="22" numFmtId="10" xfId="0" applyAlignment="1" applyBorder="1" applyFill="1" applyFont="1" applyNumberFormat="1">
      <alignment horizontal="center" readingOrder="0" shrinkToFit="0" vertical="center" wrapText="0"/>
    </xf>
    <xf borderId="1" fillId="564" fontId="22" numFmtId="0" xfId="0" applyAlignment="1" applyBorder="1" applyFill="1" applyFont="1">
      <alignment horizontal="center" readingOrder="0" shrinkToFit="0" vertical="center" wrapText="0"/>
    </xf>
    <xf borderId="1" fillId="411" fontId="22" numFmtId="10" xfId="0" applyAlignment="1" applyBorder="1" applyFill="1" applyFont="1" applyNumberFormat="1">
      <alignment horizontal="center" readingOrder="0" shrinkToFit="0" vertical="center" wrapText="0"/>
    </xf>
    <xf borderId="1" fillId="390" fontId="22" numFmtId="0" xfId="0" applyAlignment="1" applyBorder="1" applyFill="1" applyFont="1">
      <alignment horizontal="center" readingOrder="0" shrinkToFit="0" vertical="center" wrapText="0"/>
    </xf>
    <xf borderId="1" fillId="565" fontId="22" numFmtId="10" xfId="0" applyAlignment="1" applyBorder="1" applyFill="1" applyFont="1" applyNumberFormat="1">
      <alignment horizontal="center" readingOrder="0" shrinkToFit="0" vertical="center" wrapText="0"/>
    </xf>
    <xf borderId="1" fillId="392" fontId="22" numFmtId="49" xfId="0" applyAlignment="1" applyBorder="1" applyFill="1" applyFont="1" applyNumberFormat="1">
      <alignment horizontal="center" shrinkToFit="0" vertical="bottom" wrapText="0"/>
    </xf>
    <xf borderId="1" fillId="460" fontId="22" numFmtId="0" xfId="0" applyAlignment="1" applyBorder="1" applyFill="1" applyFont="1">
      <alignment horizontal="center" readingOrder="0" shrinkToFit="0" vertical="center" wrapText="0"/>
    </xf>
    <xf borderId="1" fillId="483" fontId="22" numFmtId="10" xfId="0" applyAlignment="1" applyBorder="1" applyFill="1" applyFont="1" applyNumberFormat="1">
      <alignment horizontal="center" readingOrder="0" shrinkToFit="0" vertical="center" wrapText="0"/>
    </xf>
    <xf borderId="1" fillId="120" fontId="22" numFmtId="0" xfId="0" applyAlignment="1" applyBorder="1" applyFill="1" applyFont="1">
      <alignment horizontal="center" readingOrder="0" shrinkToFit="0" vertical="center" wrapText="0"/>
    </xf>
    <xf borderId="1" fillId="122" fontId="22" numFmtId="0" xfId="0" applyAlignment="1" applyBorder="1" applyFill="1" applyFont="1">
      <alignment horizontal="center" readingOrder="0" shrinkToFit="0" vertical="center" wrapText="0"/>
    </xf>
    <xf borderId="1" fillId="438" fontId="22" numFmtId="10" xfId="0" applyAlignment="1" applyBorder="1" applyFill="1" applyFont="1" applyNumberFormat="1">
      <alignment horizontal="center" readingOrder="0" shrinkToFit="0" vertical="center" wrapText="0"/>
    </xf>
    <xf borderId="1" fillId="392" fontId="22" numFmtId="10" xfId="0" applyAlignment="1" applyBorder="1" applyFill="1" applyFont="1" applyNumberFormat="1">
      <alignment horizontal="center" readingOrder="0" shrinkToFit="0" vertical="center" wrapText="0"/>
    </xf>
    <xf borderId="1" fillId="265" fontId="22" numFmtId="0" xfId="0" applyAlignment="1" applyBorder="1" applyFill="1" applyFont="1">
      <alignment horizontal="center" readingOrder="0" shrinkToFit="0" vertical="center" wrapText="0"/>
    </xf>
    <xf borderId="1" fillId="431" fontId="22" numFmtId="10" xfId="0" applyAlignment="1" applyBorder="1" applyFill="1" applyFont="1" applyNumberFormat="1">
      <alignment horizontal="center" readingOrder="0" shrinkToFit="0" vertical="center" wrapText="0"/>
    </xf>
    <xf borderId="1" fillId="436" fontId="22" numFmtId="49" xfId="0" applyAlignment="1" applyBorder="1" applyFill="1" applyFont="1" applyNumberFormat="1">
      <alignment horizontal="center" shrinkToFit="0" vertical="bottom" wrapText="0"/>
    </xf>
    <xf borderId="1" fillId="376" fontId="22" numFmtId="49" xfId="0" applyAlignment="1" applyBorder="1" applyFill="1" applyFont="1" applyNumberFormat="1">
      <alignment horizontal="center" shrinkToFit="0" vertical="bottom" wrapText="0"/>
    </xf>
    <xf borderId="1" fillId="138" fontId="22" numFmtId="0" xfId="0" applyAlignment="1" applyBorder="1" applyFill="1" applyFont="1">
      <alignment horizontal="center" readingOrder="0" shrinkToFit="0" vertical="center" wrapText="0"/>
    </xf>
    <xf borderId="1" fillId="180" fontId="22" numFmtId="0" xfId="0" applyAlignment="1" applyBorder="1" applyFill="1" applyFont="1">
      <alignment horizontal="center" readingOrder="0" shrinkToFit="0" vertical="center" wrapText="0"/>
    </xf>
    <xf borderId="1" fillId="366" fontId="22" numFmtId="10" xfId="0" applyAlignment="1" applyBorder="1" applyFill="1" applyFont="1" applyNumberFormat="1">
      <alignment horizontal="center" readingOrder="0" shrinkToFit="0" vertical="center" wrapText="0"/>
    </xf>
    <xf borderId="1" fillId="449" fontId="22" numFmtId="0" xfId="0" applyAlignment="1" applyBorder="1" applyFill="1" applyFont="1">
      <alignment horizontal="center" readingOrder="0" shrinkToFit="0" vertical="center" wrapText="0"/>
    </xf>
    <xf borderId="1" fillId="378" fontId="22" numFmtId="10" xfId="0" applyAlignment="1" applyBorder="1" applyFill="1" applyFont="1" applyNumberFormat="1">
      <alignment horizontal="center" readingOrder="0" shrinkToFit="0" vertical="center" wrapText="0"/>
    </xf>
    <xf borderId="1" fillId="566" fontId="22" numFmtId="10" xfId="0" applyAlignment="1" applyBorder="1" applyFill="1" applyFont="1" applyNumberFormat="1">
      <alignment horizontal="center" readingOrder="0" shrinkToFit="0" vertical="center" wrapText="0"/>
    </xf>
    <xf borderId="1" fillId="374" fontId="22" numFmtId="49" xfId="0" applyAlignment="1" applyBorder="1" applyFill="1" applyFont="1" applyNumberFormat="1">
      <alignment horizontal="center" shrinkToFit="0" vertical="bottom" wrapText="0"/>
    </xf>
    <xf borderId="1" fillId="567" fontId="22" numFmtId="0" xfId="0" applyAlignment="1" applyBorder="1" applyFill="1" applyFont="1">
      <alignment horizontal="center" readingOrder="0" shrinkToFit="0" vertical="center" wrapText="0"/>
    </xf>
    <xf borderId="1" fillId="384" fontId="22" numFmtId="10" xfId="0" applyAlignment="1" applyBorder="1" applyFill="1" applyFont="1" applyNumberFormat="1">
      <alignment horizontal="center" readingOrder="0" shrinkToFit="0" vertical="center" wrapText="0"/>
    </xf>
    <xf borderId="1" fillId="437" fontId="22" numFmtId="49" xfId="0" applyAlignment="1" applyBorder="1" applyFill="1" applyFont="1" applyNumberFormat="1">
      <alignment horizontal="center" shrinkToFit="0" vertical="bottom" wrapText="0"/>
    </xf>
    <xf borderId="1" fillId="222" fontId="22" numFmtId="0" xfId="0" applyAlignment="1" applyBorder="1" applyFill="1" applyFont="1">
      <alignment horizontal="center" readingOrder="0" shrinkToFit="0" vertical="center" wrapText="0"/>
    </xf>
    <xf borderId="1" fillId="389" fontId="22" numFmtId="10" xfId="0" applyAlignment="1" applyBorder="1" applyFill="1" applyFont="1" applyNumberFormat="1">
      <alignment horizontal="center" readingOrder="0" shrinkToFit="0" vertical="center" wrapText="0"/>
    </xf>
    <xf borderId="1" fillId="558" fontId="22" numFmtId="0" xfId="0" applyAlignment="1" applyBorder="1" applyFill="1" applyFont="1">
      <alignment horizontal="center" readingOrder="0" shrinkToFit="0" vertical="center" wrapText="0"/>
    </xf>
    <xf borderId="1" fillId="56" fontId="22" numFmtId="0" xfId="0" applyAlignment="1" applyBorder="1" applyFill="1" applyFont="1">
      <alignment horizontal="center" readingOrder="0" shrinkToFit="0" vertical="center" wrapText="0"/>
    </xf>
    <xf borderId="1" fillId="387" fontId="22" numFmtId="49" xfId="0" applyAlignment="1" applyBorder="1" applyFill="1" applyFont="1" applyNumberFormat="1">
      <alignment horizontal="center" shrinkToFit="0" vertical="bottom" wrapText="0"/>
    </xf>
    <xf borderId="1" fillId="568" fontId="22" numFmtId="0" xfId="0" applyAlignment="1" applyBorder="1" applyFill="1" applyFont="1">
      <alignment horizontal="center" readingOrder="0" shrinkToFit="0" vertical="center" wrapText="0"/>
    </xf>
    <xf borderId="1" fillId="436" fontId="22" numFmtId="10" xfId="0" applyAlignment="1" applyBorder="1" applyFill="1" applyFont="1" applyNumberFormat="1">
      <alignment horizontal="center" readingOrder="0" shrinkToFit="0" vertical="center" wrapText="0"/>
    </xf>
    <xf borderId="1" fillId="373" fontId="22" numFmtId="49" xfId="0" applyAlignment="1" applyBorder="1" applyFill="1" applyFont="1" applyNumberFormat="1">
      <alignment horizontal="center" shrinkToFit="0" vertical="bottom" wrapText="0"/>
    </xf>
    <xf borderId="1" fillId="296" fontId="22" numFmtId="0" xfId="0" applyAlignment="1" applyBorder="1" applyFill="1" applyFont="1">
      <alignment horizontal="center" readingOrder="0" shrinkToFit="0" vertical="center" wrapText="0"/>
    </xf>
    <xf borderId="1" fillId="451" fontId="22" numFmtId="10" xfId="0" applyAlignment="1" applyBorder="1" applyFill="1" applyFont="1" applyNumberFormat="1">
      <alignment horizontal="center" readingOrder="0" shrinkToFit="0" vertical="center" wrapText="0"/>
    </xf>
    <xf borderId="1" fillId="475" fontId="22" numFmtId="10" xfId="0" applyAlignment="1" applyBorder="1" applyFill="1" applyFont="1" applyNumberFormat="1">
      <alignment horizontal="center" readingOrder="0" shrinkToFit="0" vertical="center" wrapText="0"/>
    </xf>
    <xf borderId="1" fillId="369" fontId="22" numFmtId="49" xfId="0" applyAlignment="1" applyBorder="1" applyFill="1" applyFont="1" applyNumberFormat="1">
      <alignment horizontal="center" shrinkToFit="0" vertical="bottom" wrapText="0"/>
    </xf>
    <xf borderId="1" fillId="440" fontId="22" numFmtId="49" xfId="0" applyAlignment="1" applyBorder="1" applyFill="1" applyFont="1" applyNumberFormat="1">
      <alignment horizontal="center" shrinkToFit="0" vertical="bottom" wrapText="0"/>
    </xf>
    <xf borderId="1" fillId="43" fontId="22" numFmtId="0" xfId="0" applyAlignment="1" applyBorder="1" applyFill="1" applyFont="1">
      <alignment horizontal="center" readingOrder="0" shrinkToFit="0" vertical="center" wrapText="0"/>
    </xf>
    <xf borderId="1" fillId="144" fontId="22" numFmtId="0" xfId="0" applyAlignment="1" applyBorder="1" applyFill="1" applyFont="1">
      <alignment horizontal="center" readingOrder="0" shrinkToFit="0" vertical="center" wrapText="0"/>
    </xf>
    <xf borderId="1" fillId="217" fontId="22" numFmtId="0" xfId="0" applyAlignment="1" applyBorder="1" applyFill="1" applyFont="1">
      <alignment horizontal="center" readingOrder="0" shrinkToFit="0" vertical="center" wrapText="0"/>
    </xf>
    <xf borderId="1" fillId="402" fontId="22" numFmtId="10" xfId="0" applyAlignment="1" applyBorder="1" applyFill="1" applyFont="1" applyNumberFormat="1">
      <alignment horizontal="center" readingOrder="0" shrinkToFit="0" vertical="center" wrapText="0"/>
    </xf>
    <xf borderId="1" fillId="391" fontId="22" numFmtId="10" xfId="0" applyAlignment="1" applyBorder="1" applyFill="1" applyFont="1" applyNumberFormat="1">
      <alignment horizontal="center" readingOrder="0" shrinkToFit="0" vertical="center" wrapText="0"/>
    </xf>
    <xf borderId="1" fillId="415" fontId="22" numFmtId="10" xfId="0" applyAlignment="1" applyBorder="1" applyFill="1" applyFont="1" applyNumberFormat="1">
      <alignment horizontal="center" readingOrder="0" shrinkToFit="0" vertical="center" wrapText="0"/>
    </xf>
    <xf borderId="1" fillId="395" fontId="22" numFmtId="10" xfId="0" applyAlignment="1" applyBorder="1" applyFill="1" applyFont="1" applyNumberFormat="1">
      <alignment horizontal="center" readingOrder="0" shrinkToFit="0" vertical="center" wrapText="0"/>
    </xf>
    <xf borderId="1" fillId="223" fontId="22" numFmtId="0" xfId="0" applyAlignment="1" applyBorder="1" applyFill="1" applyFont="1">
      <alignment horizontal="center" readingOrder="0" shrinkToFit="0" vertical="center" wrapText="0"/>
    </xf>
    <xf borderId="1" fillId="186" fontId="22" numFmtId="0" xfId="0" applyAlignment="1" applyBorder="1" applyFill="1" applyFont="1">
      <alignment horizontal="center" readingOrder="0" shrinkToFit="0" vertical="center" wrapText="0"/>
    </xf>
    <xf borderId="1" fillId="445" fontId="22" numFmtId="10" xfId="0" applyAlignment="1" applyBorder="1" applyFill="1" applyFont="1" applyNumberFormat="1">
      <alignment horizontal="center" readingOrder="0" shrinkToFit="0" vertical="center" wrapText="0"/>
    </xf>
    <xf borderId="1" fillId="393" fontId="22" numFmtId="49" xfId="0" applyAlignment="1" applyBorder="1" applyFill="1" applyFont="1" applyNumberFormat="1">
      <alignment horizontal="center" shrinkToFit="0" vertical="bottom" wrapText="0"/>
    </xf>
    <xf borderId="1" fillId="65" fontId="22" numFmtId="0" xfId="0" applyAlignment="1" applyBorder="1" applyFill="1" applyFont="1">
      <alignment horizontal="center" readingOrder="0" shrinkToFit="0" vertical="center" wrapText="0"/>
    </xf>
    <xf borderId="1" fillId="94" fontId="22" numFmtId="0" xfId="0" applyAlignment="1" applyBorder="1" applyFill="1" applyFont="1">
      <alignment horizontal="center" readingOrder="0" shrinkToFit="0" vertical="center" wrapText="0"/>
    </xf>
    <xf borderId="1" fillId="569" fontId="22" numFmtId="10" xfId="0" applyAlignment="1" applyBorder="1" applyFill="1" applyFont="1" applyNumberFormat="1">
      <alignment horizontal="center" readingOrder="0" shrinkToFit="0" vertical="center" wrapText="0"/>
    </xf>
    <xf borderId="1" fillId="131" fontId="22" numFmtId="0" xfId="0" applyAlignment="1" applyBorder="1" applyFill="1" applyFont="1">
      <alignment horizontal="center" readingOrder="0" shrinkToFit="0" vertical="center" wrapText="0"/>
    </xf>
    <xf borderId="1" fillId="417" fontId="22" numFmtId="0" xfId="0" applyAlignment="1" applyBorder="1" applyFill="1" applyFont="1">
      <alignment horizontal="center" readingOrder="0" shrinkToFit="0" vertical="center" wrapText="0"/>
    </xf>
    <xf borderId="1" fillId="458" fontId="22" numFmtId="10" xfId="0" applyAlignment="1" applyBorder="1" applyFill="1" applyFont="1" applyNumberFormat="1">
      <alignment horizontal="center" readingOrder="0" shrinkToFit="0" vertical="center" wrapText="0"/>
    </xf>
    <xf borderId="0" fillId="6" fontId="11" numFmtId="49" xfId="0" applyAlignment="1" applyFill="1" applyFont="1" applyNumberFormat="1">
      <alignment shrinkToFit="0" vertical="bottom" wrapText="0"/>
    </xf>
    <xf borderId="1" fillId="423" fontId="22" numFmtId="10" xfId="0" applyAlignment="1" applyBorder="1" applyFill="1" applyFont="1" applyNumberFormat="1">
      <alignment horizontal="center" readingOrder="0" shrinkToFit="0" vertical="center" wrapText="0"/>
    </xf>
    <xf borderId="0" fillId="3" fontId="11" numFmtId="49" xfId="0" applyAlignment="1" applyFill="1" applyFont="1" applyNumberFormat="1">
      <alignment horizontal="center" shrinkToFit="0" vertical="center" wrapText="0"/>
    </xf>
    <xf borderId="1" fillId="358" fontId="22" numFmtId="0" xfId="0" applyAlignment="1" applyBorder="1" applyFill="1" applyFont="1">
      <alignment horizontal="center" readingOrder="0" shrinkToFit="0" vertical="center" wrapText="0"/>
    </xf>
    <xf borderId="1" fillId="437" fontId="22" numFmtId="10" xfId="0" applyAlignment="1" applyBorder="1" applyFill="1" applyFont="1" applyNumberFormat="1">
      <alignment horizontal="center" readingOrder="0" shrinkToFit="0" vertical="center" wrapText="0"/>
    </xf>
    <xf borderId="0" fillId="570" fontId="11" numFmtId="167" xfId="0" applyAlignment="1" applyFill="1" applyFont="1" applyNumberFormat="1">
      <alignment horizontal="center" shrinkToFit="0" vertical="center" wrapText="0"/>
    </xf>
    <xf borderId="1" fillId="415" fontId="22" numFmtId="49" xfId="0" applyAlignment="1" applyBorder="1" applyFill="1" applyFont="1" applyNumberFormat="1">
      <alignment horizontal="center" shrinkToFit="0" vertical="bottom" wrapText="0"/>
    </xf>
    <xf borderId="1" fillId="481" fontId="22" numFmtId="10" xfId="0" applyAlignment="1" applyBorder="1" applyFill="1" applyFont="1" applyNumberFormat="1">
      <alignment horizontal="center" readingOrder="0" shrinkToFit="0" vertical="center" wrapText="0"/>
    </xf>
    <xf borderId="0" fillId="571" fontId="11" numFmtId="167" xfId="0" applyAlignment="1" applyFill="1" applyFont="1" applyNumberFormat="1">
      <alignment horizontal="center" shrinkToFit="0" vertical="center" wrapText="0"/>
    </xf>
    <xf borderId="1" fillId="3" fontId="11" numFmtId="0" xfId="0" applyAlignment="1" applyBorder="1" applyFill="1" applyFont="1">
      <alignment shrinkToFit="0" vertical="center" wrapText="0"/>
    </xf>
    <xf borderId="1" fillId="383" fontId="22" numFmtId="10" xfId="0" applyAlignment="1" applyBorder="1" applyFill="1" applyFont="1" applyNumberFormat="1">
      <alignment horizontal="center" readingOrder="0" shrinkToFit="0" vertical="center" wrapText="0"/>
    </xf>
    <xf borderId="0" fillId="257" fontId="11" numFmtId="167" xfId="0" applyAlignment="1" applyFill="1" applyFont="1" applyNumberFormat="1">
      <alignment horizontal="center" shrinkToFit="0" vertical="center" wrapText="0"/>
    </xf>
    <xf borderId="1" fillId="572" fontId="22" numFmtId="0" xfId="0" applyAlignment="1" applyBorder="1" applyFill="1" applyFont="1">
      <alignment horizontal="center" readingOrder="0" shrinkToFit="0" vertical="center" wrapText="0"/>
    </xf>
    <xf borderId="1" fillId="221" fontId="22" numFmtId="0" xfId="0" applyAlignment="1" applyBorder="1" applyFill="1" applyFont="1">
      <alignment horizontal="center" readingOrder="0" shrinkToFit="0" vertical="center" wrapText="0"/>
    </xf>
    <xf borderId="1" fillId="452" fontId="22" numFmtId="0" xfId="0" applyAlignment="1" applyBorder="1" applyFill="1" applyFont="1">
      <alignment horizontal="center" readingOrder="0" shrinkToFit="0" vertical="center" wrapText="0"/>
    </xf>
    <xf borderId="1" fillId="375" fontId="22" numFmtId="10" xfId="0" applyAlignment="1" applyBorder="1" applyFill="1" applyFont="1" applyNumberFormat="1">
      <alignment horizontal="center" readingOrder="0" shrinkToFit="0" vertical="center" wrapText="0"/>
    </xf>
    <xf borderId="0" fillId="72" fontId="11" numFmtId="167" xfId="0" applyAlignment="1" applyFill="1" applyFont="1" applyNumberFormat="1">
      <alignment horizontal="center" shrinkToFit="0" vertical="center" wrapText="0"/>
    </xf>
    <xf borderId="1" fillId="551" fontId="22" numFmtId="10" xfId="0" applyAlignment="1" applyBorder="1" applyFill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10" xfId="0" applyAlignment="1" applyBorder="1" applyFont="1" applyNumberFormat="1">
      <alignment horizontal="center" shrinkToFit="0" vertical="center" wrapText="0"/>
    </xf>
    <xf borderId="1" fillId="157" fontId="22" numFmtId="0" xfId="0" applyAlignment="1" applyBorder="1" applyFill="1" applyFont="1">
      <alignment horizontal="center" readingOrder="0" shrinkToFit="0" vertical="center" wrapText="0"/>
    </xf>
    <xf borderId="1" fillId="396" fontId="22" numFmtId="10" xfId="0" applyAlignment="1" applyBorder="1" applyFill="1" applyFont="1" applyNumberFormat="1">
      <alignment horizontal="center" readingOrder="0" shrinkToFit="0" vertical="center" wrapText="0"/>
    </xf>
    <xf borderId="1" fillId="87" fontId="22" numFmtId="0" xfId="0" applyAlignment="1" applyBorder="1" applyFill="1" applyFont="1">
      <alignment horizontal="center" readingOrder="0" shrinkToFit="0" vertical="center" wrapText="0"/>
    </xf>
    <xf borderId="0" fillId="352" fontId="11" numFmtId="167" xfId="0" applyAlignment="1" applyFill="1" applyFont="1" applyNumberFormat="1">
      <alignment horizontal="center" shrinkToFit="0" vertical="center" wrapText="0"/>
    </xf>
    <xf borderId="1" fillId="435" fontId="22" numFmtId="10" xfId="0" applyAlignment="1" applyBorder="1" applyFill="1" applyFont="1" applyNumberFormat="1">
      <alignment horizontal="center" readingOrder="0" shrinkToFit="0" vertical="center" wrapText="0"/>
    </xf>
    <xf borderId="1" fillId="483" fontId="22" numFmtId="49" xfId="0" applyAlignment="1" applyBorder="1" applyFill="1" applyFont="1" applyNumberFormat="1">
      <alignment horizontal="center" shrinkToFit="0" vertical="bottom" wrapText="0"/>
    </xf>
    <xf borderId="0" fillId="426" fontId="11" numFmtId="167" xfId="0" applyAlignment="1" applyFill="1" applyFont="1" applyNumberFormat="1">
      <alignment horizontal="center" shrinkToFit="0" vertical="center" wrapText="0"/>
    </xf>
    <xf borderId="1" fillId="469" fontId="22" numFmtId="10" xfId="0" applyAlignment="1" applyBorder="1" applyFill="1" applyFont="1" applyNumberFormat="1">
      <alignment horizontal="center" readingOrder="0" shrinkToFit="0" vertical="center" wrapText="0"/>
    </xf>
    <xf borderId="0" fillId="82" fontId="11" numFmtId="167" xfId="0" applyAlignment="1" applyFill="1" applyFont="1" applyNumberFormat="1">
      <alignment horizontal="center" shrinkToFit="0" vertical="center" wrapText="0"/>
    </xf>
    <xf borderId="1" fillId="23" fontId="22" numFmtId="0" xfId="0" applyAlignment="1" applyBorder="1" applyFill="1" applyFont="1">
      <alignment horizontal="center" readingOrder="0" shrinkToFit="0" vertical="center" wrapText="0"/>
    </xf>
    <xf borderId="1" fillId="381" fontId="22" numFmtId="10" xfId="0" applyAlignment="1" applyBorder="1" applyFill="1" applyFont="1" applyNumberFormat="1">
      <alignment horizontal="center" readingOrder="0" shrinkToFit="0" vertical="center" wrapText="0"/>
    </xf>
    <xf borderId="1" fillId="166" fontId="22" numFmtId="0" xfId="0" applyAlignment="1" applyBorder="1" applyFill="1" applyFont="1">
      <alignment horizontal="center" readingOrder="0" shrinkToFit="0" vertical="center" wrapText="0"/>
    </xf>
    <xf borderId="0" fillId="573" fontId="11" numFmtId="167" xfId="0" applyAlignment="1" applyFill="1" applyFont="1" applyNumberFormat="1">
      <alignment horizontal="center" shrinkToFit="0" vertical="center" wrapText="0"/>
    </xf>
    <xf borderId="1" fillId="474" fontId="22" numFmtId="0" xfId="0" applyAlignment="1" applyBorder="1" applyFill="1" applyFont="1">
      <alignment horizontal="center" readingOrder="0" shrinkToFit="0" vertical="center" wrapText="0"/>
    </xf>
    <xf borderId="1" fillId="401" fontId="22" numFmtId="10" xfId="0" applyAlignment="1" applyBorder="1" applyFill="1" applyFont="1" applyNumberFormat="1">
      <alignment horizontal="center" readingOrder="0" shrinkToFit="0" vertical="center" wrapText="0"/>
    </xf>
    <xf borderId="1" fillId="211" fontId="22" numFmtId="0" xfId="0" applyAlignment="1" applyBorder="1" applyFill="1" applyFont="1">
      <alignment horizontal="center" readingOrder="0" shrinkToFit="0" vertical="center" wrapText="0"/>
    </xf>
    <xf borderId="0" fillId="492" fontId="11" numFmtId="167" xfId="0" applyAlignment="1" applyFill="1" applyFont="1" applyNumberFormat="1">
      <alignment horizontal="center" shrinkToFit="0" vertical="center" wrapText="0"/>
    </xf>
    <xf borderId="1" fillId="484" fontId="22" numFmtId="0" xfId="0" applyAlignment="1" applyBorder="1" applyFill="1" applyFont="1">
      <alignment horizontal="center" readingOrder="0" shrinkToFit="0" vertical="center" wrapText="0"/>
    </xf>
    <xf borderId="1" fillId="406" fontId="22" numFmtId="10" xfId="0" applyAlignment="1" applyBorder="1" applyFill="1" applyFont="1" applyNumberFormat="1">
      <alignment horizontal="center" readingOrder="0" shrinkToFit="0" vertical="center" wrapText="0"/>
    </xf>
    <xf borderId="1" fillId="571" fontId="22" numFmtId="0" xfId="0" applyAlignment="1" applyBorder="1" applyFill="1" applyFont="1">
      <alignment horizontal="center" readingOrder="0" shrinkToFit="0" vertical="center" wrapText="0"/>
    </xf>
    <xf borderId="1" fillId="374" fontId="22" numFmtId="10" xfId="0" applyAlignment="1" applyBorder="1" applyFill="1" applyFont="1" applyNumberFormat="1">
      <alignment horizontal="center" readingOrder="0" shrinkToFit="0" vertical="center" wrapText="0"/>
    </xf>
    <xf borderId="1" fillId="58" fontId="22" numFmtId="0" xfId="0" applyAlignment="1" applyBorder="1" applyFill="1" applyFont="1">
      <alignment horizontal="center" readingOrder="0" shrinkToFit="0" vertical="center" wrapText="0"/>
    </xf>
    <xf borderId="1" fillId="373" fontId="22" numFmtId="10" xfId="0" applyAlignment="1" applyBorder="1" applyFill="1" applyFont="1" applyNumberFormat="1">
      <alignment horizontal="center" readingOrder="0" shrinkToFit="0" vertical="center" wrapText="0"/>
    </xf>
    <xf borderId="0" fillId="63" fontId="11" numFmtId="167" xfId="0" applyAlignment="1" applyFill="1" applyFont="1" applyNumberFormat="1">
      <alignment horizontal="center" shrinkToFit="0" vertical="center" wrapText="0"/>
    </xf>
    <xf borderId="1" fillId="404" fontId="22" numFmtId="0" xfId="0" applyAlignment="1" applyBorder="1" applyFill="1" applyFont="1">
      <alignment horizontal="center" readingOrder="0" shrinkToFit="0" vertical="center" wrapText="0"/>
    </xf>
    <xf borderId="1" fillId="109" fontId="22" numFmtId="0" xfId="0" applyAlignment="1" applyBorder="1" applyFill="1" applyFont="1">
      <alignment horizontal="center" readingOrder="0" shrinkToFit="0" vertical="center" wrapText="0"/>
    </xf>
    <xf borderId="1" fillId="389" fontId="22" numFmtId="49" xfId="0" applyAlignment="1" applyBorder="1" applyFill="1" applyFont="1" applyNumberFormat="1">
      <alignment horizontal="center" shrinkToFit="0" vertical="bottom" wrapText="0"/>
    </xf>
    <xf borderId="0" fillId="66" fontId="11" numFmtId="167" xfId="0" applyAlignment="1" applyFill="1" applyFont="1" applyNumberFormat="1">
      <alignment horizontal="center" shrinkToFit="0" vertical="center" wrapText="0"/>
    </xf>
    <xf borderId="0" fillId="540" fontId="11" numFmtId="167" xfId="0" applyAlignment="1" applyFill="1" applyFont="1" applyNumberFormat="1">
      <alignment horizontal="center" shrinkToFit="0" vertical="center" wrapText="0"/>
    </xf>
    <xf borderId="1" fillId="469" fontId="22" numFmtId="49" xfId="0" applyAlignment="1" applyBorder="1" applyFill="1" applyFont="1" applyNumberFormat="1">
      <alignment horizontal="center" shrinkToFit="0" vertical="bottom" wrapText="0"/>
    </xf>
    <xf borderId="1" fillId="160" fontId="22" numFmtId="0" xfId="0" applyAlignment="1" applyBorder="1" applyFill="1" applyFont="1">
      <alignment horizontal="center" readingOrder="0" shrinkToFit="0" vertical="center" wrapText="0"/>
    </xf>
    <xf borderId="1" fillId="574" fontId="22" numFmtId="10" xfId="0" applyAlignment="1" applyBorder="1" applyFill="1" applyFont="1" applyNumberFormat="1">
      <alignment horizontal="center" readingOrder="0" shrinkToFit="0" vertical="center" wrapText="0"/>
    </xf>
    <xf borderId="1" fillId="575" fontId="22" numFmtId="0" xfId="0" applyAlignment="1" applyBorder="1" applyFill="1" applyFont="1">
      <alignment horizontal="center" readingOrder="0" shrinkToFit="0" vertical="center" wrapText="0"/>
    </xf>
    <xf borderId="1" fillId="486" fontId="22" numFmtId="10" xfId="0" applyAlignment="1" applyBorder="1" applyFill="1" applyFont="1" applyNumberFormat="1">
      <alignment horizontal="center" readingOrder="0" shrinkToFit="0" vertical="center" wrapText="0"/>
    </xf>
    <xf borderId="1" fillId="399" fontId="22" numFmtId="49" xfId="0" applyAlignment="1" applyBorder="1" applyFill="1" applyFont="1" applyNumberFormat="1">
      <alignment horizontal="center" shrinkToFit="0" vertical="bottom" wrapText="0"/>
    </xf>
    <xf borderId="0" fillId="350" fontId="11" numFmtId="167" xfId="0" applyAlignment="1" applyFill="1" applyFont="1" applyNumberFormat="1">
      <alignment horizontal="center" shrinkToFit="0" vertical="center" wrapText="0"/>
    </xf>
    <xf borderId="1" fillId="184" fontId="22" numFmtId="0" xfId="0" applyAlignment="1" applyBorder="1" applyFill="1" applyFont="1">
      <alignment horizontal="center" readingOrder="0" shrinkToFit="0" vertical="center" wrapText="0"/>
    </xf>
    <xf borderId="0" fillId="490" fontId="11" numFmtId="167" xfId="0" applyAlignment="1" applyFill="1" applyFont="1" applyNumberFormat="1">
      <alignment horizontal="center" shrinkToFit="0" vertical="center" wrapText="0"/>
    </xf>
    <xf borderId="1" fillId="105" fontId="22" numFmtId="0" xfId="0" applyAlignment="1" applyBorder="1" applyFill="1" applyFont="1">
      <alignment horizontal="center" readingOrder="0" shrinkToFit="0" vertical="center" wrapText="0"/>
    </xf>
    <xf borderId="1" fillId="467" fontId="22" numFmtId="10" xfId="0" applyAlignment="1" applyBorder="1" applyFill="1" applyFont="1" applyNumberFormat="1">
      <alignment horizontal="center" readingOrder="0" shrinkToFit="0" vertical="center" wrapText="0"/>
    </xf>
    <xf borderId="0" fillId="59" fontId="11" numFmtId="167" xfId="0" applyAlignment="1" applyFill="1" applyFont="1" applyNumberFormat="1">
      <alignment horizontal="center" shrinkToFit="0" vertical="center" wrapText="0"/>
    </xf>
    <xf borderId="1" fillId="576" fontId="22" numFmtId="0" xfId="0" applyAlignment="1" applyBorder="1" applyFill="1" applyFont="1">
      <alignment horizontal="center" readingOrder="0" shrinkToFit="0" vertical="center" wrapText="0"/>
    </xf>
    <xf borderId="1" fillId="68" fontId="22" numFmtId="0" xfId="0" applyAlignment="1" applyBorder="1" applyFill="1" applyFont="1">
      <alignment horizontal="center" readingOrder="0" shrinkToFit="0" vertical="center" wrapText="0"/>
    </xf>
    <xf borderId="0" fillId="258" fontId="11" numFmtId="167" xfId="0" applyAlignment="1" applyFill="1" applyFont="1" applyNumberFormat="1">
      <alignment horizontal="center" shrinkToFit="0" vertical="center" wrapText="0"/>
    </xf>
    <xf borderId="1" fillId="400" fontId="22" numFmtId="10" xfId="0" applyAlignment="1" applyBorder="1" applyFill="1" applyFont="1" applyNumberFormat="1">
      <alignment horizontal="center" readingOrder="0" shrinkToFit="0" vertical="center" wrapText="0"/>
    </xf>
    <xf borderId="1" fillId="440" fontId="22" numFmtId="10" xfId="0" applyAlignment="1" applyBorder="1" applyFill="1" applyFont="1" applyNumberFormat="1">
      <alignment horizontal="center" readingOrder="0" shrinkToFit="0" vertical="center" wrapText="0"/>
    </xf>
    <xf borderId="1" fillId="115" fontId="22" numFmtId="0" xfId="0" applyAlignment="1" applyBorder="1" applyFill="1" applyFont="1">
      <alignment horizontal="center" readingOrder="0" shrinkToFit="0" vertical="center" wrapText="0"/>
    </xf>
    <xf borderId="0" fillId="80" fontId="11" numFmtId="167" xfId="0" applyAlignment="1" applyFill="1" applyFont="1" applyNumberFormat="1">
      <alignment horizontal="center" shrinkToFit="0" vertical="center" wrapText="0"/>
    </xf>
    <xf borderId="1" fillId="372" fontId="22" numFmtId="10" xfId="0" applyAlignment="1" applyBorder="1" applyFill="1" applyFont="1" applyNumberFormat="1">
      <alignment horizontal="center" readingOrder="0" shrinkToFit="0" vertical="center" wrapText="0"/>
    </xf>
    <xf borderId="1" fillId="462" fontId="22" numFmtId="0" xfId="0" applyAlignment="1" applyBorder="1" applyFill="1" applyFont="1">
      <alignment horizontal="center" readingOrder="0" shrinkToFit="0" vertical="center" wrapText="0"/>
    </xf>
    <xf borderId="1" fillId="212" fontId="22" numFmtId="0" xfId="0" applyAlignment="1" applyBorder="1" applyFill="1" applyFont="1">
      <alignment horizontal="center" readingOrder="0" shrinkToFit="0" vertical="center" wrapText="0"/>
    </xf>
    <xf borderId="0" fillId="266" fontId="11" numFmtId="167" xfId="0" applyAlignment="1" applyFill="1" applyFont="1" applyNumberFormat="1">
      <alignment horizontal="center" shrinkToFit="0" vertical="center" wrapText="0"/>
    </xf>
    <xf borderId="1" fillId="405" fontId="22" numFmtId="10" xfId="0" applyAlignment="1" applyBorder="1" applyFill="1" applyFont="1" applyNumberFormat="1">
      <alignment horizontal="center" readingOrder="0" shrinkToFit="0" vertical="center" wrapText="0"/>
    </xf>
    <xf borderId="1" fillId="58" fontId="22" numFmtId="0" xfId="0" applyAlignment="1" applyBorder="1" applyFill="1" applyFont="1">
      <alignment horizontal="center" readingOrder="0" shrinkToFit="0" vertical="center" wrapText="0"/>
    </xf>
    <xf borderId="1" fillId="416" fontId="22" numFmtId="10" xfId="0" applyAlignment="1" applyBorder="1" applyFill="1" applyFont="1" applyNumberFormat="1">
      <alignment horizontal="center" readingOrder="0" shrinkToFit="0" vertical="center" wrapText="0"/>
    </xf>
    <xf borderId="1" fillId="123" fontId="22" numFmtId="0" xfId="0" applyAlignment="1" applyBorder="1" applyFill="1" applyFont="1">
      <alignment horizontal="center" readingOrder="0" shrinkToFit="0" vertical="center" wrapText="0"/>
    </xf>
    <xf borderId="0" fillId="332" fontId="11" numFmtId="167" xfId="0" applyAlignment="1" applyFill="1" applyFont="1" applyNumberFormat="1">
      <alignment horizontal="center" shrinkToFit="0" vertical="center" wrapText="0"/>
    </xf>
    <xf borderId="1" fillId="534" fontId="22" numFmtId="0" xfId="0" applyAlignment="1" applyBorder="1" applyFill="1" applyFont="1">
      <alignment horizontal="center" readingOrder="0" shrinkToFit="0" vertical="center" wrapText="0"/>
    </xf>
    <xf borderId="1" fillId="465" fontId="22" numFmtId="49" xfId="0" applyAlignment="1" applyBorder="1" applyFill="1" applyFont="1" applyNumberFormat="1">
      <alignment horizontal="center" shrinkToFit="0" vertical="bottom" wrapText="0"/>
    </xf>
    <xf borderId="0" fillId="479" fontId="11" numFmtId="167" xfId="0" applyAlignment="1" applyFill="1" applyFont="1" applyNumberFormat="1">
      <alignment horizontal="center" shrinkToFit="0" vertical="center" wrapText="0"/>
    </xf>
    <xf borderId="0" fillId="333" fontId="11" numFmtId="167" xfId="0" applyAlignment="1" applyFill="1" applyFont="1" applyNumberFormat="1">
      <alignment horizontal="center" shrinkToFit="0" vertical="center" wrapText="0"/>
    </xf>
    <xf borderId="1" fillId="354" fontId="22" numFmtId="0" xfId="0" applyAlignment="1" applyBorder="1" applyFill="1" applyFont="1">
      <alignment horizontal="center" readingOrder="0" shrinkToFit="0" vertical="center" wrapText="0"/>
    </xf>
    <xf borderId="0" fillId="339" fontId="11" numFmtId="167" xfId="0" applyAlignment="1" applyFill="1" applyFont="1" applyNumberFormat="1">
      <alignment horizontal="center" shrinkToFit="0" vertical="center" wrapText="0"/>
    </xf>
    <xf borderId="1" fillId="398" fontId="22" numFmtId="0" xfId="0" applyAlignment="1" applyBorder="1" applyFill="1" applyFont="1">
      <alignment horizontal="center" readingOrder="0" shrinkToFit="0" vertical="center" wrapText="0"/>
    </xf>
    <xf borderId="1" fillId="367" fontId="22" numFmtId="10" xfId="0" applyAlignment="1" applyBorder="1" applyFill="1" applyFont="1" applyNumberFormat="1">
      <alignment horizontal="center" readingOrder="0" shrinkToFit="0" vertical="center" wrapText="0"/>
    </xf>
    <xf borderId="1" fillId="427" fontId="22" numFmtId="10" xfId="0" applyAlignment="1" applyBorder="1" applyFill="1" applyFont="1" applyNumberFormat="1">
      <alignment horizontal="center" readingOrder="0" shrinkToFit="0" vertical="center" wrapText="0"/>
    </xf>
    <xf borderId="1" fillId="194" fontId="22" numFmtId="0" xfId="0" applyAlignment="1" applyBorder="1" applyFill="1" applyFont="1">
      <alignment horizontal="center" readingOrder="0" shrinkToFit="0" vertical="center" wrapText="0"/>
    </xf>
    <xf borderId="1" fillId="367" fontId="22" numFmtId="49" xfId="0" applyAlignment="1" applyBorder="1" applyFill="1" applyFont="1" applyNumberFormat="1">
      <alignment horizontal="center" shrinkToFit="0" vertical="bottom" wrapText="0"/>
    </xf>
    <xf borderId="1" fillId="482" fontId="22" numFmtId="10" xfId="0" applyAlignment="1" applyBorder="1" applyFill="1" applyFont="1" applyNumberFormat="1">
      <alignment horizontal="center" readingOrder="0" shrinkToFit="0" vertical="center" wrapText="0"/>
    </xf>
    <xf borderId="0" fillId="559" fontId="11" numFmtId="167" xfId="0" applyAlignment="1" applyFill="1" applyFont="1" applyNumberFormat="1">
      <alignment horizontal="center" shrinkToFit="0" vertical="center" wrapText="0"/>
    </xf>
    <xf borderId="1" fillId="104" fontId="22" numFmtId="0" xfId="0" applyAlignment="1" applyBorder="1" applyFill="1" applyFont="1">
      <alignment horizontal="center" readingOrder="0" shrinkToFit="0" vertical="center" wrapText="0"/>
    </xf>
    <xf borderId="1" fillId="442" fontId="22" numFmtId="10" xfId="0" applyAlignment="1" applyBorder="1" applyFill="1" applyFont="1" applyNumberFormat="1">
      <alignment horizontal="center" readingOrder="0" shrinkToFit="0" vertical="center" wrapText="0"/>
    </xf>
    <xf borderId="1" fillId="227" fontId="22" numFmtId="0" xfId="0" applyAlignment="1" applyBorder="1" applyFill="1" applyFont="1">
      <alignment horizontal="center" readingOrder="0" shrinkToFit="0" vertical="center" wrapText="0"/>
    </xf>
    <xf borderId="1" fillId="376" fontId="22" numFmtId="10" xfId="0" applyAlignment="1" applyBorder="1" applyFill="1" applyFont="1" applyNumberFormat="1">
      <alignment horizontal="center" readingOrder="0" shrinkToFit="0" vertical="center" wrapText="0"/>
    </xf>
    <xf borderId="13" fillId="3" fontId="22" numFmtId="0" xfId="0" applyAlignment="1" applyBorder="1" applyFill="1" applyFont="1">
      <alignment horizontal="center" shrinkToFit="0" vertical="bottom" wrapText="0"/>
    </xf>
    <xf borderId="1" fillId="477" fontId="22" numFmtId="0" xfId="0" applyAlignment="1" applyBorder="1" applyFill="1" applyFont="1">
      <alignment horizontal="center" readingOrder="0" shrinkToFit="0" vertical="center" wrapText="0"/>
    </xf>
    <xf borderId="1" fillId="3" fontId="22" numFmtId="49" xfId="0" applyAlignment="1" applyBorder="1" applyFill="1" applyFont="1" applyNumberFormat="1">
      <alignment horizontal="center" shrinkToFit="0" vertical="bottom" wrapText="0"/>
    </xf>
    <xf borderId="1" fillId="551" fontId="22" numFmtId="49" xfId="0" applyAlignment="1" applyBorder="1" applyFill="1" applyFont="1" applyNumberFormat="1">
      <alignment horizontal="center" shrinkToFit="0" vertical="bottom" wrapText="0"/>
    </xf>
    <xf borderId="1" fillId="399" fontId="22" numFmtId="10" xfId="0" applyAlignment="1" applyBorder="1" applyFill="1" applyFont="1" applyNumberFormat="1">
      <alignment horizontal="center" readingOrder="0" shrinkToFit="0" vertical="center" wrapText="0"/>
    </xf>
    <xf borderId="1" fillId="315" fontId="22" numFmtId="0" xfId="0" applyAlignment="1" applyBorder="1" applyFill="1" applyFont="1">
      <alignment horizontal="center" readingOrder="0" shrinkToFit="0" vertical="center" wrapText="0"/>
    </xf>
    <xf borderId="1" fillId="577" fontId="22" numFmtId="10" xfId="0" applyAlignment="1" applyBorder="1" applyFill="1" applyFont="1" applyNumberFormat="1">
      <alignment horizontal="center" readingOrder="0" shrinkToFit="0" vertical="center" wrapText="0"/>
    </xf>
    <xf borderId="1" fillId="3" fontId="23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right" readingOrder="0" shrinkToFit="0" vertical="bottom" wrapText="0"/>
    </xf>
    <xf borderId="1" fillId="3" fontId="28" numFmtId="0" xfId="0" applyAlignment="1" applyBorder="1" applyFill="1" applyFont="1">
      <alignment horizontal="center" shrinkToFit="0" vertical="center" wrapText="0"/>
    </xf>
    <xf borderId="14" fillId="3" fontId="29" numFmtId="0" xfId="0" applyAlignment="1" applyBorder="1" applyFill="1" applyFont="1">
      <alignment horizontal="center" shrinkToFit="0" wrapText="1"/>
    </xf>
    <xf borderId="1" fillId="133" fontId="22" numFmtId="0" xfId="0" applyAlignment="1" applyBorder="1" applyFill="1" applyFont="1">
      <alignment horizontal="center" readingOrder="0" shrinkToFit="0" vertical="center" wrapText="0"/>
    </xf>
    <xf borderId="14" fillId="3" fontId="29" numFmtId="167" xfId="0" applyAlignment="1" applyBorder="1" applyFill="1" applyFont="1" applyNumberFormat="1">
      <alignment horizontal="center" shrinkToFit="0" wrapText="1"/>
    </xf>
    <xf borderId="1" fillId="465" fontId="22" numFmtId="10" xfId="0" applyAlignment="1" applyBorder="1" applyFill="1" applyFont="1" applyNumberFormat="1">
      <alignment horizontal="center" readingOrder="0" shrinkToFit="0" vertical="center" wrapText="0"/>
    </xf>
    <xf borderId="14" fillId="3" fontId="29" numFmtId="49" xfId="0" applyAlignment="1" applyBorder="1" applyFill="1" applyFont="1" applyNumberFormat="1">
      <alignment horizontal="center" shrinkToFit="0" wrapText="1"/>
    </xf>
    <xf borderId="1" fillId="3" fontId="3" numFmtId="165" xfId="0" applyAlignment="1" applyBorder="1" applyFill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1" fillId="195" fontId="22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horizontal="right" readingOrder="0" shrinkToFit="0" vertical="bottom" wrapText="0"/>
    </xf>
    <xf borderId="0" fillId="3" fontId="11" numFmtId="0" xfId="0" applyAlignment="1" applyFill="1" applyFont="1">
      <alignment horizontal="center"/>
    </xf>
    <xf borderId="0" fillId="3" fontId="11" numFmtId="167" xfId="0" applyAlignment="1" applyFill="1" applyFont="1" applyNumberFormat="1">
      <alignment horizontal="center"/>
    </xf>
    <xf borderId="0" fillId="3" fontId="11" numFmtId="49" xfId="0" applyAlignment="1" applyFill="1" applyFont="1" applyNumberFormat="1">
      <alignment horizontal="center"/>
    </xf>
    <xf borderId="0" fillId="3" fontId="11" numFmtId="0" xfId="0" applyAlignment="1" applyFill="1" applyFont="1">
      <alignment horizontal="center"/>
    </xf>
    <xf borderId="1" fillId="110" fontId="22" numFmtId="0" xfId="0" applyAlignment="1" applyBorder="1" applyFill="1" applyFont="1">
      <alignment horizontal="center" readingOrder="0" shrinkToFit="0" vertical="center" wrapText="0"/>
    </xf>
    <xf borderId="1" fillId="3" fontId="23" numFmtId="1" xfId="0" applyAlignment="1" applyBorder="1" applyFill="1" applyFont="1" applyNumberFormat="1">
      <alignment horizontal="center" shrinkToFit="0" vertical="center" wrapText="0"/>
    </xf>
    <xf borderId="1" fillId="548" fontId="22" numFmtId="10" xfId="0" applyAlignment="1" applyBorder="1" applyFill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/>
    </xf>
    <xf borderId="0" fillId="0" fontId="6" numFmtId="10" xfId="0" applyAlignment="1" applyFont="1" applyNumberFormat="1">
      <alignment readingOrder="0"/>
    </xf>
    <xf borderId="1" fillId="480" fontId="22" numFmtId="10" xfId="0" applyAlignment="1" applyBorder="1" applyFill="1" applyFont="1" applyNumberFormat="1">
      <alignment horizontal="center" readingOrder="0" shrinkToFit="0" vertical="center" wrapText="0"/>
    </xf>
    <xf borderId="1" fillId="370" fontId="22" numFmtId="10" xfId="0" applyAlignment="1" applyBorder="1" applyFill="1" applyFont="1" applyNumberFormat="1">
      <alignment horizontal="center" readingOrder="0" shrinkToFit="0" vertical="center" wrapText="0"/>
    </xf>
    <xf borderId="1" fillId="412" fontId="22" numFmtId="0" xfId="0" applyAlignment="1" applyBorder="1" applyFill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/>
    </xf>
    <xf borderId="1" fillId="136" fontId="22" numFmtId="0" xfId="0" applyAlignment="1" applyBorder="1" applyFill="1" applyFont="1">
      <alignment horizontal="center" readingOrder="0" shrinkToFit="0" vertical="center" wrapText="0"/>
    </xf>
    <xf borderId="0" fillId="0" fontId="6" numFmtId="9" xfId="0" applyAlignment="1" applyFont="1" applyNumberFormat="1">
      <alignment readingOrder="0"/>
    </xf>
    <xf borderId="1" fillId="464" fontId="22" numFmtId="49" xfId="0" applyAlignment="1" applyBorder="1" applyFill="1" applyFont="1" applyNumberFormat="1">
      <alignment horizontal="center" shrinkToFit="0" vertical="bottom" wrapText="0"/>
    </xf>
    <xf borderId="1" fillId="3" fontId="23" numFmtId="0" xfId="0" applyAlignment="1" applyBorder="1" applyFill="1" applyFont="1">
      <alignment horizontal="center" shrinkToFit="0" vertical="center" wrapText="0"/>
    </xf>
    <xf borderId="1" fillId="494" fontId="22" numFmtId="10" xfId="0" applyAlignment="1" applyBorder="1" applyFill="1" applyFont="1" applyNumberFormat="1">
      <alignment horizontal="center" readingOrder="0" shrinkToFit="0" vertical="center" wrapText="0"/>
    </xf>
    <xf borderId="1" fillId="578" fontId="22" numFmtId="0" xfId="0" applyAlignment="1" applyBorder="1" applyFill="1" applyFont="1">
      <alignment horizontal="center" readingOrder="0" shrinkToFit="0" vertical="center" wrapText="0"/>
    </xf>
    <xf borderId="1" fillId="453" fontId="22" numFmtId="10" xfId="0" applyAlignment="1" applyBorder="1" applyFill="1" applyFont="1" applyNumberFormat="1">
      <alignment horizontal="center" readingOrder="0" shrinkToFit="0" vertical="center" wrapText="0"/>
    </xf>
    <xf borderId="1" fillId="173" fontId="22" numFmtId="0" xfId="0" applyAlignment="1" applyBorder="1" applyFill="1" applyFont="1">
      <alignment horizontal="center" readingOrder="0" shrinkToFit="0" vertical="center" wrapText="0"/>
    </xf>
    <xf borderId="1" fillId="203" fontId="22" numFmtId="0" xfId="0" applyAlignment="1" applyBorder="1" applyFill="1" applyFont="1">
      <alignment horizontal="center" readingOrder="0" shrinkToFit="0" vertical="center" wrapText="0"/>
    </xf>
    <xf borderId="1" fillId="95" fontId="22" numFmtId="0" xfId="0" applyAlignment="1" applyBorder="1" applyFill="1" applyFont="1">
      <alignment horizontal="center" readingOrder="0" shrinkToFit="0" vertical="center" wrapText="0"/>
    </xf>
    <xf borderId="1" fillId="425" fontId="22" numFmtId="10" xfId="0" applyAlignment="1" applyBorder="1" applyFill="1" applyFont="1" applyNumberFormat="1">
      <alignment horizontal="center" readingOrder="0" shrinkToFit="0" vertical="center" wrapText="0"/>
    </xf>
    <xf borderId="1" fillId="3" fontId="28" numFmtId="0" xfId="0" applyAlignment="1" applyBorder="1" applyFill="1" applyFont="1">
      <alignment horizontal="center" shrinkToFit="0" vertical="center" wrapText="0"/>
    </xf>
    <xf borderId="1" fillId="579" fontId="22" numFmtId="10" xfId="0" applyAlignment="1" applyBorder="1" applyFill="1" applyFont="1" applyNumberFormat="1">
      <alignment horizontal="center" readingOrder="0" shrinkToFit="0" vertical="center" wrapText="0"/>
    </xf>
    <xf borderId="1" fillId="413" fontId="22" numFmtId="10" xfId="0" applyAlignment="1" applyBorder="1" applyFill="1" applyFont="1" applyNumberFormat="1">
      <alignment horizontal="center" readingOrder="0" shrinkToFit="0" vertical="center" wrapText="0"/>
    </xf>
    <xf borderId="1" fillId="3" fontId="28" numFmtId="0" xfId="0" applyAlignment="1" applyBorder="1" applyFill="1" applyFont="1">
      <alignment horizontal="center" readingOrder="0" shrinkToFit="0" vertical="center" wrapText="0"/>
    </xf>
    <xf borderId="1" fillId="3" fontId="23" numFmtId="166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7">
    <tableStyle count="4" pivot="0" name="semana del 15 al 21 juni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 22 al28 juni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 29 junio al 5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 8 al 14 de juni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erre 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erre Juni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ierre Junio-style 3">
      <tableStyleElement dxfId="2" type="firstRowStripe"/>
      <tableStyleElement dxfId="3" type="secondRowStripe"/>
    </tableStyle>
    <tableStyle count="2" pivot="0" name="Cierre Junio-style 4">
      <tableStyleElement dxfId="3" type="firstRowStripe"/>
      <tableStyleElement dxfId="2" type="secondRowStripe"/>
    </tableStyle>
    <tableStyle count="2" pivot="0" name="Cierre Junio-style 5">
      <tableStyleElement dxfId="3" type="firstRowStripe"/>
      <tableStyleElement dxfId="2" type="secondRowStripe"/>
    </tableStyle>
    <tableStyle count="2" pivot="0" name="Cierre Junio-style 6">
      <tableStyleElement dxfId="2" type="firstRowStripe"/>
      <tableStyleElement dxfId="3" type="secondRowStripe"/>
    </tableStyle>
    <tableStyle count="2" pivot="0" name="Cierre Junio-style 7">
      <tableStyleElement dxfId="2" type="firstRowStripe"/>
      <tableStyleElement dxfId="3" type="secondRowStripe"/>
    </tableStyle>
    <tableStyle count="2" pivot="0" name="Cierre Junio-style 8">
      <tableStyleElement dxfId="2" type="firstRowStripe"/>
      <tableStyleElement dxfId="3" type="secondRowStripe"/>
    </tableStyle>
    <tableStyle count="2" pivot="0" name="Cierre Junio-style 9">
      <tableStyleElement dxfId="2" type="firstRowStripe"/>
      <tableStyleElement dxfId="3" type="secondRowStripe"/>
    </tableStyle>
    <tableStyle count="2" pivot="0" name="Cierre Junio-style 10">
      <tableStyleElement dxfId="2" type="firstRowStripe"/>
      <tableStyleElement dxfId="3" type="secondRowStripe"/>
    </tableStyle>
    <tableStyle count="2" pivot="0" name="Cierre Junio-style 11">
      <tableStyleElement dxfId="2" type="firstRowStripe"/>
      <tableStyleElement dxfId="3" type="secondRowStripe"/>
    </tableStyle>
    <tableStyle count="2" pivot="0" name="Cierre Junio-style 12">
      <tableStyleElement dxfId="2" type="firstRowStripe"/>
      <tableStyleElement dxfId="3" type="secondRowStripe"/>
    </tableStyle>
    <tableStyle count="2" pivot="0" name="Cierre Junio-style 13">
      <tableStyleElement dxfId="2" type="firstRowStripe"/>
      <tableStyleElement dxfId="3" type="secondRowStripe"/>
    </tableStyle>
    <tableStyle count="2" pivot="0" name="Cierre Junio-style 14">
      <tableStyleElement dxfId="2" type="firstRowStripe"/>
      <tableStyleElement dxfId="3" type="secondRowStripe"/>
    </tableStyle>
    <tableStyle count="2" pivot="0" name="Cierre Junio-style 15">
      <tableStyleElement dxfId="2" type="firstRowStripe"/>
      <tableStyleElement dxfId="3" type="secondRowStripe"/>
    </tableStyle>
    <tableStyle count="2" pivot="0" name="Cierre Junio-style 16">
      <tableStyleElement dxfId="2" type="firstRowStripe"/>
      <tableStyleElement dxfId="3" type="secondRowStripe"/>
    </tableStyle>
    <tableStyle count="2" pivot="0" name="Cierre Junio-style 17">
      <tableStyleElement dxfId="3" type="firstRowStripe"/>
      <tableStyleElement dxfId="2" type="secondRowStripe"/>
    </tableStyle>
    <tableStyle count="4" pivot="0" name=" semana 6 al 12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 semana 6 al 12 julio-style 2">
      <tableStyleElement dxfId="2" type="firstRowStripe"/>
      <tableStyleElement dxfId="3" type="secondRowStripe"/>
    </tableStyle>
    <tableStyle count="4" pivot="0" name="Semana 13 al 19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emana 13 al 19 julio-style 2">
      <tableStyleElement dxfId="2" type="firstRowStripe"/>
      <tableStyleElement dxfId="3" type="secondRowStripe"/>
    </tableStyle>
    <tableStyle count="4" pivot="0" name="20 al 26 de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0 al 26 de Julio-style 2">
      <tableStyleElement dxfId="2" type="firstRowStripe"/>
      <tableStyleElement dxfId="3" type="secondRowStripe"/>
    </tableStyle>
    <tableStyle count="4" pivot="0" name="27 julio al 2 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erre Juli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erre Julio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erre Julio 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ierre Julio -style 4">
      <tableStyleElement dxfId="2" type="firstRowStripe"/>
      <tableStyleElement dxfId="3" type="secondRowStripe"/>
    </tableStyle>
    <tableStyle count="2" pivot="0" name="cierre Julio -style 5">
      <tableStyleElement dxfId="3" type="firstRowStripe"/>
      <tableStyleElement dxfId="2" type="secondRowStripe"/>
    </tableStyle>
    <tableStyle count="2" pivot="0" name="cierre Julio -style 6">
      <tableStyleElement dxfId="3" type="firstRowStripe"/>
      <tableStyleElement dxfId="2" type="secondRowStripe"/>
    </tableStyle>
    <tableStyle count="2" pivot="0" name="cierre Julio -style 7">
      <tableStyleElement dxfId="2" type="firstRowStripe"/>
      <tableStyleElement dxfId="3" type="secondRowStripe"/>
    </tableStyle>
    <tableStyle count="2" pivot="0" name="cierre Julio -style 8">
      <tableStyleElement dxfId="2" type="firstRowStripe"/>
      <tableStyleElement dxfId="3" type="secondRowStripe"/>
    </tableStyle>
    <tableStyle count="2" pivot="0" name="cierre Julio -style 9">
      <tableStyleElement dxfId="2" type="firstRowStripe"/>
      <tableStyleElement dxfId="3" type="secondRowStripe"/>
    </tableStyle>
    <tableStyle count="2" pivot="0" name="cierre Julio -style 10">
      <tableStyleElement dxfId="2" type="firstRowStripe"/>
      <tableStyleElement dxfId="3" type="secondRowStripe"/>
    </tableStyle>
    <tableStyle count="2" pivot="0" name="cierre Julio -style 11">
      <tableStyleElement dxfId="2" type="firstRowStripe"/>
      <tableStyleElement dxfId="3" type="secondRowStripe"/>
    </tableStyle>
    <tableStyle count="2" pivot="0" name="cierre Julio -style 12">
      <tableStyleElement dxfId="2" type="firstRowStripe"/>
      <tableStyleElement dxfId="3" type="secondRowStripe"/>
    </tableStyle>
    <tableStyle count="2" pivot="0" name="cierre Julio -style 13">
      <tableStyleElement dxfId="2" type="firstRowStripe"/>
      <tableStyleElement dxfId="3" type="secondRowStripe"/>
    </tableStyle>
    <tableStyle count="2" pivot="0" name="cierre Julio -style 14">
      <tableStyleElement dxfId="2" type="firstRowStripe"/>
      <tableStyleElement dxfId="3" type="secondRowStripe"/>
    </tableStyle>
    <tableStyle count="2" pivot="0" name="cierre Julio -style 15">
      <tableStyleElement dxfId="2" type="firstRowStripe"/>
      <tableStyleElement dxfId="3" type="secondRowStripe"/>
    </tableStyle>
    <tableStyle count="2" pivot="0" name="cierre Julio -style 16">
      <tableStyleElement dxfId="2" type="firstRowStripe"/>
      <tableStyleElement dxfId="3" type="secondRowStripe"/>
    </tableStyle>
    <tableStyle count="2" pivot="0" name="cierre Julio -style 17">
      <tableStyleElement dxfId="2" type="firstRowStripe"/>
      <tableStyleElement dxfId="3" type="secondRowStripe"/>
    </tableStyle>
    <tableStyle count="2" pivot="0" name="cierre Julio -style 18">
      <tableStyleElement dxfId="2" type="firstRowStripe"/>
      <tableStyleElement dxfId="3" type="secondRowStripe"/>
    </tableStyle>
    <tableStyle count="2" pivot="0" name="cierre Julio -style 19">
      <tableStyleElement dxfId="2" type="firstRowStripe"/>
      <tableStyleElement dxfId="3" type="secondRowStripe"/>
    </tableStyle>
    <tableStyle count="2" pivot="0" name="cierre Julio -style 20">
      <tableStyleElement dxfId="2" type="firstRowStripe"/>
      <tableStyleElement dxfId="3" type="secondRowStripe"/>
    </tableStyle>
    <tableStyle count="2" pivot="0" name="cierre Julio -style 21">
      <tableStyleElement dxfId="2" type="firstRowStripe"/>
      <tableStyleElement dxfId="3" type="secondRowStripe"/>
    </tableStyle>
    <tableStyle count="2" pivot="0" name="cierre Julio -style 22">
      <tableStyleElement dxfId="2" type="firstRowStripe"/>
      <tableStyleElement dxfId="3" type="secondRowStripe"/>
    </tableStyle>
    <tableStyle count="2" pivot="0" name="cierre Julio -style 23">
      <tableStyleElement dxfId="3" type="firstRowStripe"/>
      <tableStyleElement dxfId="2" type="secondRowStripe"/>
    </tableStyle>
    <tableStyle count="4" pivot="0" name="03 al 09 de 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 al 16 de 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10 al 16 de agosto-style 2">
      <tableStyleElement dxfId="2" type="firstRowStripe"/>
      <tableStyleElement dxfId="3" type="secondRowStripe"/>
    </tableStyle>
    <tableStyle count="4" pivot="0" name="17 al 23 agost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17 al 23 agosto -style 2">
      <tableStyleElement dxfId="2" type="firstRowStripe"/>
      <tableStyleElement dxfId="3" type="secondRowStripe"/>
    </tableStyle>
    <tableStyle count="4" pivot="0" name="24al 30 de agost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4al 30 de agosto -style 2">
      <tableStyleElement dxfId="2" type="firstRowStripe"/>
      <tableStyleElement dxfId="3" type="secondRowStripe"/>
    </tableStyle>
    <tableStyle count="4" pivot="0" name="cierre 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ierre agosto-style 2">
      <tableStyleElement dxfId="2" type="firstRowStripe"/>
      <tableStyleElement dxfId="3" type="secondRowStripe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eptiembre-style 2">
      <tableStyleElement dxfId="2" type="firstRowStripe"/>
      <tableStyleElement dxfId="3" type="secondRowStripe"/>
    </tableStyle>
    <tableStyle count="4" pivot="0" name="31 agos al 6 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31 agos al 6 septiembre-style 2">
      <tableStyleElement dxfId="2" type="firstRowStripe"/>
      <tableStyleElement dxfId="3" type="secondRowStripe"/>
    </tableStyle>
    <tableStyle count="4" pivot="0" name="7 al 13 de 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7 al 13 de septiembre-style 2">
      <tableStyleElement dxfId="2" type="firstRowStripe"/>
      <tableStyleElement dxfId="3" type="secondRowStripe"/>
    </tableStyle>
    <tableStyle count="2" pivot="0" name="7 al 13 de septiembre-style 3">
      <tableStyleElement dxfId="2" type="firstRowStripe"/>
      <tableStyleElement dxfId="3" type="secondRowStripe"/>
    </tableStyle>
    <tableStyle count="4" pivot="0" name="14 al 20 de 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14 al 20 de septiembre-style 2">
      <tableStyleElement dxfId="2" type="firstRowStripe"/>
      <tableStyleElement dxfId="3" type="secondRowStripe"/>
    </tableStyle>
    <tableStyle count="2" pivot="0" name="14 al 20 de septiembre-style 3">
      <tableStyleElement dxfId="2" type="firstRowStripe"/>
      <tableStyleElement dxfId="3" type="secondRowStripe"/>
    </tableStyle>
    <tableStyle count="4" pivot="0" name="21 al 27 de septiembre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1 al 27 de septiembre 2026-style 2">
      <tableStyleElement dxfId="2" type="firstRowStripe"/>
      <tableStyleElement dxfId="3" type="secondRowStripe"/>
    </tableStyle>
    <tableStyle count="2" pivot="0" name="21 al 27 de septiembre 2026-style 3">
      <tableStyleElement dxfId="2" type="firstRowStripe"/>
      <tableStyleElement dxfId="3" type="secondRowStripe"/>
    </tableStyle>
    <tableStyle count="4" pivot="0" name="28 sep al 4 de octubre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 al 12 de octu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8 sep al 4 de octubre 2026-style 2">
      <tableStyleElement dxfId="2" type="firstRowStripe"/>
      <tableStyleElement dxfId="3" type="secondRowStripe"/>
    </tableStyle>
    <tableStyle count="2" pivot="0" name="28 sep al 4 de octubre 2026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2" displayName="Tabla_1" name="Tabla_1" id="3">
  <autoFilter ref="$A$1:$K$1002">
    <filterColumn colId="1">
      <filters>
        <filter val="Mi Gusto - Balvanera"/>
      </filters>
    </filterColumn>
  </autoFilter>
  <tableColumns count="11">
    <tableColumn name="Canal" id="1"/>
    <tableColumn name="Tiendas en el portal" id="2"/>
    <tableColumn name="ordenes confirmadas" id="3"/>
    <tableColumn name="Cancelaciones" id="4"/>
    <tableColumn name="% órdenes Canceladas" id="5"/>
    <tableColumn name="Reclamos" id="6"/>
    <tableColumn name="% Órdenes con reclamos" id="7"/>
    <tableColumn name="$ de reclamos" id="8"/>
    <tableColumn name="pedidos demorados" id="9"/>
    <tableColumn name="% Órdenes con demora" id="10"/>
    <tableColumn name="Disponibilidad" id="11"/>
  </tableColumns>
  <tableStyleInfo name="semana 8 al 14 de junio 2026-style" showColumnStripes="0" showFirstColumn="1" showLastColumn="1" showRowStripes="1"/>
</table>
</file>

<file path=xl/tables/table2.xml><?xml version="1.0" encoding="utf-8"?>
<table xmlns="http://schemas.openxmlformats.org/spreadsheetml/2006/main" ref="A1:K1002" displayName="Tabla" name="Tabla" id="4">
  <autoFilter ref="$A$1:$K$1002">
    <filterColumn colId="0">
      <filters>
        <filter val="MDL"/>
        <filter val="Peya"/>
        <filter val="Rappi"/>
      </filters>
    </filterColumn>
  </autoFilter>
  <tableColumns count="11">
    <tableColumn name="Canal" id="1"/>
    <tableColumn name="Tiendas en el portal" id="2"/>
    <tableColumn name="ordenes confirmadas" id="3"/>
    <tableColumn name="Cancelaciones" id="4"/>
    <tableColumn name="% órdenes Canceladas" id="5"/>
    <tableColumn name="Reclamos" id="6"/>
    <tableColumn name="% Órdenes con reclamos" id="7"/>
    <tableColumn name="$ de reclamos" id="8"/>
    <tableColumn name="pedidos demorados" id="9"/>
    <tableColumn name="% Órdenes con demora" id="10"/>
    <tableColumn name="Disponibilidad" id="11"/>
  </tableColumns>
  <tableStyleInfo name="semana del 15 al 21 junio 2026-style" showColumnStripes="0" showFirstColumn="1" showLastColumn="1" showRowStripes="1"/>
</table>
</file>

<file path=xl/tables/table3.xml><?xml version="1.0" encoding="utf-8"?>
<table xmlns="http://schemas.openxmlformats.org/spreadsheetml/2006/main" ref="A1:K82" displayName="Tabla_2" name="Tabla_2" id="2">
  <autoFilter ref="$A$1:$K$82"/>
  <tableColumns count="11">
    <tableColumn name="Canal" id="1"/>
    <tableColumn name="Tiendas en el portal" id="2"/>
    <tableColumn name="ordenes confirmadas" id="3"/>
    <tableColumn name="Cancelaciones" id="4"/>
    <tableColumn name="% órdenes Canceladas" id="5"/>
    <tableColumn name="Reclamos" id="6"/>
    <tableColumn name="% Órdenes con reclamos" id="7"/>
    <tableColumn name="$ de reclamos" id="8"/>
    <tableColumn name="pedidos demorados" id="9"/>
    <tableColumn name="% Órdenes con demora" id="10"/>
    <tableColumn name="Disponibilidad" id="11"/>
  </tableColumns>
  <tableStyleInfo name="Semana 22 al28 junio 2026-style" showColumnStripes="0" showFirstColumn="1" showLastColumn="1" showRowStripes="1"/>
</table>
</file>

<file path=xl/tables/table4.xml><?xml version="1.0" encoding="utf-8"?>
<table xmlns="http://schemas.openxmlformats.org/spreadsheetml/2006/main" ref="A1:L83" displayName="Tabla_3" name="Tabla_3" id="1">
  <autoFilter ref="$A$1:$L$83"/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semana 29 junio al 5 julio-style" showColumnStripes="0" showFirstColumn="1" showLastColumn="1" showRowStripes="1"/>
</table>
</file>

<file path=xl/tables/table5.xml><?xml version="1.0" encoding="utf-8"?>
<table xmlns="http://schemas.openxmlformats.org/spreadsheetml/2006/main" ref="A1:L106" displayName="Tabla_5" name="Tabla_5" id="5">
  <autoFilter ref="$A$1:$L$106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Cierre Junio-style" showColumnStripes="0" showFirstColumn="1" showLastColumn="1" showRowStripes="1"/>
</table>
</file>

<file path=xl/tables/table6.xml><?xml version="1.0" encoding="utf-8"?>
<table xmlns="http://schemas.openxmlformats.org/spreadsheetml/2006/main" headerRowCount="0" ref="P1:Q1" displayName="Tabla_6" name="Tabla_6" id="6">
  <tableColumns count="2">
    <tableColumn name="Column1" id="1"/>
    <tableColumn name="Column2" id="2"/>
  </tableColumns>
  <tableStyleInfo name="Cierre Jun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O2:R6" displayName="Table_1" name="Table_1" id="7">
  <tableColumns count="4">
    <tableColumn name="Column1" id="1"/>
    <tableColumn name="Column2" id="2"/>
    <tableColumn name="Column3" id="3"/>
    <tableColumn name="Column4" id="4"/>
  </tableColumns>
  <tableStyleInfo name="Cierre Junio-style 3" showColumnStripes="0" showFirstColumn="1" showLastColumn="1" showRowStripes="1"/>
</table>
</file>

<file path=xl/tables/table8.xml><?xml version="1.0" encoding="utf-8"?>
<table xmlns="http://schemas.openxmlformats.org/spreadsheetml/2006/main" headerRowCount="0" ref="O10:R14" displayName="Table_2" name="Table_2" id="8">
  <tableColumns count="4">
    <tableColumn name="Column1" id="1"/>
    <tableColumn name="Column2" id="2"/>
    <tableColumn name="Column3" id="3"/>
    <tableColumn name="Column4" id="4"/>
  </tableColumns>
  <tableStyleInfo name="Cierre Junio-style 4" showColumnStripes="0" showFirstColumn="1" showLastColumn="1" showRowStripes="1"/>
</table>
</file>

<file path=xl/tables/table9.xml><?xml version="1.0" encoding="utf-8"?>
<table xmlns="http://schemas.openxmlformats.org/spreadsheetml/2006/main" headerRowCount="0" ref="O18:R22" displayName="Table_3" name="Table_3" id="9">
  <tableColumns count="4">
    <tableColumn name="Column1" id="1"/>
    <tableColumn name="Column2" id="2"/>
    <tableColumn name="Column3" id="3"/>
    <tableColumn name="Column4" id="4"/>
  </tableColumns>
  <tableStyleInfo name="Cierre Junio-style 5" showColumnStripes="0" showFirstColumn="1" showLastColumn="1" showRowStripes="1"/>
</table>
</file>

<file path=xl/tables/table10.xml><?xml version="1.0" encoding="utf-8"?>
<table xmlns="http://schemas.openxmlformats.org/spreadsheetml/2006/main" headerRowCount="0" ref="O26:Q30" displayName="Table_4" name="Table_4" id="10">
  <tableColumns count="3">
    <tableColumn name="Column1" id="1"/>
    <tableColumn name="Column2" id="2"/>
    <tableColumn name="Column3" id="3"/>
  </tableColumns>
  <tableStyleInfo name="Cierre Junio-style 6" showColumnStripes="0" showFirstColumn="1" showLastColumn="1" showRowStripes="1"/>
</table>
</file>

<file path=xl/tables/table11.xml><?xml version="1.0" encoding="utf-8"?>
<table xmlns="http://schemas.openxmlformats.org/spreadsheetml/2006/main" headerRowCount="0" ref="O34:Q38" displayName="Table_5" name="Table_5" id="11">
  <tableColumns count="3">
    <tableColumn name="Column1" id="1"/>
    <tableColumn name="Column2" id="2"/>
    <tableColumn name="Column3" id="3"/>
  </tableColumns>
  <tableStyleInfo name="Cierre Junio-style 7" showColumnStripes="0" showFirstColumn="1" showLastColumn="1" showRowStripes="1"/>
</table>
</file>

<file path=xl/tables/table12.xml><?xml version="1.0" encoding="utf-8"?>
<table xmlns="http://schemas.openxmlformats.org/spreadsheetml/2006/main" headerRowCount="0" ref="O41:Q45" displayName="Table_6" name="Table_6" id="12">
  <tableColumns count="3">
    <tableColumn name="Column1" id="1"/>
    <tableColumn name="Column2" id="2"/>
    <tableColumn name="Column3" id="3"/>
  </tableColumns>
  <tableStyleInfo name="Cierre Junio-style 8" showColumnStripes="0" showFirstColumn="1" showLastColumn="1" showRowStripes="1"/>
</table>
</file>

<file path=xl/tables/table13.xml><?xml version="1.0" encoding="utf-8"?>
<table xmlns="http://schemas.openxmlformats.org/spreadsheetml/2006/main" headerRowCount="0" ref="T41:V45" displayName="Table_7" name="Table_7" id="13">
  <tableColumns count="3">
    <tableColumn name="Column1" id="1"/>
    <tableColumn name="Column2" id="2"/>
    <tableColumn name="Column3" id="3"/>
  </tableColumns>
  <tableStyleInfo name="Cierre Junio-style 9" showColumnStripes="0" showFirstColumn="1" showLastColumn="1" showRowStripes="1"/>
</table>
</file>

<file path=xl/tables/table14.xml><?xml version="1.0" encoding="utf-8"?>
<table xmlns="http://schemas.openxmlformats.org/spreadsheetml/2006/main" headerRowCount="0" ref="O48:Q52" displayName="Table_8" name="Table_8" id="14">
  <tableColumns count="3">
    <tableColumn name="Column1" id="1"/>
    <tableColumn name="Column2" id="2"/>
    <tableColumn name="Column3" id="3"/>
  </tableColumns>
  <tableStyleInfo name="Cierre Junio-style 10" showColumnStripes="0" showFirstColumn="1" showLastColumn="1" showRowStripes="1"/>
</table>
</file>

<file path=xl/tables/table15.xml><?xml version="1.0" encoding="utf-8"?>
<table xmlns="http://schemas.openxmlformats.org/spreadsheetml/2006/main" headerRowCount="0" ref="O55:Q59" displayName="Table_9" name="Table_9" id="15">
  <tableColumns count="3">
    <tableColumn name="Column1" id="1"/>
    <tableColumn name="Column2" id="2"/>
    <tableColumn name="Column3" id="3"/>
  </tableColumns>
  <tableStyleInfo name="Cierre Junio-style 11" showColumnStripes="0" showFirstColumn="1" showLastColumn="1" showRowStripes="1"/>
</table>
</file>

<file path=xl/tables/table16.xml><?xml version="1.0" encoding="utf-8"?>
<table xmlns="http://schemas.openxmlformats.org/spreadsheetml/2006/main" headerRowCount="0" ref="T56:V60" displayName="Table_10" name="Table_10" id="16">
  <tableColumns count="3">
    <tableColumn name="Column1" id="1"/>
    <tableColumn name="Column2" id="2"/>
    <tableColumn name="Column3" id="3"/>
  </tableColumns>
  <tableStyleInfo name="Cierre Junio-style 12" showColumnStripes="0" showFirstColumn="1" showLastColumn="1" showRowStripes="1"/>
</table>
</file>

<file path=xl/tables/table17.xml><?xml version="1.0" encoding="utf-8"?>
<table xmlns="http://schemas.openxmlformats.org/spreadsheetml/2006/main" headerRowCount="0" ref="O62:Q80" displayName="Table_11" name="Table_11" id="17">
  <tableColumns count="3">
    <tableColumn name="Column1" id="1"/>
    <tableColumn name="Column2" id="2"/>
    <tableColumn name="Column3" id="3"/>
  </tableColumns>
  <tableStyleInfo name="Cierre Junio-style 13" showColumnStripes="0" showFirstColumn="1" showLastColumn="1" showRowStripes="1"/>
</table>
</file>

<file path=xl/tables/table18.xml><?xml version="1.0" encoding="utf-8"?>
<table xmlns="http://schemas.openxmlformats.org/spreadsheetml/2006/main" headerRowCount="0" ref="U64:W68" displayName="Table_12" name="Table_12" id="18">
  <tableColumns count="3">
    <tableColumn name="Column1" id="1"/>
    <tableColumn name="Column2" id="2"/>
    <tableColumn name="Column3" id="3"/>
  </tableColumns>
  <tableStyleInfo name="Cierre Junio-style 14" showColumnStripes="0" showFirstColumn="1" showLastColumn="1" showRowStripes="1"/>
</table>
</file>

<file path=xl/tables/table19.xml><?xml version="1.0" encoding="utf-8"?>
<table xmlns="http://schemas.openxmlformats.org/spreadsheetml/2006/main" headerRowCount="0" ref="U79:W83" displayName="Table_13" name="Table_13" id="19">
  <tableColumns count="3">
    <tableColumn name="Column1" id="1"/>
    <tableColumn name="Column2" id="2"/>
    <tableColumn name="Column3" id="3"/>
  </tableColumns>
  <tableStyleInfo name="Cierre Junio-style 15" showColumnStripes="0" showFirstColumn="1" showLastColumn="1" showRowStripes="1"/>
</table>
</file>

<file path=xl/tables/table20.xml><?xml version="1.0" encoding="utf-8"?>
<table xmlns="http://schemas.openxmlformats.org/spreadsheetml/2006/main" headerRowCount="0" ref="O90:Q94" displayName="Table_14" name="Table_14" id="20">
  <tableColumns count="3">
    <tableColumn name="Column1" id="1"/>
    <tableColumn name="Column2" id="2"/>
    <tableColumn name="Column3" id="3"/>
  </tableColumns>
  <tableStyleInfo name="Cierre Junio-style 16" showColumnStripes="0" showFirstColumn="1" showLastColumn="1" showRowStripes="1"/>
</table>
</file>

<file path=xl/tables/table21.xml><?xml version="1.0" encoding="utf-8"?>
<table xmlns="http://schemas.openxmlformats.org/spreadsheetml/2006/main" headerRowCount="0" ref="O97:Q101" displayName="Table_15" name="Table_15" id="21">
  <tableColumns count="3">
    <tableColumn name="Column1" id="1"/>
    <tableColumn name="Column2" id="2"/>
    <tableColumn name="Column3" id="3"/>
  </tableColumns>
  <tableStyleInfo name="Cierre Junio-style 17" showColumnStripes="0" showFirstColumn="1" showLastColumn="1" showRowStripes="1"/>
</table>
</file>

<file path=xl/tables/table22.xml><?xml version="1.0" encoding="utf-8"?>
<table xmlns="http://schemas.openxmlformats.org/spreadsheetml/2006/main" ref="A1:L84" displayName="Tabla_4" name="Tabla_4" id="22">
  <autoFilter ref="$A$1:$L$84"/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 semana 6 al 12 julio-style" showColumnStripes="0" showFirstColumn="1" showLastColumn="1" showRowStripes="1"/>
</table>
</file>

<file path=xl/tables/table23.xml><?xml version="1.0" encoding="utf-8"?>
<table xmlns="http://schemas.openxmlformats.org/spreadsheetml/2006/main" headerRowCount="0" ref="N9:N72" displayName="Table_16" name="Table_16" id="23">
  <tableColumns count="1">
    <tableColumn name="Column1" id="1"/>
  </tableColumns>
  <tableStyleInfo name=" semana 6 al 12 julio-style 2" showColumnStripes="0" showFirstColumn="1" showLastColumn="1" showRowStripes="1"/>
</table>
</file>

<file path=xl/tables/table24.xml><?xml version="1.0" encoding="utf-8"?>
<table xmlns="http://schemas.openxmlformats.org/spreadsheetml/2006/main" ref="A1:L85" displayName="Tabla_7" name="Tabla_7" id="24">
  <autoFilter ref="$A$1:$L$85"/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Semana 13 al 19 julio-style" showColumnStripes="0" showFirstColumn="1" showLastColumn="1" showRowStripes="1"/>
</table>
</file>

<file path=xl/tables/table25.xml><?xml version="1.0" encoding="utf-8"?>
<table xmlns="http://schemas.openxmlformats.org/spreadsheetml/2006/main" headerRowCount="0" ref="M10:M74" displayName="Table_17" name="Table_17" id="25">
  <tableColumns count="1">
    <tableColumn name="Column1" id="1"/>
  </tableColumns>
  <tableStyleInfo name="Semana 13 al 19 julio-style 2" showColumnStripes="0" showFirstColumn="1" showLastColumn="1" showRowStripes="1"/>
</table>
</file>

<file path=xl/tables/table26.xml><?xml version="1.0" encoding="utf-8"?>
<table xmlns="http://schemas.openxmlformats.org/spreadsheetml/2006/main" ref="A1:L86" displayName="Tabla_8" name="Tabla_8" id="26">
  <autoFilter ref="$A$1:$L$86"/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20 al 26 de Julio-style" showColumnStripes="0" showFirstColumn="1" showLastColumn="1" showRowStripes="1"/>
</table>
</file>

<file path=xl/tables/table27.xml><?xml version="1.0" encoding="utf-8"?>
<table xmlns="http://schemas.openxmlformats.org/spreadsheetml/2006/main" headerRowCount="0" ref="M10:M75" displayName="Table_18" name="Table_18" id="27">
  <tableColumns count="1">
    <tableColumn name="Column1" id="1"/>
  </tableColumns>
  <tableStyleInfo name="20 al 26 de Julio-style 2" showColumnStripes="0" showFirstColumn="1" showLastColumn="1" showRowStripes="1"/>
</table>
</file>

<file path=xl/tables/table28.xml><?xml version="1.0" encoding="utf-8"?>
<table xmlns="http://schemas.openxmlformats.org/spreadsheetml/2006/main" ref="A1:L87" displayName="Tabla_9" name="Tabla_9" id="28">
  <autoFilter ref="$A$1:$L$87">
    <filterColumn colId="0">
      <filters>
        <filter val="MDL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27 julio al 2 agosto-style" showColumnStripes="0" showFirstColumn="1" showLastColumn="1" showRowStripes="1"/>
</table>
</file>

<file path=xl/tables/table29.xml><?xml version="1.0" encoding="utf-8"?>
<table xmlns="http://schemas.openxmlformats.org/spreadsheetml/2006/main" ref="A1:L108" displayName="Tabla_11" name="Tabla_11" id="29">
  <autoFilter ref="$A$1:$L$108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cierre Julio -style" showColumnStripes="0" showFirstColumn="1" showLastColumn="1" showRowStripes="1"/>
</table>
</file>

<file path=xl/tables/table30.xml><?xml version="1.0" encoding="utf-8"?>
<table xmlns="http://schemas.openxmlformats.org/spreadsheetml/2006/main" headerRowCount="0" ref="P1:Q1" displayName="Tabla_10" name="Tabla_10" id="30">
  <tableColumns count="2">
    <tableColumn name="Column1" id="1"/>
    <tableColumn name="Column2" id="2"/>
  </tableColumns>
  <tableStyleInfo name="cierre Julio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T1:U1" displayName="Tabla_12" name="Tabla_12" id="31">
  <tableColumns count="2">
    <tableColumn name="Column1" id="1"/>
    <tableColumn name="Column2" id="2"/>
  </tableColumns>
  <tableStyleInfo name="cierre Julio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O2:U6" displayName="Table_19" name="Table_19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ierre Julio -style 4" showColumnStripes="0" showFirstColumn="1" showLastColumn="1" showRowStripes="1"/>
</table>
</file>

<file path=xl/tables/table33.xml><?xml version="1.0" encoding="utf-8"?>
<table xmlns="http://schemas.openxmlformats.org/spreadsheetml/2006/main" headerRowCount="0" ref="O10:U14" displayName="Table_20" name="Table_20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ierre Julio -style 5" showColumnStripes="0" showFirstColumn="1" showLastColumn="1" showRowStripes="1"/>
</table>
</file>

<file path=xl/tables/table34.xml><?xml version="1.0" encoding="utf-8"?>
<table xmlns="http://schemas.openxmlformats.org/spreadsheetml/2006/main" headerRowCount="0" ref="O18:U23" displayName="Table_21" name="Table_21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ierre Julio -style 6" showColumnStripes="0" showFirstColumn="1" showLastColumn="1" showRowStripes="1"/>
</table>
</file>

<file path=xl/tables/table35.xml><?xml version="1.0" encoding="utf-8"?>
<table xmlns="http://schemas.openxmlformats.org/spreadsheetml/2006/main" headerRowCount="0" ref="O26:Q31" displayName="Table_22" name="Table_22" id="35">
  <tableColumns count="3">
    <tableColumn name="Column1" id="1"/>
    <tableColumn name="Column2" id="2"/>
    <tableColumn name="Column3" id="3"/>
  </tableColumns>
  <tableStyleInfo name="cierre Julio -style 7" showColumnStripes="0" showFirstColumn="1" showLastColumn="1" showRowStripes="1"/>
</table>
</file>

<file path=xl/tables/table36.xml><?xml version="1.0" encoding="utf-8"?>
<table xmlns="http://schemas.openxmlformats.org/spreadsheetml/2006/main" headerRowCount="0" ref="S27:U31" displayName="Table_23" name="Table_23" id="36">
  <tableColumns count="3">
    <tableColumn name="Column1" id="1"/>
    <tableColumn name="Column2" id="2"/>
    <tableColumn name="Column3" id="3"/>
  </tableColumns>
  <tableStyleInfo name="cierre Julio -style 8" showColumnStripes="0" showFirstColumn="1" showLastColumn="1" showRowStripes="1"/>
</table>
</file>

<file path=xl/tables/table37.xml><?xml version="1.0" encoding="utf-8"?>
<table xmlns="http://schemas.openxmlformats.org/spreadsheetml/2006/main" headerRowCount="0" ref="O34:Q38" displayName="Table_24" name="Table_24" id="37">
  <tableColumns count="3">
    <tableColumn name="Column1" id="1"/>
    <tableColumn name="Column2" id="2"/>
    <tableColumn name="Column3" id="3"/>
  </tableColumns>
  <tableStyleInfo name="cierre Julio -style 9" showColumnStripes="0" showFirstColumn="1" showLastColumn="1" showRowStripes="1"/>
</table>
</file>

<file path=xl/tables/table38.xml><?xml version="1.0" encoding="utf-8"?>
<table xmlns="http://schemas.openxmlformats.org/spreadsheetml/2006/main" headerRowCount="0" ref="S34:U38" displayName="Table_25" name="Table_25" id="38">
  <tableColumns count="3">
    <tableColumn name="Column1" id="1"/>
    <tableColumn name="Column2" id="2"/>
    <tableColumn name="Column3" id="3"/>
  </tableColumns>
  <tableStyleInfo name="cierre Julio -style 10" showColumnStripes="0" showFirstColumn="1" showLastColumn="1" showRowStripes="1"/>
</table>
</file>

<file path=xl/tables/table39.xml><?xml version="1.0" encoding="utf-8"?>
<table xmlns="http://schemas.openxmlformats.org/spreadsheetml/2006/main" headerRowCount="0" ref="O41:Q45" displayName="Table_26" name="Table_26" id="39">
  <tableColumns count="3">
    <tableColumn name="Column1" id="1"/>
    <tableColumn name="Column2" id="2"/>
    <tableColumn name="Column3" id="3"/>
  </tableColumns>
  <tableStyleInfo name="cierre Julio -style 11" showColumnStripes="0" showFirstColumn="1" showLastColumn="1" showRowStripes="1"/>
</table>
</file>

<file path=xl/tables/table40.xml><?xml version="1.0" encoding="utf-8"?>
<table xmlns="http://schemas.openxmlformats.org/spreadsheetml/2006/main" headerRowCount="0" ref="T41:U45" displayName="Table_27" name="Table_27" id="40">
  <tableColumns count="2">
    <tableColumn name="Column1" id="1"/>
    <tableColumn name="Column2" id="2"/>
  </tableColumns>
  <tableStyleInfo name="cierre Julio -style 12" showColumnStripes="0" showFirstColumn="1" showLastColumn="1" showRowStripes="1"/>
</table>
</file>

<file path=xl/tables/table41.xml><?xml version="1.0" encoding="utf-8"?>
<table xmlns="http://schemas.openxmlformats.org/spreadsheetml/2006/main" headerRowCount="0" ref="O48:Q52" displayName="Table_28" name="Table_28" id="41">
  <tableColumns count="3">
    <tableColumn name="Column1" id="1"/>
    <tableColumn name="Column2" id="2"/>
    <tableColumn name="Column3" id="3"/>
  </tableColumns>
  <tableStyleInfo name="cierre Julio -style 13" showColumnStripes="0" showFirstColumn="1" showLastColumn="1" showRowStripes="1"/>
</table>
</file>

<file path=xl/tables/table42.xml><?xml version="1.0" encoding="utf-8"?>
<table xmlns="http://schemas.openxmlformats.org/spreadsheetml/2006/main" headerRowCount="0" ref="S48:U52" displayName="Table_29" name="Table_29" id="42">
  <tableColumns count="3">
    <tableColumn name="Column1" id="1"/>
    <tableColumn name="Column2" id="2"/>
    <tableColumn name="Column3" id="3"/>
  </tableColumns>
  <tableStyleInfo name="cierre Julio -style 14" showColumnStripes="0" showFirstColumn="1" showLastColumn="1" showRowStripes="1"/>
</table>
</file>

<file path=xl/tables/table43.xml><?xml version="1.0" encoding="utf-8"?>
<table xmlns="http://schemas.openxmlformats.org/spreadsheetml/2006/main" headerRowCount="0" ref="O55:Q59" displayName="Table_30" name="Table_30" id="43">
  <tableColumns count="3">
    <tableColumn name="Column1" id="1"/>
    <tableColumn name="Column2" id="2"/>
    <tableColumn name="Column3" id="3"/>
  </tableColumns>
  <tableStyleInfo name="cierre Julio -style 15" showColumnStripes="0" showFirstColumn="1" showLastColumn="1" showRowStripes="1"/>
</table>
</file>

<file path=xl/tables/table44.xml><?xml version="1.0" encoding="utf-8"?>
<table xmlns="http://schemas.openxmlformats.org/spreadsheetml/2006/main" headerRowCount="0" ref="S55:U55" displayName="Table_31" name="Table_31" id="44">
  <tableColumns count="3">
    <tableColumn name="Column1" id="1"/>
    <tableColumn name="Column2" id="2"/>
    <tableColumn name="Column3" id="3"/>
  </tableColumns>
  <tableStyleInfo name="cierre Julio -style 16" showColumnStripes="0" showFirstColumn="1" showLastColumn="1" showRowStripes="1"/>
</table>
</file>

<file path=xl/tables/table45.xml><?xml version="1.0" encoding="utf-8"?>
<table xmlns="http://schemas.openxmlformats.org/spreadsheetml/2006/main" headerRowCount="0" ref="T56:U61" displayName="Table_32" name="Table_32" id="45">
  <tableColumns count="2">
    <tableColumn name="Column1" id="1"/>
    <tableColumn name="Column2" id="2"/>
  </tableColumns>
  <tableStyleInfo name="cierre Julio -style 17" showColumnStripes="0" showFirstColumn="1" showLastColumn="1" showRowStripes="1"/>
</table>
</file>

<file path=xl/tables/table46.xml><?xml version="1.0" encoding="utf-8"?>
<table xmlns="http://schemas.openxmlformats.org/spreadsheetml/2006/main" headerRowCount="0" ref="O62:Q80" displayName="Table_33" name="Table_33" id="46">
  <tableColumns count="3">
    <tableColumn name="Column1" id="1"/>
    <tableColumn name="Column2" id="2"/>
    <tableColumn name="Column3" id="3"/>
  </tableColumns>
  <tableStyleInfo name="cierre Julio -style 18" showColumnStripes="0" showFirstColumn="1" showLastColumn="1" showRowStripes="1"/>
</table>
</file>

<file path=xl/tables/table47.xml><?xml version="1.0" encoding="utf-8"?>
<table xmlns="http://schemas.openxmlformats.org/spreadsheetml/2006/main" headerRowCount="0" ref="T62:T66" displayName="Table_34" name="Table_34" id="47">
  <tableColumns count="1">
    <tableColumn name="Column1" id="1"/>
  </tableColumns>
  <tableStyleInfo name="cierre Julio -style 19" showColumnStripes="0" showFirstColumn="1" showLastColumn="1" showRowStripes="1"/>
</table>
</file>

<file path=xl/tables/table48.xml><?xml version="1.0" encoding="utf-8"?>
<table xmlns="http://schemas.openxmlformats.org/spreadsheetml/2006/main" headerRowCount="0" ref="U64:V68" displayName="Table_35" name="Table_35" id="48">
  <tableColumns count="2">
    <tableColumn name="Column1" id="1"/>
    <tableColumn name="Column2" id="2"/>
  </tableColumns>
  <tableStyleInfo name="cierre Julio -style 20" showColumnStripes="0" showFirstColumn="1" showLastColumn="1" showRowStripes="1"/>
</table>
</file>

<file path=xl/tables/table49.xml><?xml version="1.0" encoding="utf-8"?>
<table xmlns="http://schemas.openxmlformats.org/spreadsheetml/2006/main" headerRowCount="0" ref="U79:V83" displayName="Table_36" name="Table_36" id="49">
  <tableColumns count="2">
    <tableColumn name="Column1" id="1"/>
    <tableColumn name="Column2" id="2"/>
  </tableColumns>
  <tableStyleInfo name="cierre Julio -style 21" showColumnStripes="0" showFirstColumn="1" showLastColumn="1" showRowStripes="1"/>
</table>
</file>

<file path=xl/tables/table50.xml><?xml version="1.0" encoding="utf-8"?>
<table xmlns="http://schemas.openxmlformats.org/spreadsheetml/2006/main" headerRowCount="0" ref="O90:Q94" displayName="Table_37" name="Table_37" id="50">
  <tableColumns count="3">
    <tableColumn name="Column1" id="1"/>
    <tableColumn name="Column2" id="2"/>
    <tableColumn name="Column3" id="3"/>
  </tableColumns>
  <tableStyleInfo name="cierre Julio -style 22" showColumnStripes="0" showFirstColumn="1" showLastColumn="1" showRowStripes="1"/>
</table>
</file>

<file path=xl/tables/table51.xml><?xml version="1.0" encoding="utf-8"?>
<table xmlns="http://schemas.openxmlformats.org/spreadsheetml/2006/main" headerRowCount="0" ref="O97:Q101" displayName="Table_38" name="Table_38" id="51">
  <tableColumns count="3">
    <tableColumn name="Column1" id="1"/>
    <tableColumn name="Column2" id="2"/>
    <tableColumn name="Column3" id="3"/>
  </tableColumns>
  <tableStyleInfo name="cierre Julio -style 23" showColumnStripes="0" showFirstColumn="1" showLastColumn="1" showRowStripes="1"/>
</table>
</file>

<file path=xl/tables/table52.xml><?xml version="1.0" encoding="utf-8"?>
<table xmlns="http://schemas.openxmlformats.org/spreadsheetml/2006/main" ref="A1:L87" displayName="Tabla_13" name="Tabla_13" id="52">
  <autoFilter ref="$A$1:$L$87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03 al 09 de agosto-style" showColumnStripes="0" showFirstColumn="1" showLastColumn="1" showRowStripes="1"/>
</table>
</file>

<file path=xl/tables/table53.xml><?xml version="1.0" encoding="utf-8"?>
<table xmlns="http://schemas.openxmlformats.org/spreadsheetml/2006/main" ref="A1:L87" displayName="Tabla_14" name="Tabla_14" id="53">
  <autoFilter ref="$A$1:$L$87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10 al 16 de agosto-style" showColumnStripes="0" showFirstColumn="1" showLastColumn="1" showRowStripes="1"/>
</table>
</file>

<file path=xl/tables/table54.xml><?xml version="1.0" encoding="utf-8"?>
<table xmlns="http://schemas.openxmlformats.org/spreadsheetml/2006/main" headerRowCount="0" ref="F94:H118" displayName="Table_39" name="Table_39" id="54">
  <tableColumns count="3">
    <tableColumn name="Column1" id="1"/>
    <tableColumn name="Column2" id="2"/>
    <tableColumn name="Column3" id="3"/>
  </tableColumns>
  <tableStyleInfo name="10 al 16 de agosto-style 2" showColumnStripes="0" showFirstColumn="1" showLastColumn="1" showRowStripes="1"/>
</table>
</file>

<file path=xl/tables/table55.xml><?xml version="1.0" encoding="utf-8"?>
<table xmlns="http://schemas.openxmlformats.org/spreadsheetml/2006/main" ref="A1:L87" displayName="Tabla_15" name="Tabla_15" id="55">
  <autoFilter ref="$A$1:$L$87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17 al 23 agosto -style" showColumnStripes="0" showFirstColumn="1" showLastColumn="1" showRowStripes="1"/>
</table>
</file>

<file path=xl/tables/table56.xml><?xml version="1.0" encoding="utf-8"?>
<table xmlns="http://schemas.openxmlformats.org/spreadsheetml/2006/main" headerRowCount="0" ref="F94:H118" displayName="Table_40" name="Table_40" id="56">
  <tableColumns count="3">
    <tableColumn name="Column1" id="1"/>
    <tableColumn name="Column2" id="2"/>
    <tableColumn name="Column3" id="3"/>
  </tableColumns>
  <tableStyleInfo name="17 al 23 agosto -style 2" showColumnStripes="0" showFirstColumn="1" showLastColumn="1" showRowStripes="1"/>
</table>
</file>

<file path=xl/tables/table57.xml><?xml version="1.0" encoding="utf-8"?>
<table xmlns="http://schemas.openxmlformats.org/spreadsheetml/2006/main" ref="A1:L87" displayName="Tabla_16" name="Tabla_16" id="57">
  <autoFilter ref="$A$1:$L$87">
    <filterColumn colId="0">
      <filters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24al 30 de agosto -style" showColumnStripes="0" showFirstColumn="1" showLastColumn="1" showRowStripes="1"/>
</table>
</file>

<file path=xl/tables/table58.xml><?xml version="1.0" encoding="utf-8"?>
<table xmlns="http://schemas.openxmlformats.org/spreadsheetml/2006/main" headerRowCount="0" ref="F91:H119" displayName="Table_41" name="Table_41" id="58">
  <tableColumns count="3">
    <tableColumn name="Column1" id="1"/>
    <tableColumn name="Column2" id="2"/>
    <tableColumn name="Column3" id="3"/>
  </tableColumns>
  <tableStyleInfo name="24al 30 de agosto -style 2" showColumnStripes="0" showFirstColumn="1" showLastColumn="1" showRowStripes="1"/>
</table>
</file>

<file path=xl/tables/table59.xml><?xml version="1.0" encoding="utf-8"?>
<table xmlns="http://schemas.openxmlformats.org/spreadsheetml/2006/main" ref="A1:L87" displayName="Tabla_17" name="Tabla_17" id="59">
  <autoFilter ref="$A$1:$L$87">
    <filterColumn colId="0">
      <filters>
        <filter val="MDL"/>
        <filter val="Peya"/>
        <filter val="Rappi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cierre agosto-style" showColumnStripes="0" showFirstColumn="1" showLastColumn="1" showRowStripes="1"/>
</table>
</file>

<file path=xl/tables/table60.xml><?xml version="1.0" encoding="utf-8"?>
<table xmlns="http://schemas.openxmlformats.org/spreadsheetml/2006/main" headerRowCount="0" ref="F91:H119" displayName="Table_42" name="Table_42" id="60">
  <tableColumns count="3">
    <tableColumn name="Column1" id="1"/>
    <tableColumn name="Column2" id="2"/>
    <tableColumn name="Column3" id="3"/>
  </tableColumns>
  <tableStyleInfo name="cierre agosto-style 2" showColumnStripes="0" showFirstColumn="1" showLastColumn="1" showRowStripes="1"/>
</table>
</file>

<file path=xl/tables/table61.xml><?xml version="1.0" encoding="utf-8"?>
<table xmlns="http://schemas.openxmlformats.org/spreadsheetml/2006/main" ref="A1:L86" displayName="Tabla_22" name="Tabla_22" id="61">
  <autoFilter ref="$A$1:$L$86">
    <filterColumn colId="0">
      <filters>
        <filter val="Peya"/>
      </filters>
    </filterColumn>
  </autoFilter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Septiembre-style" showColumnStripes="0" showFirstColumn="1" showLastColumn="1" showRowStripes="1"/>
</table>
</file>

<file path=xl/tables/table62.xml><?xml version="1.0" encoding="utf-8"?>
<table xmlns="http://schemas.openxmlformats.org/spreadsheetml/2006/main" headerRowCount="0" ref="F90:H118" displayName="Table_43" name="Table_43" id="62">
  <tableColumns count="3">
    <tableColumn name="Column1" id="1"/>
    <tableColumn name="Column2" id="2"/>
    <tableColumn name="Column3" id="3"/>
  </tableColumns>
  <tableStyleInfo name="Septiembre-style 2" showColumnStripes="0" showFirstColumn="1" showLastColumn="1" showRowStripes="1"/>
</table>
</file>

<file path=xl/tables/table63.xml><?xml version="1.0" encoding="utf-8"?>
<table xmlns="http://schemas.openxmlformats.org/spreadsheetml/2006/main" ref="A1:L87" displayName="Tabla_18" name="Tabla_18" id="63">
  <autoFilter ref="$A$1:$L$87"/>
  <tableColumns count="12">
    <tableColumn name="Canal" id="1"/>
    <tableColumn name="Tiendas en el portal" id="2"/>
    <tableColumn name="ordenes confirmadas" id="3"/>
    <tableColumn name="Cancelaciones" id="4"/>
    <tableColumn name="% órdenes Canceladas" id="5"/>
    <tableColumn name="Cargo por rechazo" id="6"/>
    <tableColumn name="Reclamos" id="7"/>
    <tableColumn name="% Órdenes con reclamos" id="8"/>
    <tableColumn name="$ de reclamos" id="9"/>
    <tableColumn name="pedidos demorados" id="10"/>
    <tableColumn name="% Órdenes con demora" id="11"/>
    <tableColumn name="Disponibilidad" id="12"/>
  </tableColumns>
  <tableStyleInfo name="31 agos al 6 septiembre-style" showColumnStripes="0" showFirstColumn="1" showLastColumn="1" showRowStripes="1"/>
</table>
</file>

<file path=xl/tables/table64.xml><?xml version="1.0" encoding="utf-8"?>
<table xmlns="http://schemas.openxmlformats.org/spreadsheetml/2006/main" headerRowCount="0" ref="F91:H119" displayName="Table_44" name="Table_44" id="64">
  <tableColumns count="3">
    <tableColumn name="Column1" id="1"/>
    <tableColumn name="Column2" id="2"/>
    <tableColumn name="Column3" id="3"/>
  </tableColumns>
  <tableStyleInfo name="31 agos al 6 septiembre-style 2" showColumnStripes="0" showFirstColumn="1" showLastColumn="1" showRowStripes="1"/>
</table>
</file>

<file path=xl/tables/table65.xml><?xml version="1.0" encoding="utf-8"?>
<table xmlns="http://schemas.openxmlformats.org/spreadsheetml/2006/main" ref="A1:L86" displayName="Tabla_19" name="Tabla_19" id="65">
  <autoFilter ref="$A$1:$L$86">
    <filterColumn colId="0">
      <filters>
        <filter val="Peya"/>
      </filters>
    </filterColumn>
  </autoFilter>
  <tableColumns count="12">
    <tableColumn name="Canal" id="1"/>
    <tableColumn name="Tiendas en el portal" id="2"/>
    <tableColumn name="ordenes confirmadas" id="3"/>
    <tableColumn name="Cancelaciones %" id="4"/>
    <tableColumn name="órdenes Canceladas" id="5"/>
    <tableColumn name="Cargo por rechazo" id="6"/>
    <tableColumn name="% Órdenes con reclamos" id="7"/>
    <tableColumn name="Reclamos" id="8"/>
    <tableColumn name="$ de reclamos" id="9"/>
    <tableColumn name="pedidos demorados" id="10"/>
    <tableColumn name="awt" id="11"/>
    <tableColumn name="Disponibilidad" id="12"/>
  </tableColumns>
  <tableStyleInfo name="7 al 13 de septiembre-style" showColumnStripes="0" showFirstColumn="1" showLastColumn="1" showRowStripes="1"/>
</table>
</file>

<file path=xl/tables/table66.xml><?xml version="1.0" encoding="utf-8"?>
<table xmlns="http://schemas.openxmlformats.org/spreadsheetml/2006/main" headerRowCount="0" ref="F90:H118" displayName="Table_45" name="Table_45" id="66">
  <tableColumns count="3">
    <tableColumn name="Column1" id="1"/>
    <tableColumn name="Column2" id="2"/>
    <tableColumn name="Column3" id="3"/>
  </tableColumns>
  <tableStyleInfo name="7 al 13 de septiembre-style 2" showColumnStripes="0" showFirstColumn="1" showLastColumn="1" showRowStripes="1"/>
</table>
</file>

<file path=xl/tables/table67.xml><?xml version="1.0" encoding="utf-8"?>
<table xmlns="http://schemas.openxmlformats.org/spreadsheetml/2006/main" headerRowCount="0" ref="C91:E115" displayName="Table_46" name="Table_46" id="67">
  <tableColumns count="3">
    <tableColumn name="Column1" id="1"/>
    <tableColumn name="Column2" id="2"/>
    <tableColumn name="Column3" id="3"/>
  </tableColumns>
  <tableStyleInfo name="7 al 13 de septiembre-style 3" showColumnStripes="0" showFirstColumn="1" showLastColumn="1" showRowStripes="1"/>
</table>
</file>

<file path=xl/tables/table68.xml><?xml version="1.0" encoding="utf-8"?>
<table xmlns="http://schemas.openxmlformats.org/spreadsheetml/2006/main" ref="A1:L87" displayName="Tabla_20" name="Tabla_20" id="68">
  <autoFilter ref="$A$1:$L$87">
    <filterColumn colId="0">
      <filters>
        <filter val="Peya"/>
      </filters>
    </filterColumn>
  </autoFilter>
  <tableColumns count="12">
    <tableColumn name="Canal" id="1"/>
    <tableColumn name="Tiendas en el portal" id="2"/>
    <tableColumn name="ordenes confirmadas" id="3"/>
    <tableColumn name="Cancelaciones %" id="4"/>
    <tableColumn name="órdenes Canceladas" id="5"/>
    <tableColumn name="Cargo por rechazo" id="6"/>
    <tableColumn name="% Órdenes con reclamos" id="7"/>
    <tableColumn name="Reclamos" id="8"/>
    <tableColumn name="$ de reclamos" id="9"/>
    <tableColumn name="pedidos demorados" id="10"/>
    <tableColumn name="% demora" id="11"/>
    <tableColumn name="Disponibilidad" id="12"/>
  </tableColumns>
  <tableStyleInfo name="14 al 20 de septiembre-style" showColumnStripes="0" showFirstColumn="1" showLastColumn="1" showRowStripes="1"/>
</table>
</file>

<file path=xl/tables/table69.xml><?xml version="1.0" encoding="utf-8"?>
<table xmlns="http://schemas.openxmlformats.org/spreadsheetml/2006/main" headerRowCount="0" ref="F90:H118" displayName="Table_47" name="Table_47" id="69">
  <tableColumns count="3">
    <tableColumn name="Column1" id="1"/>
    <tableColumn name="Column2" id="2"/>
    <tableColumn name="Column3" id="3"/>
  </tableColumns>
  <tableStyleInfo name="14 al 20 de septiembre-style 2" showColumnStripes="0" showFirstColumn="1" showLastColumn="1" showRowStripes="1"/>
</table>
</file>

<file path=xl/tables/table70.xml><?xml version="1.0" encoding="utf-8"?>
<table xmlns="http://schemas.openxmlformats.org/spreadsheetml/2006/main" headerRowCount="0" ref="C91:E118" displayName="Table_48" name="Table_48" id="70">
  <tableColumns count="3">
    <tableColumn name="Column1" id="1"/>
    <tableColumn name="Column2" id="2"/>
    <tableColumn name="Column3" id="3"/>
  </tableColumns>
  <tableStyleInfo name="14 al 20 de septiembre-style 3" showColumnStripes="0" showFirstColumn="1" showLastColumn="1" showRowStripes="1"/>
</table>
</file>

<file path=xl/tables/table71.xml><?xml version="1.0" encoding="utf-8"?>
<table xmlns="http://schemas.openxmlformats.org/spreadsheetml/2006/main" ref="A1:L86" displayName="Tabla_21" name="Tabla_21" id="71">
  <autoFilter ref="$A$1:$L$86">
    <filterColumn colId="0">
      <filters>
        <filter val="MDL"/>
      </filters>
    </filterColumn>
  </autoFilter>
  <tableColumns count="12">
    <tableColumn name="Canal" id="1"/>
    <tableColumn name="Tiendas en el portal" id="2"/>
    <tableColumn name="ordenes confirmadas" id="3"/>
    <tableColumn name="Cancelaciones %" id="4"/>
    <tableColumn name="órdenes Canceladas" id="5"/>
    <tableColumn name="Cargo por rechazo" id="6"/>
    <tableColumn name="% Órdenes con reclamos" id="7"/>
    <tableColumn name="Reclamos" id="8"/>
    <tableColumn name="$ de reclamos" id="9"/>
    <tableColumn name="pedidos demorados" id="10"/>
    <tableColumn name="% demora" id="11"/>
    <tableColumn name="Disponibilidad" id="12"/>
  </tableColumns>
  <tableStyleInfo name="21 al 27 de septiembre 2026-style" showColumnStripes="0" showFirstColumn="1" showLastColumn="1" showRowStripes="1"/>
</table>
</file>

<file path=xl/tables/table72.xml><?xml version="1.0" encoding="utf-8"?>
<table xmlns="http://schemas.openxmlformats.org/spreadsheetml/2006/main" headerRowCount="0" ref="F89:H117" displayName="Table_49" name="Table_49" id="72">
  <tableColumns count="3">
    <tableColumn name="Column1" id="1"/>
    <tableColumn name="Column2" id="2"/>
    <tableColumn name="Column3" id="3"/>
  </tableColumns>
  <tableStyleInfo name="21 al 27 de septiembre 2026-style 2" showColumnStripes="0" showFirstColumn="1" showLastColumn="1" showRowStripes="1"/>
</table>
</file>

<file path=xl/tables/table73.xml><?xml version="1.0" encoding="utf-8"?>
<table xmlns="http://schemas.openxmlformats.org/spreadsheetml/2006/main" headerRowCount="0" ref="C90:E117" displayName="Table_50" name="Table_50" id="73">
  <tableColumns count="3">
    <tableColumn name="Column1" id="1"/>
    <tableColumn name="Column2" id="2"/>
    <tableColumn name="Column3" id="3"/>
  </tableColumns>
  <tableStyleInfo name="21 al 27 de septiembre 2026-style 3" showColumnStripes="0" showFirstColumn="1" showLastColumn="1" showRowStripes="1"/>
</table>
</file>

<file path=xl/tables/table74.xml><?xml version="1.0" encoding="utf-8"?>
<table xmlns="http://schemas.openxmlformats.org/spreadsheetml/2006/main" ref="A1:L85" displayName="Tabla_23" name="Tabla_23" id="74">
  <autoFilter ref="$A$1:$L$85">
    <filterColumn colId="0">
      <filters>
        <filter val="MDL"/>
        <filter val="Peya"/>
        <filter val="Rappi"/>
      </filters>
    </filterColumn>
    <filterColumn colId="1">
      <filters blank="1">
        <filter val="Mi Gusto - Barrancas de Belgrano"/>
        <filter val="Mi Gusto - Jose C. Paz"/>
        <filter val="Mi Gusto - Muñiz"/>
      </filters>
    </filterColumn>
  </autoFilter>
  <tableColumns count="12">
    <tableColumn name="Canal" id="1"/>
    <tableColumn name="Tiendas en el portal" id="2"/>
    <tableColumn name="ordenes confirmadas" id="3"/>
    <tableColumn name="Cancelaciones %" id="4"/>
    <tableColumn name="órdenes Canceladas" id="5"/>
    <tableColumn name="Cargo por rechazo" id="6"/>
    <tableColumn name="% Órdenes con reclamos" id="7"/>
    <tableColumn name="Reclamos" id="8"/>
    <tableColumn name="$ de reclamos" id="9"/>
    <tableColumn name="pedidos demorados" id="10"/>
    <tableColumn name="% demora" id="11"/>
    <tableColumn name="Disponibilidad" id="12"/>
  </tableColumns>
  <tableStyleInfo name="28 sep al 4 de octubre 2026-style" showColumnStripes="0" showFirstColumn="1" showLastColumn="1" showRowStripes="1"/>
</table>
</file>

<file path=xl/tables/table75.xml><?xml version="1.0" encoding="utf-8"?>
<table xmlns="http://schemas.openxmlformats.org/spreadsheetml/2006/main" headerRowCount="0" ref="F88:H116" displayName="Table_51" name="Table_51" id="76">
  <tableColumns count="3">
    <tableColumn name="Column1" id="1"/>
    <tableColumn name="Column2" id="2"/>
    <tableColumn name="Column3" id="3"/>
  </tableColumns>
  <tableStyleInfo name="28 sep al 4 de octubre 2026-style 2" showColumnStripes="0" showFirstColumn="1" showLastColumn="1" showRowStripes="1"/>
</table>
</file>

<file path=xl/tables/table76.xml><?xml version="1.0" encoding="utf-8"?>
<table xmlns="http://schemas.openxmlformats.org/spreadsheetml/2006/main" headerRowCount="0" ref="C89:E116" displayName="Table_52" name="Table_52" id="77">
  <tableColumns count="3">
    <tableColumn name="Column1" id="1"/>
    <tableColumn name="Column2" id="2"/>
    <tableColumn name="Column3" id="3"/>
  </tableColumns>
  <tableStyleInfo name="28 sep al 4 de octubre 2026-style 3" showColumnStripes="0" showFirstColumn="1" showLastColumn="1" showRowStripes="1"/>
</table>
</file>

<file path=xl/tables/table77.xml><?xml version="1.0" encoding="utf-8"?>
<table xmlns="http://schemas.openxmlformats.org/spreadsheetml/2006/main" ref="A2:L83" displayName="Tabla_24" name="Tabla_24" id="75">
  <autoFilter ref="$A$2:$L$83"/>
  <tableColumns count="12">
    <tableColumn name="Canal" id="1"/>
    <tableColumn name="Tiendas en el portal" id="2"/>
    <tableColumn name="ordenes confirmadas" id="3"/>
    <tableColumn name="Cancelaciones %" id="4"/>
    <tableColumn name="órdenes Canceladas" id="5"/>
    <tableColumn name="Cargo por rechazo" id="6"/>
    <tableColumn name="% Órdenes con reclamos" id="7"/>
    <tableColumn name="Reclamos" id="8"/>
    <tableColumn name="$ de reclamos" id="9"/>
    <tableColumn name="pedidos demorados" id="10"/>
    <tableColumn name="% demora" id="11"/>
    <tableColumn name="Disponibilidad" id="12"/>
  </tableColumns>
  <tableStyleInfo name="5 al 12 de octu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31" Type="http://schemas.openxmlformats.org/officeDocument/2006/relationships/table" Target="../tables/table17.xml"/><Relationship Id="rId30" Type="http://schemas.openxmlformats.org/officeDocument/2006/relationships/table" Target="../tables/table16.xml"/><Relationship Id="rId22" Type="http://schemas.openxmlformats.org/officeDocument/2006/relationships/table" Target="../tables/table8.xml"/><Relationship Id="rId33" Type="http://schemas.openxmlformats.org/officeDocument/2006/relationships/table" Target="../tables/table19.xml"/><Relationship Id="rId21" Type="http://schemas.openxmlformats.org/officeDocument/2006/relationships/table" Target="../tables/table7.xml"/><Relationship Id="rId32" Type="http://schemas.openxmlformats.org/officeDocument/2006/relationships/table" Target="../tables/table18.xml"/><Relationship Id="rId24" Type="http://schemas.openxmlformats.org/officeDocument/2006/relationships/table" Target="../tables/table10.xml"/><Relationship Id="rId35" Type="http://schemas.openxmlformats.org/officeDocument/2006/relationships/table" Target="../tables/table21.xml"/><Relationship Id="rId23" Type="http://schemas.openxmlformats.org/officeDocument/2006/relationships/table" Target="../tables/table9.xml"/><Relationship Id="rId34" Type="http://schemas.openxmlformats.org/officeDocument/2006/relationships/table" Target="../tables/table20.xml"/><Relationship Id="rId1" Type="http://schemas.openxmlformats.org/officeDocument/2006/relationships/drawing" Target="../drawings/drawing5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28" Type="http://schemas.openxmlformats.org/officeDocument/2006/relationships/table" Target="../tables/table14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29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8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4.xml"/><Relationship Id="rId31" Type="http://schemas.openxmlformats.org/officeDocument/2006/relationships/table" Target="../tables/table35.xml"/><Relationship Id="rId42" Type="http://schemas.openxmlformats.org/officeDocument/2006/relationships/table" Target="../tables/table46.xml"/><Relationship Id="rId30" Type="http://schemas.openxmlformats.org/officeDocument/2006/relationships/table" Target="../tables/table34.xml"/><Relationship Id="rId41" Type="http://schemas.openxmlformats.org/officeDocument/2006/relationships/table" Target="../tables/table45.xml"/><Relationship Id="rId33" Type="http://schemas.openxmlformats.org/officeDocument/2006/relationships/table" Target="../tables/table37.xml"/><Relationship Id="rId44" Type="http://schemas.openxmlformats.org/officeDocument/2006/relationships/table" Target="../tables/table48.xml"/><Relationship Id="rId32" Type="http://schemas.openxmlformats.org/officeDocument/2006/relationships/table" Target="../tables/table36.xml"/><Relationship Id="rId43" Type="http://schemas.openxmlformats.org/officeDocument/2006/relationships/table" Target="../tables/table47.xml"/><Relationship Id="rId35" Type="http://schemas.openxmlformats.org/officeDocument/2006/relationships/table" Target="../tables/table39.xml"/><Relationship Id="rId46" Type="http://schemas.openxmlformats.org/officeDocument/2006/relationships/table" Target="../tables/table50.xml"/><Relationship Id="rId34" Type="http://schemas.openxmlformats.org/officeDocument/2006/relationships/table" Target="../tables/table38.xml"/><Relationship Id="rId45" Type="http://schemas.openxmlformats.org/officeDocument/2006/relationships/table" Target="../tables/table49.xml"/><Relationship Id="rId1" Type="http://schemas.openxmlformats.org/officeDocument/2006/relationships/drawing" Target="../drawings/drawing10.xml"/><Relationship Id="rId26" Type="http://schemas.openxmlformats.org/officeDocument/2006/relationships/table" Target="../tables/table30.xml"/><Relationship Id="rId37" Type="http://schemas.openxmlformats.org/officeDocument/2006/relationships/table" Target="../tables/table41.xml"/><Relationship Id="rId25" Type="http://schemas.openxmlformats.org/officeDocument/2006/relationships/table" Target="../tables/table29.xml"/><Relationship Id="rId36" Type="http://schemas.openxmlformats.org/officeDocument/2006/relationships/table" Target="../tables/table40.xml"/><Relationship Id="rId47" Type="http://schemas.openxmlformats.org/officeDocument/2006/relationships/table" Target="../tables/table51.xml"/><Relationship Id="rId28" Type="http://schemas.openxmlformats.org/officeDocument/2006/relationships/table" Target="../tables/table32.xml"/><Relationship Id="rId39" Type="http://schemas.openxmlformats.org/officeDocument/2006/relationships/table" Target="../tables/table43.xml"/><Relationship Id="rId27" Type="http://schemas.openxmlformats.org/officeDocument/2006/relationships/table" Target="../tables/table31.xml"/><Relationship Id="rId38" Type="http://schemas.openxmlformats.org/officeDocument/2006/relationships/table" Target="../tables/table42.xml"/><Relationship Id="rId29" Type="http://schemas.openxmlformats.org/officeDocument/2006/relationships/table" Target="../tables/table3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53.xml"/><Relationship Id="rId5" Type="http://schemas.openxmlformats.org/officeDocument/2006/relationships/table" Target="../tables/table5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55.xml"/><Relationship Id="rId5" Type="http://schemas.openxmlformats.org/officeDocument/2006/relationships/table" Target="../tables/table5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57.xml"/><Relationship Id="rId5" Type="http://schemas.openxmlformats.org/officeDocument/2006/relationships/table" Target="../tables/table5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61.xml"/><Relationship Id="rId5" Type="http://schemas.openxmlformats.org/officeDocument/2006/relationships/table" Target="../tables/table6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63.xml"/><Relationship Id="rId5" Type="http://schemas.openxmlformats.org/officeDocument/2006/relationships/table" Target="../tables/table6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65.xml"/><Relationship Id="rId6" Type="http://schemas.openxmlformats.org/officeDocument/2006/relationships/table" Target="../tables/table66.xml"/><Relationship Id="rId7" Type="http://schemas.openxmlformats.org/officeDocument/2006/relationships/table" Target="../tables/table6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68.xml"/><Relationship Id="rId6" Type="http://schemas.openxmlformats.org/officeDocument/2006/relationships/table" Target="../tables/table69.xml"/><Relationship Id="rId7" Type="http://schemas.openxmlformats.org/officeDocument/2006/relationships/table" Target="../tables/table7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71.xml"/><Relationship Id="rId6" Type="http://schemas.openxmlformats.org/officeDocument/2006/relationships/table" Target="../tables/table72.xml"/><Relationship Id="rId7" Type="http://schemas.openxmlformats.org/officeDocument/2006/relationships/table" Target="../tables/table7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5" Type="http://schemas.openxmlformats.org/officeDocument/2006/relationships/table" Target="../tables/table74.xml"/><Relationship Id="rId6" Type="http://schemas.openxmlformats.org/officeDocument/2006/relationships/table" Target="../tables/table75.xml"/><Relationship Id="rId7" Type="http://schemas.openxmlformats.org/officeDocument/2006/relationships/table" Target="../tables/table7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7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1.0"/>
    <col customWidth="1" min="3" max="3" width="25.25"/>
    <col customWidth="1" min="4" max="4" width="19.13"/>
    <col customWidth="1" min="5" max="5" width="27.13"/>
    <col customWidth="1" min="6" max="6" width="13.38"/>
    <col customWidth="1" min="7" max="7" width="26.25"/>
    <col customWidth="1" min="8" max="9" width="21.88"/>
    <col customWidth="1" min="10" max="10" width="24.75"/>
    <col customWidth="1" min="11" max="11" width="17.5"/>
    <col customWidth="1" min="15" max="15" width="21.0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 t="s">
        <v>7</v>
      </c>
      <c r="I1" s="4" t="s">
        <v>8</v>
      </c>
      <c r="J1" s="4" t="s">
        <v>9</v>
      </c>
      <c r="K1" s="10" t="s">
        <v>10</v>
      </c>
    </row>
    <row r="2" ht="22.5" customHeight="1">
      <c r="A2" s="12" t="s">
        <v>11</v>
      </c>
      <c r="B2" s="12" t="s">
        <v>13</v>
      </c>
      <c r="C2" s="14">
        <v>1406.0</v>
      </c>
      <c r="D2" s="15">
        <v>1.0</v>
      </c>
      <c r="E2" s="17">
        <v>7.0E-4</v>
      </c>
      <c r="F2" s="15">
        <v>26.0</v>
      </c>
      <c r="G2" s="19">
        <v>0.0185</v>
      </c>
      <c r="H2" s="12" t="s">
        <v>18</v>
      </c>
      <c r="I2" s="12">
        <v>65.0</v>
      </c>
      <c r="J2" s="19">
        <v>0.0531</v>
      </c>
      <c r="K2" s="5" t="s">
        <v>20</v>
      </c>
    </row>
    <row r="3" ht="22.5" hidden="1" customHeight="1">
      <c r="A3" s="12" t="s">
        <v>11</v>
      </c>
      <c r="B3" s="12" t="s">
        <v>19</v>
      </c>
      <c r="C3" s="14">
        <v>1191.0</v>
      </c>
      <c r="D3" s="15">
        <v>1.0</v>
      </c>
      <c r="E3" s="17">
        <v>8.0E-4</v>
      </c>
      <c r="F3" s="15">
        <v>13.0</v>
      </c>
      <c r="G3" s="19">
        <v>0.0109</v>
      </c>
      <c r="H3" s="12" t="s">
        <v>24</v>
      </c>
      <c r="I3" s="12">
        <v>177.0</v>
      </c>
      <c r="J3" s="19">
        <v>0.1673</v>
      </c>
      <c r="K3" s="25">
        <v>98.15</v>
      </c>
    </row>
    <row r="4" ht="22.5" hidden="1" customHeight="1">
      <c r="A4" s="12" t="s">
        <v>11</v>
      </c>
      <c r="B4" s="12" t="s">
        <v>23</v>
      </c>
      <c r="C4" s="14">
        <v>901.0</v>
      </c>
      <c r="D4" s="15">
        <v>0.0</v>
      </c>
      <c r="E4" s="17">
        <v>0.0</v>
      </c>
      <c r="F4" s="15">
        <v>18.0</v>
      </c>
      <c r="G4" s="19">
        <v>0.02</v>
      </c>
      <c r="H4" s="12" t="s">
        <v>28</v>
      </c>
      <c r="I4" s="12">
        <v>109.0</v>
      </c>
      <c r="J4" s="19">
        <v>0.1397</v>
      </c>
      <c r="K4" s="25">
        <v>98.87</v>
      </c>
    </row>
    <row r="5" ht="22.5" hidden="1" customHeight="1">
      <c r="A5" s="12" t="s">
        <v>11</v>
      </c>
      <c r="B5" s="12" t="s">
        <v>26</v>
      </c>
      <c r="C5" s="14">
        <v>860.0</v>
      </c>
      <c r="D5" s="15">
        <v>3.0</v>
      </c>
      <c r="E5" s="17">
        <v>0.0035</v>
      </c>
      <c r="F5" s="15">
        <v>16.0</v>
      </c>
      <c r="G5" s="19">
        <v>0.0186</v>
      </c>
      <c r="H5" s="12" t="s">
        <v>32</v>
      </c>
      <c r="I5" s="12">
        <v>90.0</v>
      </c>
      <c r="J5" s="19">
        <v>0.1148</v>
      </c>
      <c r="K5" s="25">
        <v>97.47</v>
      </c>
    </row>
    <row r="6" ht="22.5" hidden="1" customHeight="1">
      <c r="A6" s="12" t="s">
        <v>11</v>
      </c>
      <c r="B6" s="12" t="s">
        <v>33</v>
      </c>
      <c r="C6" s="14">
        <v>822.0</v>
      </c>
      <c r="D6" s="15">
        <v>5.0</v>
      </c>
      <c r="E6" s="17">
        <v>0.006</v>
      </c>
      <c r="F6" s="15">
        <v>18.0</v>
      </c>
      <c r="G6" s="19">
        <v>0.0219</v>
      </c>
      <c r="H6" s="12" t="s">
        <v>38</v>
      </c>
      <c r="I6" s="12">
        <v>119.0</v>
      </c>
      <c r="J6" s="19">
        <v>0.1722</v>
      </c>
      <c r="K6" s="25">
        <v>98.49</v>
      </c>
    </row>
    <row r="7" ht="22.5" hidden="1" customHeight="1">
      <c r="A7" s="12" t="s">
        <v>11</v>
      </c>
      <c r="B7" s="12" t="s">
        <v>39</v>
      </c>
      <c r="C7" s="14">
        <v>789.0</v>
      </c>
      <c r="D7" s="15">
        <v>1.0</v>
      </c>
      <c r="E7" s="17">
        <v>0.0013</v>
      </c>
      <c r="F7" s="15">
        <v>20.0</v>
      </c>
      <c r="G7" s="19">
        <v>0.0253</v>
      </c>
      <c r="H7" s="12" t="s">
        <v>43</v>
      </c>
      <c r="I7" s="12">
        <v>89.0</v>
      </c>
      <c r="J7" s="19">
        <v>0.1336</v>
      </c>
      <c r="K7" s="25">
        <v>98.82</v>
      </c>
    </row>
    <row r="8" ht="22.5" hidden="1" customHeight="1">
      <c r="A8" s="12" t="s">
        <v>11</v>
      </c>
      <c r="B8" s="12" t="s">
        <v>45</v>
      </c>
      <c r="C8" s="14">
        <v>739.0</v>
      </c>
      <c r="D8" s="15">
        <v>0.0</v>
      </c>
      <c r="E8" s="17">
        <v>0.0</v>
      </c>
      <c r="F8" s="15">
        <v>14.0</v>
      </c>
      <c r="G8" s="19">
        <v>0.0189</v>
      </c>
      <c r="H8" s="12" t="s">
        <v>48</v>
      </c>
      <c r="I8" s="12">
        <v>62.0</v>
      </c>
      <c r="J8" s="19">
        <v>0.0921</v>
      </c>
      <c r="K8" s="25">
        <v>99.78</v>
      </c>
    </row>
    <row r="9" ht="22.5" hidden="1" customHeight="1">
      <c r="A9" s="12" t="s">
        <v>11</v>
      </c>
      <c r="B9" s="12" t="s">
        <v>49</v>
      </c>
      <c r="C9" s="14">
        <v>734.0</v>
      </c>
      <c r="D9" s="15">
        <v>1.0</v>
      </c>
      <c r="E9" s="17">
        <v>0.0014</v>
      </c>
      <c r="F9" s="15">
        <v>14.0</v>
      </c>
      <c r="G9" s="19">
        <v>0.0191</v>
      </c>
      <c r="H9" s="12" t="s">
        <v>53</v>
      </c>
      <c r="I9" s="12">
        <v>50.0</v>
      </c>
      <c r="J9" s="19">
        <v>0.0796</v>
      </c>
      <c r="K9" s="25">
        <v>99.54</v>
      </c>
    </row>
    <row r="10" ht="22.5" hidden="1" customHeight="1">
      <c r="A10" s="12" t="s">
        <v>11</v>
      </c>
      <c r="B10" s="12" t="s">
        <v>27</v>
      </c>
      <c r="C10" s="14">
        <v>685.0</v>
      </c>
      <c r="D10" s="15">
        <v>0.0</v>
      </c>
      <c r="E10" s="17">
        <v>0.0</v>
      </c>
      <c r="F10" s="15">
        <v>15.0</v>
      </c>
      <c r="G10" s="19">
        <v>0.0219</v>
      </c>
      <c r="H10" s="12" t="s">
        <v>57</v>
      </c>
      <c r="I10" s="12">
        <v>78.0</v>
      </c>
      <c r="J10" s="19">
        <v>0.1262</v>
      </c>
      <c r="K10" s="25">
        <v>99.66</v>
      </c>
    </row>
    <row r="11" ht="22.5" hidden="1" customHeight="1">
      <c r="A11" s="12" t="s">
        <v>11</v>
      </c>
      <c r="B11" s="12" t="s">
        <v>59</v>
      </c>
      <c r="C11" s="14">
        <v>642.0</v>
      </c>
      <c r="D11" s="15">
        <v>0.0</v>
      </c>
      <c r="E11" s="17">
        <v>0.0</v>
      </c>
      <c r="F11" s="15">
        <v>11.0</v>
      </c>
      <c r="G11" s="19">
        <v>0.0171</v>
      </c>
      <c r="H11" s="12" t="s">
        <v>62</v>
      </c>
      <c r="I11" s="12">
        <v>56.0</v>
      </c>
      <c r="J11" s="19">
        <v>0.0995</v>
      </c>
      <c r="K11" s="25">
        <v>98.91</v>
      </c>
    </row>
    <row r="12" ht="22.5" hidden="1" customHeight="1">
      <c r="A12" s="12" t="s">
        <v>11</v>
      </c>
      <c r="B12" s="12" t="s">
        <v>63</v>
      </c>
      <c r="C12" s="14">
        <v>632.0</v>
      </c>
      <c r="D12" s="15">
        <v>1.0</v>
      </c>
      <c r="E12" s="17">
        <v>0.0016</v>
      </c>
      <c r="F12" s="15">
        <v>7.0</v>
      </c>
      <c r="G12" s="19">
        <v>0.0111</v>
      </c>
      <c r="H12" s="12" t="s">
        <v>66</v>
      </c>
      <c r="I12" s="12">
        <v>60.0</v>
      </c>
      <c r="J12" s="19">
        <v>0.1026</v>
      </c>
      <c r="K12" s="25">
        <v>99.73</v>
      </c>
    </row>
    <row r="13" ht="22.5" hidden="1" customHeight="1">
      <c r="A13" s="12" t="s">
        <v>11</v>
      </c>
      <c r="B13" s="12" t="s">
        <v>58</v>
      </c>
      <c r="C13" s="14">
        <v>566.0</v>
      </c>
      <c r="D13" s="15">
        <v>0.0</v>
      </c>
      <c r="E13" s="17">
        <v>0.0</v>
      </c>
      <c r="F13" s="15">
        <v>17.0</v>
      </c>
      <c r="G13" s="19">
        <v>0.03</v>
      </c>
      <c r="H13" s="12" t="s">
        <v>70</v>
      </c>
      <c r="I13" s="12">
        <v>76.0</v>
      </c>
      <c r="J13" s="19">
        <v>0.1479</v>
      </c>
      <c r="K13" s="25">
        <v>99.02</v>
      </c>
    </row>
    <row r="14" ht="22.5" hidden="1" customHeight="1">
      <c r="A14" s="12" t="s">
        <v>11</v>
      </c>
      <c r="B14" s="12" t="s">
        <v>72</v>
      </c>
      <c r="C14" s="14">
        <v>545.0</v>
      </c>
      <c r="D14" s="15">
        <v>0.0</v>
      </c>
      <c r="E14" s="17">
        <v>0.0</v>
      </c>
      <c r="F14" s="15">
        <v>7.0</v>
      </c>
      <c r="G14" s="19">
        <v>0.0128</v>
      </c>
      <c r="H14" s="12" t="s">
        <v>75</v>
      </c>
      <c r="I14" s="12">
        <v>41.0</v>
      </c>
      <c r="J14" s="19">
        <v>0.0845</v>
      </c>
      <c r="K14" s="5">
        <v>99.0</v>
      </c>
    </row>
    <row r="15" ht="22.5" hidden="1" customHeight="1">
      <c r="A15" s="12" t="s">
        <v>11</v>
      </c>
      <c r="B15" s="36" t="s">
        <v>79</v>
      </c>
      <c r="C15" s="14">
        <v>516.0</v>
      </c>
      <c r="D15" s="15">
        <v>0.0</v>
      </c>
      <c r="E15" s="17">
        <v>0.0</v>
      </c>
      <c r="F15" s="15">
        <v>15.0</v>
      </c>
      <c r="G15" s="19">
        <v>0.031</v>
      </c>
      <c r="H15" s="12" t="s">
        <v>87</v>
      </c>
      <c r="I15" s="12">
        <v>19.0</v>
      </c>
      <c r="J15" s="19">
        <v>0.0402</v>
      </c>
      <c r="K15" s="25">
        <v>99.98</v>
      </c>
    </row>
    <row r="16" ht="22.5" hidden="1" customHeight="1">
      <c r="A16" s="12" t="s">
        <v>11</v>
      </c>
      <c r="B16" s="12" t="s">
        <v>85</v>
      </c>
      <c r="C16" s="14">
        <v>477.0</v>
      </c>
      <c r="D16" s="15">
        <v>0.0</v>
      </c>
      <c r="E16" s="17">
        <v>0.0</v>
      </c>
      <c r="F16" s="15">
        <v>14.0</v>
      </c>
      <c r="G16" s="19">
        <v>0.0294</v>
      </c>
      <c r="H16" s="12" t="s">
        <v>93</v>
      </c>
      <c r="I16" s="12">
        <v>27.0</v>
      </c>
      <c r="J16" s="19">
        <v>0.0621</v>
      </c>
      <c r="K16" s="25">
        <v>99.77</v>
      </c>
    </row>
    <row r="17" ht="22.5" hidden="1" customHeight="1">
      <c r="A17" s="12" t="s">
        <v>11</v>
      </c>
      <c r="B17" s="12" t="s">
        <v>71</v>
      </c>
      <c r="C17" s="14">
        <v>463.0</v>
      </c>
      <c r="D17" s="15">
        <v>1.0</v>
      </c>
      <c r="E17" s="17">
        <v>0.0022</v>
      </c>
      <c r="F17" s="15">
        <v>11.0</v>
      </c>
      <c r="G17" s="19">
        <v>0.0238</v>
      </c>
      <c r="H17" s="12" t="s">
        <v>99</v>
      </c>
      <c r="I17" s="12">
        <v>59.0</v>
      </c>
      <c r="J17" s="19">
        <v>0.1521</v>
      </c>
      <c r="K17" s="25">
        <v>98.42</v>
      </c>
    </row>
    <row r="18" ht="22.5" hidden="1" customHeight="1">
      <c r="A18" s="12" t="s">
        <v>11</v>
      </c>
      <c r="B18" s="12" t="s">
        <v>96</v>
      </c>
      <c r="C18" s="14">
        <v>454.0</v>
      </c>
      <c r="D18" s="15">
        <v>0.0</v>
      </c>
      <c r="E18" s="17">
        <v>0.0</v>
      </c>
      <c r="F18" s="15">
        <v>12.0</v>
      </c>
      <c r="G18" s="19">
        <v>0.0264</v>
      </c>
      <c r="H18" s="12" t="s">
        <v>103</v>
      </c>
      <c r="I18" s="12">
        <v>44.0</v>
      </c>
      <c r="J18" s="19">
        <v>0.1095</v>
      </c>
      <c r="K18" s="25">
        <v>99.3</v>
      </c>
    </row>
    <row r="19" ht="22.5" hidden="1" customHeight="1">
      <c r="A19" s="12" t="s">
        <v>11</v>
      </c>
      <c r="B19" s="12" t="s">
        <v>77</v>
      </c>
      <c r="C19" s="14">
        <v>453.0</v>
      </c>
      <c r="D19" s="15">
        <v>0.0</v>
      </c>
      <c r="E19" s="17">
        <v>0.0</v>
      </c>
      <c r="F19" s="15">
        <v>9.0</v>
      </c>
      <c r="G19" s="19">
        <v>0.0199</v>
      </c>
      <c r="H19" s="12" t="s">
        <v>107</v>
      </c>
      <c r="I19" s="12">
        <v>57.0</v>
      </c>
      <c r="J19" s="19">
        <v>0.1432</v>
      </c>
      <c r="K19" s="25">
        <v>97.05</v>
      </c>
    </row>
    <row r="20" ht="22.5" hidden="1" customHeight="1">
      <c r="A20" s="12" t="s">
        <v>11</v>
      </c>
      <c r="B20" s="12" t="s">
        <v>15</v>
      </c>
      <c r="C20" s="14">
        <v>447.0</v>
      </c>
      <c r="D20" s="15">
        <v>0.0</v>
      </c>
      <c r="E20" s="17">
        <v>0.0</v>
      </c>
      <c r="F20" s="15">
        <v>7.0</v>
      </c>
      <c r="G20" s="19">
        <v>0.0157</v>
      </c>
      <c r="H20" s="12" t="s">
        <v>112</v>
      </c>
      <c r="I20" s="12">
        <v>57.0</v>
      </c>
      <c r="J20" s="19">
        <v>0.1536</v>
      </c>
      <c r="K20" s="25">
        <v>96.97</v>
      </c>
    </row>
    <row r="21" ht="22.5" hidden="1" customHeight="1">
      <c r="A21" s="12" t="s">
        <v>11</v>
      </c>
      <c r="B21" s="12" t="s">
        <v>109</v>
      </c>
      <c r="C21" s="14">
        <v>441.0</v>
      </c>
      <c r="D21" s="15">
        <v>1.0</v>
      </c>
      <c r="E21" s="17">
        <v>0.0023</v>
      </c>
      <c r="F21" s="15">
        <v>3.0</v>
      </c>
      <c r="G21" s="19">
        <v>0.0068</v>
      </c>
      <c r="H21" s="12" t="s">
        <v>116</v>
      </c>
      <c r="I21" s="12">
        <v>27.0</v>
      </c>
      <c r="J21" s="19">
        <v>0.0701</v>
      </c>
      <c r="K21" s="25">
        <v>95.78</v>
      </c>
    </row>
    <row r="22" ht="22.5" hidden="1" customHeight="1">
      <c r="A22" s="12" t="s">
        <v>11</v>
      </c>
      <c r="B22" s="12" t="s">
        <v>115</v>
      </c>
      <c r="C22" s="14">
        <v>440.0</v>
      </c>
      <c r="D22" s="20">
        <v>0.0</v>
      </c>
      <c r="E22" s="17">
        <v>0.0</v>
      </c>
      <c r="F22" s="15">
        <v>8.0</v>
      </c>
      <c r="G22" s="19">
        <v>0.0182</v>
      </c>
      <c r="H22" s="12" t="s">
        <v>121</v>
      </c>
      <c r="I22" s="12">
        <v>73.0</v>
      </c>
      <c r="J22" s="19">
        <v>0.1891</v>
      </c>
      <c r="K22" s="25">
        <v>97.84</v>
      </c>
    </row>
    <row r="23" ht="22.5" hidden="1" customHeight="1">
      <c r="A23" s="12" t="s">
        <v>11</v>
      </c>
      <c r="B23" s="12" t="s">
        <v>123</v>
      </c>
      <c r="C23" s="14">
        <v>438.0</v>
      </c>
      <c r="D23" s="20">
        <v>0.0</v>
      </c>
      <c r="E23" s="17">
        <v>0.0</v>
      </c>
      <c r="F23" s="15">
        <v>6.0</v>
      </c>
      <c r="G23" s="19">
        <v>0.0137</v>
      </c>
      <c r="H23" s="12" t="s">
        <v>127</v>
      </c>
      <c r="I23" s="12">
        <v>58.0</v>
      </c>
      <c r="J23" s="19">
        <v>0.1547</v>
      </c>
      <c r="K23" s="25">
        <v>96.54</v>
      </c>
    </row>
    <row r="24" ht="22.5" hidden="1" customHeight="1">
      <c r="A24" s="12" t="s">
        <v>11</v>
      </c>
      <c r="B24" s="12" t="s">
        <v>90</v>
      </c>
      <c r="C24" s="14">
        <v>424.0</v>
      </c>
      <c r="D24" s="20">
        <v>0.0</v>
      </c>
      <c r="E24" s="17">
        <v>0.0</v>
      </c>
      <c r="F24" s="15">
        <v>11.0</v>
      </c>
      <c r="G24" s="19">
        <v>0.0259</v>
      </c>
      <c r="H24" s="12" t="s">
        <v>131</v>
      </c>
      <c r="I24" s="12">
        <v>32.0</v>
      </c>
      <c r="J24" s="19">
        <v>0.086</v>
      </c>
      <c r="K24" s="5">
        <v>100.0</v>
      </c>
    </row>
    <row r="25" ht="22.5" hidden="1" customHeight="1">
      <c r="A25" s="12" t="s">
        <v>11</v>
      </c>
      <c r="B25" s="12" t="s">
        <v>94</v>
      </c>
      <c r="C25" s="14">
        <v>408.0</v>
      </c>
      <c r="D25" s="20">
        <v>0.0</v>
      </c>
      <c r="E25" s="17">
        <v>0.0</v>
      </c>
      <c r="F25" s="15">
        <v>8.0</v>
      </c>
      <c r="G25" s="19">
        <v>0.0196</v>
      </c>
      <c r="H25" s="12" t="s">
        <v>135</v>
      </c>
      <c r="I25" s="12">
        <v>52.0</v>
      </c>
      <c r="J25" s="19">
        <v>0.1507</v>
      </c>
      <c r="K25" s="25">
        <v>99.02</v>
      </c>
    </row>
    <row r="26" ht="22.5" hidden="1" customHeight="1">
      <c r="A26" s="12" t="s">
        <v>11</v>
      </c>
      <c r="B26" s="12" t="s">
        <v>64</v>
      </c>
      <c r="C26" s="14">
        <v>395.0</v>
      </c>
      <c r="D26" s="20">
        <v>0.0</v>
      </c>
      <c r="E26" s="17">
        <v>0.0</v>
      </c>
      <c r="F26" s="15">
        <v>3.0</v>
      </c>
      <c r="G26" s="19">
        <v>0.0076</v>
      </c>
      <c r="H26" s="12" t="s">
        <v>139</v>
      </c>
      <c r="I26" s="12">
        <v>78.0</v>
      </c>
      <c r="J26" s="19">
        <v>0.2287</v>
      </c>
      <c r="K26" s="25">
        <v>98.04</v>
      </c>
    </row>
    <row r="27" ht="22.5" hidden="1" customHeight="1">
      <c r="A27" s="12" t="s">
        <v>11</v>
      </c>
      <c r="B27" s="12" t="s">
        <v>82</v>
      </c>
      <c r="C27" s="14">
        <v>385.0</v>
      </c>
      <c r="D27" s="15">
        <v>1.0</v>
      </c>
      <c r="E27" s="17">
        <v>0.0026</v>
      </c>
      <c r="F27" s="15">
        <v>4.0</v>
      </c>
      <c r="G27" s="19">
        <v>0.0104</v>
      </c>
      <c r="H27" s="12" t="s">
        <v>143</v>
      </c>
      <c r="I27" s="12">
        <v>38.0</v>
      </c>
      <c r="J27" s="19">
        <v>0.1053</v>
      </c>
      <c r="K27" s="25">
        <v>96.77</v>
      </c>
      <c r="O27" s="37"/>
      <c r="P27" s="38"/>
    </row>
    <row r="28" ht="22.5" hidden="1" customHeight="1">
      <c r="A28" s="12" t="s">
        <v>11</v>
      </c>
      <c r="B28" s="12" t="s">
        <v>136</v>
      </c>
      <c r="C28" s="14">
        <v>382.0</v>
      </c>
      <c r="D28" s="15">
        <v>2.0</v>
      </c>
      <c r="E28" s="17">
        <v>0.0052</v>
      </c>
      <c r="F28" s="15">
        <v>6.0</v>
      </c>
      <c r="G28" s="19">
        <v>0.0157</v>
      </c>
      <c r="H28" s="12" t="s">
        <v>148</v>
      </c>
      <c r="I28" s="12">
        <v>65.0</v>
      </c>
      <c r="J28" s="19">
        <v>0.197</v>
      </c>
      <c r="K28" s="25">
        <v>96.45</v>
      </c>
      <c r="O28" s="39"/>
      <c r="P28" s="40"/>
    </row>
    <row r="29" ht="22.5" hidden="1" customHeight="1">
      <c r="A29" s="12" t="s">
        <v>11</v>
      </c>
      <c r="B29" s="12" t="s">
        <v>50</v>
      </c>
      <c r="C29" s="14">
        <v>378.0</v>
      </c>
      <c r="D29" s="15">
        <v>3.0</v>
      </c>
      <c r="E29" s="17">
        <v>0.0079</v>
      </c>
      <c r="F29" s="15">
        <v>8.0</v>
      </c>
      <c r="G29" s="19">
        <v>0.0212</v>
      </c>
      <c r="H29" s="12" t="s">
        <v>152</v>
      </c>
      <c r="I29" s="12">
        <v>54.0</v>
      </c>
      <c r="J29" s="19">
        <v>0.1824</v>
      </c>
      <c r="K29" s="25">
        <v>96.23</v>
      </c>
      <c r="O29" s="39"/>
      <c r="P29" s="40"/>
    </row>
    <row r="30" ht="22.5" hidden="1" customHeight="1">
      <c r="A30" s="12" t="s">
        <v>11</v>
      </c>
      <c r="B30" s="12" t="s">
        <v>153</v>
      </c>
      <c r="C30" s="14">
        <v>380.0</v>
      </c>
      <c r="D30" s="20">
        <v>0.0</v>
      </c>
      <c r="E30" s="17">
        <v>0.0</v>
      </c>
      <c r="F30" s="15">
        <v>5.0</v>
      </c>
      <c r="G30" s="19">
        <v>0.0132</v>
      </c>
      <c r="H30" s="12" t="s">
        <v>155</v>
      </c>
      <c r="I30" s="12">
        <v>18.0</v>
      </c>
      <c r="J30" s="19">
        <v>0.0496</v>
      </c>
      <c r="K30" s="25">
        <v>99.48</v>
      </c>
      <c r="O30" s="39"/>
      <c r="P30" s="40"/>
    </row>
    <row r="31" ht="22.5" hidden="1" customHeight="1">
      <c r="A31" s="12" t="s">
        <v>11</v>
      </c>
      <c r="B31" s="12" t="s">
        <v>156</v>
      </c>
      <c r="C31" s="14">
        <v>375.0</v>
      </c>
      <c r="D31" s="20">
        <v>0.0</v>
      </c>
      <c r="E31" s="17">
        <v>0.0</v>
      </c>
      <c r="F31" s="15">
        <v>8.0</v>
      </c>
      <c r="G31" s="19">
        <v>0.0213</v>
      </c>
      <c r="H31" s="12" t="s">
        <v>158</v>
      </c>
      <c r="I31" s="12">
        <v>56.0</v>
      </c>
      <c r="J31" s="19">
        <v>0.1672</v>
      </c>
      <c r="K31" s="25">
        <v>89.25</v>
      </c>
      <c r="O31" s="39"/>
      <c r="P31" s="40"/>
    </row>
    <row r="32" ht="22.5" hidden="1" customHeight="1">
      <c r="A32" s="12" t="s">
        <v>11</v>
      </c>
      <c r="B32" s="12" t="s">
        <v>159</v>
      </c>
      <c r="C32" s="14">
        <v>361.0</v>
      </c>
      <c r="D32" s="20">
        <v>0.0</v>
      </c>
      <c r="E32" s="17">
        <v>0.0</v>
      </c>
      <c r="F32" s="15">
        <v>10.0</v>
      </c>
      <c r="G32" s="19">
        <v>0.0277</v>
      </c>
      <c r="H32" s="12" t="s">
        <v>161</v>
      </c>
      <c r="I32" s="12">
        <v>15.0</v>
      </c>
      <c r="J32" s="19">
        <v>0.0485</v>
      </c>
      <c r="K32" s="5">
        <v>100.0</v>
      </c>
      <c r="O32" s="39"/>
      <c r="P32" s="40"/>
    </row>
    <row r="33" ht="22.5" hidden="1" customHeight="1">
      <c r="A33" s="12" t="s">
        <v>11</v>
      </c>
      <c r="B33" s="12" t="s">
        <v>119</v>
      </c>
      <c r="C33" s="14">
        <v>344.0</v>
      </c>
      <c r="D33" s="20">
        <v>0.0</v>
      </c>
      <c r="E33" s="17">
        <v>0.0</v>
      </c>
      <c r="F33" s="15">
        <v>3.0</v>
      </c>
      <c r="G33" s="19">
        <v>0.0087</v>
      </c>
      <c r="H33" s="12" t="s">
        <v>163</v>
      </c>
      <c r="I33" s="12">
        <v>42.0</v>
      </c>
      <c r="J33" s="19">
        <v>0.1338</v>
      </c>
      <c r="K33" s="25">
        <v>94.21</v>
      </c>
      <c r="O33" s="39"/>
      <c r="P33" s="40"/>
    </row>
    <row r="34" ht="22.5" hidden="1" customHeight="1">
      <c r="A34" s="12" t="s">
        <v>11</v>
      </c>
      <c r="B34" s="12" t="s">
        <v>114</v>
      </c>
      <c r="C34" s="14">
        <v>310.0</v>
      </c>
      <c r="D34" s="15">
        <v>3.0</v>
      </c>
      <c r="E34" s="17">
        <v>0.0096</v>
      </c>
      <c r="F34" s="15">
        <v>5.0</v>
      </c>
      <c r="G34" s="19">
        <v>0.0161</v>
      </c>
      <c r="H34" s="12" t="s">
        <v>166</v>
      </c>
      <c r="I34" s="12">
        <v>88.0</v>
      </c>
      <c r="J34" s="19">
        <v>0.3563</v>
      </c>
      <c r="K34" s="25">
        <v>93.76</v>
      </c>
      <c r="O34" s="39"/>
      <c r="P34" s="40"/>
    </row>
    <row r="35" ht="22.5" hidden="1" customHeight="1">
      <c r="A35" s="12" t="s">
        <v>11</v>
      </c>
      <c r="B35" s="12" t="s">
        <v>145</v>
      </c>
      <c r="C35" s="14">
        <v>280.0</v>
      </c>
      <c r="D35" s="15">
        <v>3.0</v>
      </c>
      <c r="E35" s="17">
        <v>0.0106</v>
      </c>
      <c r="F35" s="15">
        <v>13.0</v>
      </c>
      <c r="G35" s="19">
        <v>0.0464</v>
      </c>
      <c r="H35" s="12" t="s">
        <v>169</v>
      </c>
      <c r="I35" s="12">
        <v>41.0</v>
      </c>
      <c r="J35" s="19">
        <v>0.1798</v>
      </c>
      <c r="K35" s="25">
        <v>96.83</v>
      </c>
      <c r="O35" s="39"/>
      <c r="P35" s="40"/>
    </row>
    <row r="36" ht="22.5" hidden="1" customHeight="1">
      <c r="A36" s="12" t="s">
        <v>11</v>
      </c>
      <c r="B36" s="12" t="s">
        <v>170</v>
      </c>
      <c r="C36" s="14">
        <v>273.0</v>
      </c>
      <c r="D36" s="20">
        <v>0.0</v>
      </c>
      <c r="E36" s="17">
        <v>0.0</v>
      </c>
      <c r="F36" s="15">
        <v>3.0</v>
      </c>
      <c r="G36" s="19">
        <v>0.011</v>
      </c>
      <c r="H36" s="12" t="s">
        <v>172</v>
      </c>
      <c r="I36" s="12">
        <v>49.0</v>
      </c>
      <c r="J36" s="19">
        <v>0.2085</v>
      </c>
      <c r="K36" s="25">
        <v>94.67</v>
      </c>
      <c r="O36" s="39"/>
      <c r="P36" s="40"/>
    </row>
    <row r="37" ht="22.5" hidden="1" customHeight="1">
      <c r="A37" s="12" t="s">
        <v>11</v>
      </c>
      <c r="B37" s="12" t="s">
        <v>126</v>
      </c>
      <c r="C37" s="14">
        <v>260.0</v>
      </c>
      <c r="D37" s="15">
        <v>2.0</v>
      </c>
      <c r="E37" s="17">
        <v>0.0076</v>
      </c>
      <c r="F37" s="15">
        <v>6.0</v>
      </c>
      <c r="G37" s="19">
        <v>0.0231</v>
      </c>
      <c r="H37" s="12" t="s">
        <v>177</v>
      </c>
      <c r="I37" s="12">
        <v>53.0</v>
      </c>
      <c r="J37" s="19">
        <v>0.2387</v>
      </c>
      <c r="K37" s="25">
        <v>92.83</v>
      </c>
      <c r="O37" s="41"/>
      <c r="P37" s="40"/>
    </row>
    <row r="38" ht="22.5" hidden="1" customHeight="1">
      <c r="A38" s="12" t="s">
        <v>11</v>
      </c>
      <c r="B38" s="12" t="s">
        <v>104</v>
      </c>
      <c r="C38" s="14">
        <v>179.0</v>
      </c>
      <c r="D38" s="15">
        <v>2.0</v>
      </c>
      <c r="E38" s="17">
        <v>0.011</v>
      </c>
      <c r="F38" s="15">
        <v>3.0</v>
      </c>
      <c r="G38" s="19">
        <v>0.0168</v>
      </c>
      <c r="H38" s="12" t="s">
        <v>181</v>
      </c>
      <c r="I38" s="12">
        <v>0.0</v>
      </c>
      <c r="J38" s="19">
        <v>0.0</v>
      </c>
      <c r="K38" s="5">
        <v>100.0</v>
      </c>
      <c r="O38" s="39"/>
      <c r="P38" s="40"/>
    </row>
    <row r="39" ht="22.5" hidden="1" customHeight="1">
      <c r="A39" s="12" t="s">
        <v>11</v>
      </c>
      <c r="B39" s="12" t="s">
        <v>46</v>
      </c>
      <c r="C39" s="14">
        <v>64.0</v>
      </c>
      <c r="D39" s="15">
        <v>2.0</v>
      </c>
      <c r="E39" s="17">
        <v>0.0303</v>
      </c>
      <c r="F39" s="15">
        <v>2.0</v>
      </c>
      <c r="G39" s="19">
        <v>0.0</v>
      </c>
      <c r="H39" s="12" t="s">
        <v>184</v>
      </c>
      <c r="I39" s="12">
        <v>6.0</v>
      </c>
      <c r="J39" s="19">
        <v>0.1132</v>
      </c>
      <c r="K39" s="25">
        <v>71.6</v>
      </c>
      <c r="O39" s="39"/>
      <c r="P39" s="40"/>
    </row>
    <row r="40" ht="22.5" hidden="1" customHeight="1">
      <c r="A40" s="12" t="s">
        <v>185</v>
      </c>
      <c r="B40" s="12" t="s">
        <v>136</v>
      </c>
      <c r="C40" s="12">
        <v>81.0</v>
      </c>
      <c r="D40" s="36">
        <v>0.0</v>
      </c>
      <c r="E40" s="45">
        <v>0.0</v>
      </c>
      <c r="F40" s="36">
        <v>6.0</v>
      </c>
      <c r="G40" s="36" t="s">
        <v>193</v>
      </c>
      <c r="H40" s="47">
        <v>71341.06</v>
      </c>
      <c r="I40" s="12">
        <v>52.0</v>
      </c>
      <c r="J40" s="36" t="s">
        <v>195</v>
      </c>
      <c r="K40" s="35" t="s">
        <v>197</v>
      </c>
      <c r="O40" s="39"/>
      <c r="P40" s="40"/>
    </row>
    <row r="41" ht="22.5" hidden="1" customHeight="1">
      <c r="A41" s="12" t="s">
        <v>185</v>
      </c>
      <c r="B41" s="12" t="s">
        <v>33</v>
      </c>
      <c r="C41" s="12">
        <v>244.0</v>
      </c>
      <c r="D41" s="36">
        <v>0.0</v>
      </c>
      <c r="E41" s="45">
        <v>0.0</v>
      </c>
      <c r="F41" s="36">
        <v>11.0</v>
      </c>
      <c r="G41" s="36" t="s">
        <v>202</v>
      </c>
      <c r="H41" s="12">
        <v>33571.72</v>
      </c>
      <c r="I41" s="12">
        <v>126.0</v>
      </c>
      <c r="J41" s="36" t="s">
        <v>204</v>
      </c>
      <c r="K41" s="35" t="s">
        <v>206</v>
      </c>
      <c r="O41" s="39"/>
      <c r="P41" s="40"/>
    </row>
    <row r="42" ht="22.5" hidden="1" customHeight="1">
      <c r="A42" s="12" t="s">
        <v>185</v>
      </c>
      <c r="B42" s="12" t="s">
        <v>26</v>
      </c>
      <c r="C42" s="12">
        <v>413.0</v>
      </c>
      <c r="D42" s="36">
        <v>0.0</v>
      </c>
      <c r="E42" s="45">
        <v>0.0</v>
      </c>
      <c r="F42" s="36">
        <v>25.0</v>
      </c>
      <c r="G42" s="36" t="s">
        <v>212</v>
      </c>
      <c r="H42" s="47">
        <v>304565.47</v>
      </c>
      <c r="I42" s="12">
        <v>49.0</v>
      </c>
      <c r="J42" s="36" t="s">
        <v>213</v>
      </c>
      <c r="K42" s="35" t="s">
        <v>214</v>
      </c>
      <c r="O42" s="39"/>
      <c r="P42" s="40"/>
    </row>
    <row r="43" ht="22.5" hidden="1" customHeight="1">
      <c r="A43" s="12" t="s">
        <v>185</v>
      </c>
      <c r="B43" s="12" t="s">
        <v>63</v>
      </c>
      <c r="C43" s="12">
        <v>919.0</v>
      </c>
      <c r="D43" s="36">
        <v>1.0</v>
      </c>
      <c r="E43" s="45">
        <v>0.001</v>
      </c>
      <c r="F43" s="36">
        <v>41.0</v>
      </c>
      <c r="G43" s="36" t="s">
        <v>222</v>
      </c>
      <c r="H43" s="47">
        <v>421848.52</v>
      </c>
      <c r="I43" s="12">
        <v>403.0</v>
      </c>
      <c r="J43" s="36" t="s">
        <v>223</v>
      </c>
      <c r="K43" s="35" t="s">
        <v>224</v>
      </c>
      <c r="O43" s="39"/>
      <c r="P43" s="40"/>
    </row>
    <row r="44" ht="22.5" customHeight="1">
      <c r="A44" s="12" t="s">
        <v>185</v>
      </c>
      <c r="B44" s="12" t="s">
        <v>13</v>
      </c>
      <c r="C44" s="12">
        <v>550.0</v>
      </c>
      <c r="D44" s="36">
        <v>0.0</v>
      </c>
      <c r="E44" s="45">
        <v>0.0</v>
      </c>
      <c r="F44" s="36">
        <v>21.0</v>
      </c>
      <c r="G44" s="36" t="s">
        <v>231</v>
      </c>
      <c r="H44" s="47">
        <v>232192.54</v>
      </c>
      <c r="I44" s="12">
        <v>199.0</v>
      </c>
      <c r="J44" s="36" t="s">
        <v>233</v>
      </c>
      <c r="K44" s="35" t="s">
        <v>234</v>
      </c>
      <c r="O44" s="39"/>
      <c r="P44" s="40"/>
    </row>
    <row r="45" ht="22.5" hidden="1" customHeight="1">
      <c r="A45" s="12" t="s">
        <v>185</v>
      </c>
      <c r="B45" s="12" t="s">
        <v>153</v>
      </c>
      <c r="C45" s="12">
        <v>163.0</v>
      </c>
      <c r="D45" s="36">
        <v>0.0</v>
      </c>
      <c r="E45" s="45">
        <v>0.0</v>
      </c>
      <c r="F45" s="36">
        <v>6.0</v>
      </c>
      <c r="G45" s="36" t="s">
        <v>237</v>
      </c>
      <c r="H45" s="47">
        <v>94149.3</v>
      </c>
      <c r="I45" s="12">
        <v>80.0</v>
      </c>
      <c r="J45" s="36" t="s">
        <v>239</v>
      </c>
      <c r="K45" s="35" t="s">
        <v>240</v>
      </c>
      <c r="O45" s="39"/>
      <c r="P45" s="40"/>
    </row>
    <row r="46" ht="22.5" hidden="1" customHeight="1">
      <c r="A46" s="12" t="s">
        <v>185</v>
      </c>
      <c r="B46" s="12" t="s">
        <v>19</v>
      </c>
      <c r="C46" s="12">
        <v>356.0</v>
      </c>
      <c r="D46" s="36">
        <v>0.0</v>
      </c>
      <c r="E46" s="45">
        <v>0.0</v>
      </c>
      <c r="F46" s="36">
        <v>13.0</v>
      </c>
      <c r="G46" s="36" t="s">
        <v>245</v>
      </c>
      <c r="H46" s="47">
        <v>143015.76</v>
      </c>
      <c r="I46" s="12">
        <v>233.0</v>
      </c>
      <c r="J46" s="36" t="s">
        <v>248</v>
      </c>
      <c r="K46" s="35" t="s">
        <v>250</v>
      </c>
      <c r="O46" s="39"/>
      <c r="P46" s="40"/>
    </row>
    <row r="47" ht="22.5" hidden="1" customHeight="1">
      <c r="A47" s="12" t="s">
        <v>185</v>
      </c>
      <c r="B47" s="12" t="s">
        <v>15</v>
      </c>
      <c r="C47" s="12">
        <v>59.0</v>
      </c>
      <c r="D47" s="36">
        <v>0.0</v>
      </c>
      <c r="E47" s="45">
        <v>0.0</v>
      </c>
      <c r="F47" s="36">
        <v>3.0</v>
      </c>
      <c r="G47" s="36" t="s">
        <v>256</v>
      </c>
      <c r="H47" s="12">
        <v>0.0</v>
      </c>
      <c r="I47" s="12">
        <v>24.0</v>
      </c>
      <c r="J47" s="36" t="s">
        <v>259</v>
      </c>
      <c r="K47" s="35" t="s">
        <v>262</v>
      </c>
      <c r="O47" s="39"/>
      <c r="P47" s="40"/>
    </row>
    <row r="48" ht="22.5" hidden="1" customHeight="1">
      <c r="A48" s="12" t="s">
        <v>185</v>
      </c>
      <c r="B48" s="12" t="s">
        <v>82</v>
      </c>
      <c r="C48" s="12">
        <v>158.0</v>
      </c>
      <c r="D48" s="36">
        <v>0.0</v>
      </c>
      <c r="E48" s="45">
        <v>0.0</v>
      </c>
      <c r="F48" s="36">
        <v>11.0</v>
      </c>
      <c r="G48" s="36" t="s">
        <v>265</v>
      </c>
      <c r="H48" s="47">
        <v>143902.2</v>
      </c>
      <c r="I48" s="12">
        <v>90.0</v>
      </c>
      <c r="J48" s="36" t="s">
        <v>267</v>
      </c>
      <c r="K48" s="35" t="s">
        <v>268</v>
      </c>
      <c r="O48" s="48"/>
      <c r="P48" s="38"/>
    </row>
    <row r="49" ht="22.5" hidden="1" customHeight="1">
      <c r="A49" s="12" t="s">
        <v>185</v>
      </c>
      <c r="B49" s="12" t="s">
        <v>59</v>
      </c>
      <c r="C49" s="12">
        <v>120.0</v>
      </c>
      <c r="D49" s="36">
        <v>0.0</v>
      </c>
      <c r="E49" s="45">
        <v>0.0</v>
      </c>
      <c r="F49" s="36">
        <v>7.0</v>
      </c>
      <c r="G49" s="36" t="s">
        <v>272</v>
      </c>
      <c r="H49" s="47">
        <v>56485.62</v>
      </c>
      <c r="I49" s="12">
        <v>53.0</v>
      </c>
      <c r="J49" s="36" t="s">
        <v>274</v>
      </c>
      <c r="K49" s="35" t="s">
        <v>275</v>
      </c>
      <c r="O49" s="48"/>
      <c r="P49" s="38"/>
    </row>
    <row r="50" ht="22.5" hidden="1" customHeight="1">
      <c r="A50" s="12" t="s">
        <v>185</v>
      </c>
      <c r="B50" s="36" t="s">
        <v>79</v>
      </c>
      <c r="C50" s="12">
        <v>208.0</v>
      </c>
      <c r="D50" s="36">
        <v>0.0</v>
      </c>
      <c r="E50" s="45">
        <v>0.0</v>
      </c>
      <c r="F50" s="36">
        <v>10.0</v>
      </c>
      <c r="G50" s="36" t="s">
        <v>282</v>
      </c>
      <c r="H50" s="47">
        <v>189729.39</v>
      </c>
      <c r="I50" s="12">
        <v>91.0</v>
      </c>
      <c r="J50" s="36" t="s">
        <v>284</v>
      </c>
      <c r="K50" s="35" t="s">
        <v>286</v>
      </c>
      <c r="O50" s="48"/>
      <c r="P50" s="38"/>
    </row>
    <row r="51" ht="22.5" hidden="1" customHeight="1">
      <c r="A51" s="12" t="s">
        <v>185</v>
      </c>
      <c r="B51" s="12" t="s">
        <v>45</v>
      </c>
      <c r="C51" s="12">
        <v>248.0</v>
      </c>
      <c r="D51" s="36">
        <v>0.0</v>
      </c>
      <c r="E51" s="45">
        <v>0.0</v>
      </c>
      <c r="F51" s="36">
        <v>16.0</v>
      </c>
      <c r="G51" s="36" t="s">
        <v>289</v>
      </c>
      <c r="H51" s="47">
        <v>96327.4</v>
      </c>
      <c r="I51" s="12">
        <v>27.0</v>
      </c>
      <c r="J51" s="36" t="s">
        <v>291</v>
      </c>
      <c r="K51" s="35" t="s">
        <v>293</v>
      </c>
      <c r="O51" s="48"/>
      <c r="P51" s="38"/>
    </row>
    <row r="52" ht="22.5" hidden="1" customHeight="1">
      <c r="A52" s="12" t="s">
        <v>185</v>
      </c>
      <c r="B52" s="12" t="s">
        <v>39</v>
      </c>
      <c r="C52" s="12">
        <v>41.0</v>
      </c>
      <c r="D52" s="36">
        <v>0.0</v>
      </c>
      <c r="E52" s="45">
        <v>0.0</v>
      </c>
      <c r="F52" s="36">
        <v>3.0</v>
      </c>
      <c r="G52" s="36" t="s">
        <v>299</v>
      </c>
      <c r="H52" s="47">
        <v>7849.0</v>
      </c>
      <c r="I52" s="12">
        <v>27.0</v>
      </c>
      <c r="J52" s="36" t="s">
        <v>301</v>
      </c>
      <c r="K52" s="35" t="s">
        <v>298</v>
      </c>
      <c r="O52" s="48"/>
      <c r="P52" s="38"/>
    </row>
    <row r="53" ht="22.5" hidden="1" customHeight="1">
      <c r="A53" s="12" t="s">
        <v>185</v>
      </c>
      <c r="B53" s="12" t="s">
        <v>114</v>
      </c>
      <c r="C53" s="12">
        <v>108.0</v>
      </c>
      <c r="D53" s="36">
        <v>0.0</v>
      </c>
      <c r="E53" s="45">
        <v>0.0</v>
      </c>
      <c r="F53" s="36">
        <v>8.0</v>
      </c>
      <c r="G53" s="36" t="s">
        <v>193</v>
      </c>
      <c r="H53" s="47">
        <v>29139.6</v>
      </c>
      <c r="I53" s="12">
        <v>91.0</v>
      </c>
      <c r="J53" s="36" t="s">
        <v>312</v>
      </c>
      <c r="K53" s="35" t="s">
        <v>315</v>
      </c>
      <c r="O53" s="48"/>
      <c r="P53" s="38"/>
    </row>
    <row r="54" ht="22.5" hidden="1" customHeight="1">
      <c r="A54" s="12" t="s">
        <v>185</v>
      </c>
      <c r="B54" s="12" t="s">
        <v>77</v>
      </c>
      <c r="C54" s="12">
        <v>90.0</v>
      </c>
      <c r="D54" s="36">
        <v>0.0</v>
      </c>
      <c r="E54" s="45">
        <v>0.0</v>
      </c>
      <c r="F54" s="36">
        <v>4.0</v>
      </c>
      <c r="G54" s="36" t="s">
        <v>322</v>
      </c>
      <c r="H54" s="47">
        <v>33139.0</v>
      </c>
      <c r="I54" s="12">
        <v>43.0</v>
      </c>
      <c r="J54" s="36" t="s">
        <v>327</v>
      </c>
      <c r="K54" s="35" t="s">
        <v>328</v>
      </c>
      <c r="O54" s="48"/>
      <c r="P54" s="38"/>
    </row>
    <row r="55" ht="22.5" hidden="1" customHeight="1">
      <c r="A55" s="12" t="s">
        <v>185</v>
      </c>
      <c r="B55" s="12" t="s">
        <v>58</v>
      </c>
      <c r="C55" s="12">
        <v>217.0</v>
      </c>
      <c r="D55" s="36">
        <v>0.0</v>
      </c>
      <c r="E55" s="45">
        <v>0.0</v>
      </c>
      <c r="F55" s="36">
        <v>14.0</v>
      </c>
      <c r="G55" s="36" t="s">
        <v>289</v>
      </c>
      <c r="H55" s="47">
        <v>136289.5</v>
      </c>
      <c r="I55" s="12">
        <v>124.0</v>
      </c>
      <c r="J55" s="36" t="s">
        <v>337</v>
      </c>
      <c r="K55" s="35" t="s">
        <v>338</v>
      </c>
      <c r="O55" s="48"/>
      <c r="P55" s="38"/>
    </row>
    <row r="56" ht="22.5" hidden="1" customHeight="1">
      <c r="A56" s="12" t="s">
        <v>185</v>
      </c>
      <c r="B56" s="12" t="s">
        <v>27</v>
      </c>
      <c r="C56" s="12">
        <v>201.0</v>
      </c>
      <c r="D56" s="36">
        <v>1.0</v>
      </c>
      <c r="E56" s="45">
        <v>0.0049</v>
      </c>
      <c r="F56" s="36">
        <v>6.0</v>
      </c>
      <c r="G56" s="36" t="s">
        <v>344</v>
      </c>
      <c r="H56" s="47">
        <v>52659.0</v>
      </c>
      <c r="I56" s="12">
        <v>88.0</v>
      </c>
      <c r="J56" s="36" t="s">
        <v>347</v>
      </c>
      <c r="K56" s="35" t="s">
        <v>345</v>
      </c>
      <c r="O56" s="48"/>
      <c r="P56" s="38"/>
    </row>
    <row r="57" ht="22.5" hidden="1" customHeight="1">
      <c r="A57" s="12" t="s">
        <v>185</v>
      </c>
      <c r="B57" s="12" t="s">
        <v>23</v>
      </c>
      <c r="C57" s="12">
        <v>248.0</v>
      </c>
      <c r="D57" s="36">
        <v>0.0</v>
      </c>
      <c r="E57" s="45">
        <v>0.0</v>
      </c>
      <c r="F57" s="36">
        <v>15.0</v>
      </c>
      <c r="G57" s="36" t="s">
        <v>339</v>
      </c>
      <c r="H57" s="47">
        <v>49633.4</v>
      </c>
      <c r="I57" s="12">
        <v>117.0</v>
      </c>
      <c r="J57" s="36" t="s">
        <v>357</v>
      </c>
      <c r="K57" s="35" t="s">
        <v>358</v>
      </c>
      <c r="O57" s="48"/>
      <c r="P57" s="38"/>
    </row>
    <row r="58" ht="22.5" hidden="1" customHeight="1">
      <c r="A58" s="12" t="s">
        <v>185</v>
      </c>
      <c r="B58" s="12" t="s">
        <v>170</v>
      </c>
      <c r="C58" s="12">
        <v>104.0</v>
      </c>
      <c r="D58" s="36">
        <v>0.0</v>
      </c>
      <c r="E58" s="45">
        <v>0.0</v>
      </c>
      <c r="F58" s="36">
        <v>2.0</v>
      </c>
      <c r="G58" s="36" t="s">
        <v>360</v>
      </c>
      <c r="H58" s="47">
        <v>7999.0</v>
      </c>
      <c r="I58" s="12">
        <v>33.0</v>
      </c>
      <c r="J58" s="36" t="s">
        <v>365</v>
      </c>
      <c r="K58" s="35" t="s">
        <v>366</v>
      </c>
      <c r="O58" s="48"/>
      <c r="P58" s="38"/>
    </row>
    <row r="59" ht="22.5" hidden="1" customHeight="1">
      <c r="A59" s="12" t="s">
        <v>185</v>
      </c>
      <c r="B59" s="12" t="s">
        <v>85</v>
      </c>
      <c r="C59" s="12">
        <v>144.0</v>
      </c>
      <c r="D59" s="36">
        <v>0.0</v>
      </c>
      <c r="E59" s="45">
        <v>0.0</v>
      </c>
      <c r="F59" s="36">
        <v>7.0</v>
      </c>
      <c r="G59" s="36" t="s">
        <v>374</v>
      </c>
      <c r="H59" s="47">
        <v>51649.4</v>
      </c>
      <c r="I59" s="12">
        <v>44.0</v>
      </c>
      <c r="J59" s="36" t="s">
        <v>381</v>
      </c>
      <c r="K59" s="35" t="s">
        <v>287</v>
      </c>
      <c r="O59" s="48"/>
      <c r="P59" s="38"/>
    </row>
    <row r="60" ht="22.5" customHeight="1">
      <c r="A60" s="12" t="s">
        <v>383</v>
      </c>
      <c r="B60" s="12" t="s">
        <v>13</v>
      </c>
      <c r="C60" s="59">
        <v>358.0</v>
      </c>
      <c r="D60" s="60">
        <v>3.0</v>
      </c>
      <c r="E60" s="61">
        <v>0.008</v>
      </c>
      <c r="F60" s="60">
        <v>13.0</v>
      </c>
      <c r="G60" s="61">
        <v>0.036</v>
      </c>
      <c r="H60" s="60" t="s">
        <v>388</v>
      </c>
      <c r="I60" s="60">
        <v>17.0</v>
      </c>
      <c r="J60" s="19">
        <v>0.049</v>
      </c>
      <c r="K60" s="65">
        <v>0.993</v>
      </c>
      <c r="O60" s="48"/>
      <c r="P60" s="38"/>
    </row>
    <row r="61" ht="22.5" hidden="1" customHeight="1">
      <c r="A61" s="12" t="s">
        <v>383</v>
      </c>
      <c r="B61" s="12" t="s">
        <v>26</v>
      </c>
      <c r="C61" s="59">
        <v>296.0</v>
      </c>
      <c r="D61" s="60">
        <v>0.0</v>
      </c>
      <c r="E61" s="61">
        <v>0.0</v>
      </c>
      <c r="F61" s="60">
        <v>4.0</v>
      </c>
      <c r="G61" s="61">
        <v>0.014</v>
      </c>
      <c r="H61" s="60" t="s">
        <v>388</v>
      </c>
      <c r="I61" s="60">
        <v>14.0</v>
      </c>
      <c r="J61" s="19">
        <v>0.048</v>
      </c>
      <c r="K61" s="65">
        <v>1.0</v>
      </c>
      <c r="O61" s="48"/>
      <c r="P61" s="38"/>
    </row>
    <row r="62" ht="22.5" hidden="1" customHeight="1">
      <c r="A62" s="12" t="s">
        <v>383</v>
      </c>
      <c r="B62" s="12" t="s">
        <v>19</v>
      </c>
      <c r="C62" s="59">
        <v>258.0</v>
      </c>
      <c r="D62" s="60">
        <v>0.0</v>
      </c>
      <c r="E62" s="61">
        <v>0.0</v>
      </c>
      <c r="F62" s="60">
        <v>9.0</v>
      </c>
      <c r="G62" s="61">
        <v>0.035</v>
      </c>
      <c r="H62" s="60" t="s">
        <v>388</v>
      </c>
      <c r="I62" s="60">
        <v>60.0</v>
      </c>
      <c r="J62" s="19">
        <v>0.244</v>
      </c>
      <c r="K62" s="65">
        <v>0.9403</v>
      </c>
      <c r="O62" s="48"/>
      <c r="P62" s="38"/>
    </row>
    <row r="63" ht="22.5" hidden="1" customHeight="1">
      <c r="A63" s="12" t="s">
        <v>383</v>
      </c>
      <c r="B63" s="12" t="s">
        <v>23</v>
      </c>
      <c r="C63" s="59">
        <v>210.0</v>
      </c>
      <c r="D63" s="60">
        <v>4.0</v>
      </c>
      <c r="E63" s="61">
        <v>0.019</v>
      </c>
      <c r="F63" s="60">
        <v>6.0</v>
      </c>
      <c r="G63" s="61">
        <v>0.028</v>
      </c>
      <c r="H63" s="60" t="s">
        <v>388</v>
      </c>
      <c r="I63" s="60">
        <v>25.0</v>
      </c>
      <c r="J63" s="19">
        <v>0.121</v>
      </c>
      <c r="K63" s="65">
        <v>1.0</v>
      </c>
      <c r="O63" s="48"/>
      <c r="P63" s="38"/>
    </row>
    <row r="64" ht="22.5" hidden="1" customHeight="1">
      <c r="A64" s="12" t="s">
        <v>383</v>
      </c>
      <c r="B64" s="12" t="s">
        <v>33</v>
      </c>
      <c r="C64" s="59">
        <v>180.0</v>
      </c>
      <c r="D64" s="60">
        <v>1.0</v>
      </c>
      <c r="E64" s="61">
        <v>0.006</v>
      </c>
      <c r="F64" s="60">
        <v>7.0</v>
      </c>
      <c r="G64" s="61">
        <v>0.039</v>
      </c>
      <c r="H64" s="60" t="s">
        <v>388</v>
      </c>
      <c r="I64" s="60">
        <v>42.0</v>
      </c>
      <c r="J64" s="19">
        <v>0.237</v>
      </c>
      <c r="K64" s="65">
        <v>0.9938</v>
      </c>
      <c r="O64" s="48"/>
      <c r="P64" s="38"/>
    </row>
    <row r="65" ht="22.5" hidden="1" customHeight="1">
      <c r="A65" s="12" t="s">
        <v>383</v>
      </c>
      <c r="B65" s="36" t="s">
        <v>79</v>
      </c>
      <c r="C65" s="59">
        <v>169.0</v>
      </c>
      <c r="D65" s="60">
        <v>0.0</v>
      </c>
      <c r="E65" s="61">
        <v>0.0</v>
      </c>
      <c r="F65" s="60">
        <v>7.0</v>
      </c>
      <c r="G65" s="61">
        <v>0.041</v>
      </c>
      <c r="H65" s="60" t="s">
        <v>388</v>
      </c>
      <c r="I65" s="60">
        <v>7.0</v>
      </c>
      <c r="J65" s="19">
        <v>0.042</v>
      </c>
      <c r="K65" s="65">
        <v>0.9976</v>
      </c>
      <c r="O65" s="48"/>
      <c r="P65" s="38"/>
    </row>
    <row r="66" ht="22.5" hidden="1" customHeight="1">
      <c r="A66" s="12" t="s">
        <v>383</v>
      </c>
      <c r="B66" s="12" t="s">
        <v>58</v>
      </c>
      <c r="C66" s="59">
        <v>147.0</v>
      </c>
      <c r="D66" s="60">
        <v>0.0</v>
      </c>
      <c r="E66" s="61">
        <v>0.0</v>
      </c>
      <c r="F66" s="60">
        <v>9.0</v>
      </c>
      <c r="G66" s="61">
        <v>0.061</v>
      </c>
      <c r="H66" s="60" t="s">
        <v>388</v>
      </c>
      <c r="I66" s="60">
        <v>11.0</v>
      </c>
      <c r="J66" s="19">
        <v>0.077</v>
      </c>
      <c r="K66" s="65">
        <v>0.9816</v>
      </c>
      <c r="O66" s="48"/>
      <c r="P66" s="38"/>
    </row>
    <row r="67" ht="22.5" hidden="1" customHeight="1">
      <c r="A67" s="12" t="s">
        <v>383</v>
      </c>
      <c r="B67" s="12" t="s">
        <v>63</v>
      </c>
      <c r="C67" s="59">
        <v>143.0</v>
      </c>
      <c r="D67" s="60">
        <v>0.0</v>
      </c>
      <c r="E67" s="61">
        <v>0.0</v>
      </c>
      <c r="F67" s="60">
        <v>2.0</v>
      </c>
      <c r="G67" s="61">
        <v>0.014</v>
      </c>
      <c r="H67" s="60" t="s">
        <v>388</v>
      </c>
      <c r="I67" s="60">
        <v>31.0</v>
      </c>
      <c r="J67" s="19">
        <v>0.22</v>
      </c>
      <c r="K67" s="65">
        <v>0.995</v>
      </c>
      <c r="O67" s="48"/>
      <c r="P67" s="38"/>
    </row>
    <row r="68" ht="22.5" hidden="1" customHeight="1">
      <c r="A68" s="12" t="s">
        <v>383</v>
      </c>
      <c r="B68" s="12" t="s">
        <v>77</v>
      </c>
      <c r="C68" s="59">
        <v>138.0</v>
      </c>
      <c r="D68" s="60">
        <v>4.0</v>
      </c>
      <c r="E68" s="61">
        <v>0.028</v>
      </c>
      <c r="F68" s="60">
        <v>0.0</v>
      </c>
      <c r="G68" s="61">
        <v>0.0</v>
      </c>
      <c r="H68" s="60" t="s">
        <v>388</v>
      </c>
      <c r="I68" s="60">
        <v>9.0</v>
      </c>
      <c r="J68" s="19">
        <v>0.067</v>
      </c>
      <c r="K68" s="65">
        <v>0.9574</v>
      </c>
      <c r="O68" s="48"/>
      <c r="P68" s="38"/>
    </row>
    <row r="69" ht="22.5" hidden="1" customHeight="1">
      <c r="A69" s="12" t="s">
        <v>383</v>
      </c>
      <c r="B69" s="12" t="s">
        <v>114</v>
      </c>
      <c r="C69" s="59">
        <v>135.0</v>
      </c>
      <c r="D69" s="60">
        <v>2.0</v>
      </c>
      <c r="E69" s="61">
        <v>0.015</v>
      </c>
      <c r="F69" s="60">
        <v>4.0</v>
      </c>
      <c r="G69" s="61">
        <v>0.029</v>
      </c>
      <c r="H69" s="60" t="s">
        <v>388</v>
      </c>
      <c r="I69" s="60">
        <v>32.0</v>
      </c>
      <c r="J69" s="19">
        <v>0.264</v>
      </c>
      <c r="K69" s="65">
        <v>1.0</v>
      </c>
      <c r="O69" s="48"/>
      <c r="P69" s="38"/>
    </row>
    <row r="70" ht="22.5" hidden="1" customHeight="1">
      <c r="A70" s="12" t="s">
        <v>383</v>
      </c>
      <c r="B70" s="12" t="s">
        <v>85</v>
      </c>
      <c r="C70" s="59">
        <v>112.0</v>
      </c>
      <c r="D70" s="60">
        <v>1.0</v>
      </c>
      <c r="E70" s="61">
        <v>0.009</v>
      </c>
      <c r="F70" s="60">
        <v>4.0</v>
      </c>
      <c r="G70" s="61">
        <v>0.035</v>
      </c>
      <c r="H70" s="60" t="s">
        <v>388</v>
      </c>
      <c r="I70" s="60">
        <v>5.0</v>
      </c>
      <c r="J70" s="19">
        <v>0.045</v>
      </c>
      <c r="K70" s="65">
        <v>0.998</v>
      </c>
      <c r="O70" s="48"/>
      <c r="P70" s="38"/>
    </row>
    <row r="71" ht="22.5" hidden="1" customHeight="1">
      <c r="A71" s="12" t="s">
        <v>383</v>
      </c>
      <c r="B71" s="12" t="s">
        <v>27</v>
      </c>
      <c r="C71" s="59">
        <v>112.0</v>
      </c>
      <c r="D71" s="60">
        <v>0.0</v>
      </c>
      <c r="E71" s="61">
        <v>0.0</v>
      </c>
      <c r="F71" s="60">
        <v>2.0</v>
      </c>
      <c r="G71" s="61">
        <v>0.018</v>
      </c>
      <c r="H71" s="60" t="s">
        <v>388</v>
      </c>
      <c r="I71" s="60">
        <v>9.0</v>
      </c>
      <c r="J71" s="19">
        <v>0.081</v>
      </c>
      <c r="K71" s="65">
        <v>1.0</v>
      </c>
      <c r="O71" s="48"/>
      <c r="P71" s="38"/>
    </row>
    <row r="72" ht="22.5" hidden="1" customHeight="1">
      <c r="A72" s="12" t="s">
        <v>383</v>
      </c>
      <c r="B72" s="12" t="s">
        <v>45</v>
      </c>
      <c r="C72" s="59">
        <v>108.0</v>
      </c>
      <c r="D72" s="60">
        <v>2.0</v>
      </c>
      <c r="E72" s="61">
        <v>0.018</v>
      </c>
      <c r="F72" s="60">
        <v>2.0</v>
      </c>
      <c r="G72" s="61">
        <v>0.018</v>
      </c>
      <c r="H72" s="60" t="s">
        <v>388</v>
      </c>
      <c r="I72" s="60">
        <v>12.0</v>
      </c>
      <c r="J72" s="19">
        <v>0.117</v>
      </c>
      <c r="K72" s="65">
        <v>0.9993</v>
      </c>
      <c r="O72" s="48"/>
      <c r="P72" s="38"/>
    </row>
    <row r="73" ht="22.5" hidden="1" customHeight="1">
      <c r="A73" s="12" t="s">
        <v>383</v>
      </c>
      <c r="B73" s="12" t="s">
        <v>136</v>
      </c>
      <c r="C73" s="59">
        <v>94.0</v>
      </c>
      <c r="D73" s="60">
        <v>0.0</v>
      </c>
      <c r="E73" s="61">
        <v>0.0</v>
      </c>
      <c r="F73" s="60">
        <v>1.0</v>
      </c>
      <c r="G73" s="61">
        <v>0.011</v>
      </c>
      <c r="H73" s="60" t="s">
        <v>388</v>
      </c>
      <c r="I73" s="60">
        <v>21.0</v>
      </c>
      <c r="J73" s="19">
        <v>0.239</v>
      </c>
      <c r="K73" s="65">
        <v>0.9737</v>
      </c>
      <c r="O73" s="48"/>
      <c r="P73" s="38"/>
    </row>
    <row r="74" ht="22.5" hidden="1" customHeight="1">
      <c r="A74" s="12" t="s">
        <v>383</v>
      </c>
      <c r="B74" s="12" t="s">
        <v>82</v>
      </c>
      <c r="C74" s="59">
        <v>72.0</v>
      </c>
      <c r="D74" s="60">
        <v>1.0</v>
      </c>
      <c r="E74" s="61">
        <v>0.014</v>
      </c>
      <c r="F74" s="60">
        <v>2.0</v>
      </c>
      <c r="G74" s="61">
        <v>0.027</v>
      </c>
      <c r="H74" s="60" t="s">
        <v>388</v>
      </c>
      <c r="I74" s="60">
        <v>3.0</v>
      </c>
      <c r="J74" s="19">
        <v>0.042</v>
      </c>
      <c r="K74" s="65">
        <v>0.9913</v>
      </c>
      <c r="O74" s="48"/>
      <c r="P74" s="38"/>
    </row>
    <row r="75" ht="22.5" hidden="1" customHeight="1">
      <c r="A75" s="12" t="s">
        <v>383</v>
      </c>
      <c r="B75" s="12" t="s">
        <v>153</v>
      </c>
      <c r="C75" s="59">
        <v>67.0</v>
      </c>
      <c r="D75" s="60">
        <v>0.0</v>
      </c>
      <c r="E75" s="61">
        <v>0.0</v>
      </c>
      <c r="F75" s="60">
        <v>4.0</v>
      </c>
      <c r="G75" s="61">
        <v>0.06</v>
      </c>
      <c r="H75" s="60" t="s">
        <v>388</v>
      </c>
      <c r="I75" s="60">
        <v>6.0</v>
      </c>
      <c r="J75" s="19">
        <v>0.09</v>
      </c>
      <c r="K75" s="65">
        <v>0.9986</v>
      </c>
      <c r="O75" s="48"/>
      <c r="P75" s="38"/>
    </row>
    <row r="76" ht="22.5" hidden="1" customHeight="1">
      <c r="A76" s="12" t="s">
        <v>383</v>
      </c>
      <c r="B76" s="12" t="s">
        <v>15</v>
      </c>
      <c r="C76" s="59">
        <v>63.0</v>
      </c>
      <c r="D76" s="60">
        <v>1.0</v>
      </c>
      <c r="E76" s="61">
        <v>0.016</v>
      </c>
      <c r="F76" s="60">
        <v>3.0</v>
      </c>
      <c r="G76" s="61">
        <v>0.047</v>
      </c>
      <c r="H76" s="60" t="s">
        <v>388</v>
      </c>
      <c r="I76" s="60">
        <v>3.0</v>
      </c>
      <c r="J76" s="19">
        <v>0.05</v>
      </c>
      <c r="K76" s="65">
        <v>0.9908</v>
      </c>
      <c r="O76" s="48"/>
      <c r="P76" s="38"/>
    </row>
    <row r="77" ht="22.5" hidden="1" customHeight="1">
      <c r="A77" s="12" t="s">
        <v>383</v>
      </c>
      <c r="B77" s="12" t="s">
        <v>59</v>
      </c>
      <c r="C77" s="59">
        <v>61.0</v>
      </c>
      <c r="D77" s="60">
        <v>2.0</v>
      </c>
      <c r="E77" s="61">
        <v>0.032</v>
      </c>
      <c r="F77" s="60">
        <v>1.0</v>
      </c>
      <c r="G77" s="61">
        <v>0.016</v>
      </c>
      <c r="H77" s="60" t="s">
        <v>388</v>
      </c>
      <c r="I77" s="60">
        <v>4.0</v>
      </c>
      <c r="J77" s="19">
        <v>0.068</v>
      </c>
      <c r="K77" s="65">
        <v>1.0</v>
      </c>
      <c r="O77" s="48"/>
      <c r="P77" s="38"/>
    </row>
    <row r="78" ht="22.5" hidden="1" customHeight="1">
      <c r="A78" s="12" t="s">
        <v>383</v>
      </c>
      <c r="B78" s="12" t="s">
        <v>123</v>
      </c>
      <c r="C78" s="59">
        <v>60.0</v>
      </c>
      <c r="D78" s="60">
        <v>0.0</v>
      </c>
      <c r="E78" s="61">
        <v>0.0</v>
      </c>
      <c r="F78" s="60">
        <v>2.0</v>
      </c>
      <c r="G78" s="61">
        <v>0.033</v>
      </c>
      <c r="H78" s="60" t="s">
        <v>388</v>
      </c>
      <c r="I78" s="60">
        <v>2.0</v>
      </c>
      <c r="J78" s="19">
        <v>0.034</v>
      </c>
      <c r="K78" s="65">
        <v>0.9856</v>
      </c>
      <c r="O78" s="48"/>
      <c r="P78" s="38"/>
    </row>
    <row r="79" ht="22.5" hidden="1" customHeight="1">
      <c r="A79" s="12" t="s">
        <v>383</v>
      </c>
      <c r="B79" s="12" t="s">
        <v>159</v>
      </c>
      <c r="C79" s="59">
        <v>44.0</v>
      </c>
      <c r="D79" s="60">
        <v>0.0</v>
      </c>
      <c r="E79" s="61">
        <v>0.0</v>
      </c>
      <c r="F79" s="60">
        <v>0.0</v>
      </c>
      <c r="G79" s="61">
        <v>0.0</v>
      </c>
      <c r="H79" s="60" t="s">
        <v>388</v>
      </c>
      <c r="I79" s="60">
        <v>1.0</v>
      </c>
      <c r="J79" s="19">
        <v>0.024</v>
      </c>
      <c r="K79" s="65">
        <v>1.0</v>
      </c>
      <c r="O79" s="48"/>
      <c r="P79" s="38"/>
    </row>
    <row r="80" ht="22.5" hidden="1" customHeight="1">
      <c r="A80" s="57"/>
      <c r="B80" s="12"/>
      <c r="C80" s="57"/>
      <c r="D80" s="57"/>
      <c r="E80" s="82"/>
      <c r="F80" s="83"/>
      <c r="G80" s="83"/>
      <c r="H80" s="83"/>
      <c r="I80" s="83"/>
      <c r="J80" s="83"/>
      <c r="K80" s="83"/>
      <c r="O80" s="48"/>
      <c r="P80" s="38"/>
    </row>
    <row r="81" ht="22.5" hidden="1" customHeight="1">
      <c r="A81" s="83"/>
      <c r="B81" s="83"/>
      <c r="C81" s="83"/>
      <c r="D81" s="83"/>
      <c r="E81" s="87"/>
      <c r="F81" s="83"/>
      <c r="G81" s="83"/>
      <c r="H81" s="83"/>
      <c r="I81" s="83"/>
      <c r="J81" s="83"/>
      <c r="K81" s="83"/>
      <c r="O81" s="48"/>
      <c r="P81" s="38"/>
    </row>
    <row r="82" ht="22.5" hidden="1" customHeight="1">
      <c r="A82" s="83"/>
      <c r="B82" s="83"/>
      <c r="C82" s="83"/>
      <c r="D82" s="83"/>
      <c r="E82" s="87"/>
      <c r="F82" s="83"/>
      <c r="G82" s="83"/>
      <c r="H82" s="83"/>
      <c r="I82" s="83"/>
      <c r="J82" s="83"/>
      <c r="K82" s="83"/>
      <c r="O82" s="48"/>
      <c r="P82" s="38"/>
    </row>
    <row r="83" ht="22.5" hidden="1" customHeight="1">
      <c r="A83" s="83"/>
      <c r="B83" s="83"/>
      <c r="C83" s="83"/>
      <c r="D83" s="83"/>
      <c r="E83" s="87"/>
      <c r="F83" s="83"/>
      <c r="G83" s="83"/>
      <c r="H83" s="83"/>
      <c r="I83" s="83"/>
      <c r="J83" s="83"/>
      <c r="K83" s="83"/>
      <c r="O83" s="48"/>
      <c r="P83" s="38"/>
    </row>
    <row r="84" ht="22.5" hidden="1" customHeight="1">
      <c r="A84" s="83"/>
      <c r="B84" s="83"/>
      <c r="C84" s="83"/>
      <c r="D84" s="83"/>
      <c r="E84" s="87"/>
      <c r="F84" s="83"/>
      <c r="G84" s="83"/>
      <c r="H84" s="83"/>
      <c r="I84" s="83"/>
      <c r="J84" s="83"/>
      <c r="K84" s="83"/>
      <c r="O84" s="48"/>
      <c r="P84" s="38"/>
    </row>
    <row r="85" ht="22.5" hidden="1" customHeight="1">
      <c r="A85" s="83"/>
      <c r="B85" s="83"/>
      <c r="C85" s="83"/>
      <c r="D85" s="83"/>
      <c r="E85" s="87"/>
      <c r="F85" s="83"/>
      <c r="G85" s="83"/>
      <c r="H85" s="83"/>
      <c r="I85" s="83"/>
      <c r="J85" s="83"/>
      <c r="K85" s="83"/>
      <c r="O85" s="48"/>
      <c r="P85" s="38"/>
    </row>
    <row r="86" ht="22.5" hidden="1" customHeight="1">
      <c r="A86" s="83"/>
      <c r="B86" s="83"/>
      <c r="C86" s="83"/>
      <c r="D86" s="83"/>
      <c r="E86" s="87"/>
      <c r="F86" s="83"/>
      <c r="G86" s="83"/>
      <c r="H86" s="83"/>
      <c r="I86" s="83"/>
      <c r="J86" s="83"/>
      <c r="K86" s="83"/>
      <c r="O86" s="48"/>
      <c r="P86" s="38"/>
    </row>
    <row r="87" ht="22.5" hidden="1" customHeight="1">
      <c r="A87" s="83"/>
      <c r="B87" s="83"/>
      <c r="C87" s="83"/>
      <c r="D87" s="83"/>
      <c r="E87" s="87"/>
      <c r="F87" s="83"/>
      <c r="G87" s="83"/>
      <c r="H87" s="83"/>
      <c r="I87" s="83"/>
      <c r="J87" s="83"/>
      <c r="K87" s="83"/>
      <c r="O87" s="48"/>
      <c r="P87" s="38"/>
    </row>
    <row r="88" ht="22.5" hidden="1" customHeight="1">
      <c r="A88" s="83"/>
      <c r="B88" s="83"/>
      <c r="C88" s="83"/>
      <c r="D88" s="83"/>
      <c r="E88" s="87"/>
      <c r="F88" s="83"/>
      <c r="G88" s="83"/>
      <c r="H88" s="83"/>
      <c r="I88" s="83"/>
      <c r="J88" s="83"/>
      <c r="K88" s="83"/>
      <c r="O88" s="48"/>
      <c r="P88" s="38"/>
    </row>
    <row r="89" ht="22.5" hidden="1" customHeight="1">
      <c r="A89" s="83"/>
      <c r="B89" s="83"/>
      <c r="C89" s="83"/>
      <c r="D89" s="83"/>
      <c r="E89" s="87"/>
      <c r="F89" s="83"/>
      <c r="G89" s="83"/>
      <c r="H89" s="83"/>
      <c r="I89" s="83"/>
      <c r="J89" s="83"/>
      <c r="K89" s="83"/>
      <c r="O89" s="48"/>
      <c r="P89" s="38"/>
    </row>
    <row r="90" ht="22.5" hidden="1" customHeight="1">
      <c r="A90" s="83"/>
      <c r="B90" s="83"/>
      <c r="C90" s="83"/>
      <c r="D90" s="83"/>
      <c r="E90" s="87"/>
      <c r="F90" s="83"/>
      <c r="G90" s="83"/>
      <c r="H90" s="83"/>
      <c r="I90" s="83"/>
      <c r="J90" s="83"/>
      <c r="K90" s="83"/>
      <c r="O90" s="48"/>
      <c r="P90" s="38"/>
    </row>
    <row r="91" ht="22.5" hidden="1" customHeight="1">
      <c r="A91" s="83"/>
      <c r="B91" s="97"/>
      <c r="C91" s="98"/>
      <c r="D91" s="99"/>
      <c r="E91" s="100"/>
      <c r="F91" s="83"/>
      <c r="G91" s="83"/>
      <c r="H91" s="83"/>
      <c r="I91" s="83"/>
      <c r="J91" s="83"/>
      <c r="K91" s="83"/>
      <c r="O91" s="48"/>
      <c r="P91" s="38"/>
    </row>
    <row r="92" ht="22.5" hidden="1" customHeight="1">
      <c r="A92" s="83"/>
      <c r="B92" s="101"/>
      <c r="C92" s="104"/>
      <c r="D92" s="107"/>
      <c r="E92" s="82"/>
      <c r="F92" s="83"/>
      <c r="G92" s="83"/>
      <c r="H92" s="83"/>
      <c r="I92" s="83"/>
      <c r="J92" s="83"/>
      <c r="K92" s="83"/>
      <c r="O92" s="48"/>
      <c r="P92" s="38"/>
    </row>
    <row r="93" ht="22.5" hidden="1" customHeight="1">
      <c r="A93" s="83"/>
      <c r="B93" s="101"/>
      <c r="C93" s="104"/>
      <c r="D93" s="107"/>
      <c r="E93" s="82"/>
      <c r="F93" s="83"/>
      <c r="G93" s="83"/>
      <c r="H93" s="83"/>
      <c r="I93" s="83"/>
      <c r="J93" s="83"/>
      <c r="K93" s="83"/>
      <c r="O93" s="48"/>
      <c r="P93" s="38"/>
    </row>
    <row r="94" ht="22.5" hidden="1" customHeight="1">
      <c r="A94" s="83"/>
      <c r="B94" s="101"/>
      <c r="C94" s="104"/>
      <c r="D94" s="107"/>
      <c r="E94" s="82"/>
      <c r="F94" s="83"/>
      <c r="G94" s="83"/>
      <c r="H94" s="83"/>
      <c r="I94" s="83"/>
      <c r="J94" s="83"/>
      <c r="K94" s="83"/>
      <c r="O94" s="48"/>
      <c r="P94" s="38"/>
    </row>
    <row r="95" ht="22.5" hidden="1" customHeight="1">
      <c r="A95" s="83"/>
      <c r="B95" s="101"/>
      <c r="C95" s="104"/>
      <c r="D95" s="107"/>
      <c r="E95" s="82"/>
      <c r="F95" s="83"/>
      <c r="G95" s="83"/>
      <c r="H95" s="83"/>
      <c r="I95" s="83"/>
      <c r="J95" s="83"/>
      <c r="K95" s="83"/>
      <c r="O95" s="48"/>
      <c r="P95" s="38"/>
    </row>
    <row r="96" ht="22.5" hidden="1" customHeight="1">
      <c r="A96" s="83"/>
      <c r="B96" s="101"/>
      <c r="C96" s="104"/>
      <c r="D96" s="107"/>
      <c r="E96" s="82"/>
      <c r="F96" s="83"/>
      <c r="G96" s="83"/>
      <c r="H96" s="83"/>
      <c r="I96" s="83"/>
      <c r="J96" s="83"/>
      <c r="K96" s="83"/>
      <c r="O96" s="48"/>
      <c r="P96" s="38"/>
    </row>
    <row r="97" ht="22.5" hidden="1" customHeight="1">
      <c r="A97" s="83"/>
      <c r="B97" s="101"/>
      <c r="C97" s="104"/>
      <c r="D97" s="107"/>
      <c r="E97" s="82"/>
      <c r="F97" s="83"/>
      <c r="G97" s="83"/>
      <c r="H97" s="83"/>
      <c r="I97" s="83"/>
      <c r="J97" s="83"/>
      <c r="K97" s="83"/>
      <c r="O97" s="48"/>
      <c r="P97" s="38"/>
    </row>
    <row r="98" ht="22.5" hidden="1" customHeight="1">
      <c r="A98" s="83"/>
      <c r="B98" s="101"/>
      <c r="C98" s="104"/>
      <c r="D98" s="107"/>
      <c r="E98" s="82"/>
      <c r="F98" s="83"/>
      <c r="G98" s="83"/>
      <c r="H98" s="83"/>
      <c r="I98" s="83"/>
      <c r="J98" s="83"/>
      <c r="K98" s="83"/>
      <c r="O98" s="48"/>
      <c r="P98" s="38"/>
    </row>
    <row r="99" ht="22.5" hidden="1" customHeight="1">
      <c r="A99" s="83"/>
      <c r="B99" s="101"/>
      <c r="C99" s="104"/>
      <c r="D99" s="107"/>
      <c r="E99" s="82"/>
      <c r="F99" s="83"/>
      <c r="G99" s="83"/>
      <c r="H99" s="83"/>
      <c r="I99" s="83"/>
      <c r="J99" s="83"/>
      <c r="K99" s="83"/>
      <c r="O99" s="48"/>
      <c r="P99" s="38"/>
    </row>
    <row r="100" ht="22.5" hidden="1" customHeight="1">
      <c r="A100" s="83"/>
      <c r="B100" s="101"/>
      <c r="C100" s="104"/>
      <c r="D100" s="107"/>
      <c r="E100" s="82"/>
      <c r="F100" s="83"/>
      <c r="G100" s="83"/>
      <c r="H100" s="83"/>
      <c r="I100" s="83"/>
      <c r="J100" s="83"/>
      <c r="K100" s="83"/>
      <c r="O100" s="48"/>
      <c r="P100" s="38"/>
    </row>
    <row r="101" ht="22.5" hidden="1" customHeight="1">
      <c r="A101" s="83"/>
      <c r="B101" s="101"/>
      <c r="C101" s="104"/>
      <c r="D101" s="107"/>
      <c r="E101" s="82"/>
      <c r="F101" s="83"/>
      <c r="G101" s="83"/>
      <c r="H101" s="83"/>
      <c r="I101" s="83"/>
      <c r="J101" s="83"/>
      <c r="K101" s="83"/>
      <c r="O101" s="48"/>
      <c r="P101" s="38"/>
    </row>
    <row r="102" ht="22.5" hidden="1" customHeight="1">
      <c r="A102" s="83"/>
      <c r="B102" s="101"/>
      <c r="C102" s="104"/>
      <c r="D102" s="107"/>
      <c r="E102" s="82"/>
      <c r="F102" s="83"/>
      <c r="G102" s="83"/>
      <c r="H102" s="83"/>
      <c r="I102" s="83"/>
      <c r="J102" s="83"/>
      <c r="K102" s="83"/>
      <c r="O102" s="48"/>
      <c r="P102" s="38"/>
    </row>
    <row r="103" ht="22.5" hidden="1" customHeight="1">
      <c r="A103" s="83"/>
      <c r="B103" s="101"/>
      <c r="C103" s="104"/>
      <c r="D103" s="107"/>
      <c r="E103" s="82"/>
      <c r="F103" s="83"/>
      <c r="G103" s="83"/>
      <c r="H103" s="83"/>
      <c r="I103" s="83"/>
      <c r="J103" s="83"/>
      <c r="K103" s="83"/>
      <c r="O103" s="48"/>
      <c r="P103" s="38"/>
    </row>
    <row r="104" ht="22.5" hidden="1" customHeight="1">
      <c r="A104" s="83"/>
      <c r="B104" s="101"/>
      <c r="C104" s="104"/>
      <c r="D104" s="107"/>
      <c r="E104" s="82"/>
      <c r="F104" s="83"/>
      <c r="G104" s="83"/>
      <c r="H104" s="83"/>
      <c r="I104" s="83"/>
      <c r="J104" s="83"/>
      <c r="K104" s="83"/>
      <c r="O104" s="48"/>
      <c r="P104" s="38"/>
    </row>
    <row r="105" ht="22.5" hidden="1" customHeight="1">
      <c r="A105" s="83"/>
      <c r="B105" s="101"/>
      <c r="C105" s="104"/>
      <c r="D105" s="107"/>
      <c r="E105" s="82"/>
      <c r="F105" s="83"/>
      <c r="G105" s="83"/>
      <c r="H105" s="83"/>
      <c r="I105" s="83"/>
      <c r="J105" s="83"/>
      <c r="K105" s="83"/>
      <c r="O105" s="48"/>
      <c r="P105" s="38"/>
    </row>
    <row r="106" ht="22.5" hidden="1" customHeight="1">
      <c r="A106" s="83"/>
      <c r="B106" s="101"/>
      <c r="C106" s="104"/>
      <c r="D106" s="107"/>
      <c r="E106" s="82"/>
      <c r="F106" s="83"/>
      <c r="G106" s="83"/>
      <c r="H106" s="83"/>
      <c r="I106" s="83"/>
      <c r="J106" s="83"/>
      <c r="K106" s="83"/>
      <c r="O106" s="48"/>
      <c r="P106" s="38"/>
    </row>
    <row r="107" ht="22.5" hidden="1" customHeight="1">
      <c r="A107" s="83"/>
      <c r="B107" s="101"/>
      <c r="C107" s="104"/>
      <c r="D107" s="107"/>
      <c r="E107" s="82"/>
      <c r="F107" s="83"/>
      <c r="G107" s="83"/>
      <c r="H107" s="83"/>
      <c r="I107" s="83"/>
      <c r="J107" s="83"/>
      <c r="K107" s="83"/>
      <c r="O107" s="48"/>
      <c r="P107" s="38"/>
    </row>
    <row r="108" ht="22.5" hidden="1" customHeight="1">
      <c r="A108" s="83"/>
      <c r="B108" s="101"/>
      <c r="C108" s="104"/>
      <c r="D108" s="107"/>
      <c r="E108" s="82"/>
      <c r="F108" s="83"/>
      <c r="G108" s="83"/>
      <c r="H108" s="83"/>
      <c r="I108" s="83"/>
      <c r="J108" s="83"/>
      <c r="K108" s="83"/>
      <c r="O108" s="48"/>
      <c r="P108" s="38"/>
    </row>
    <row r="109" ht="22.5" hidden="1" customHeight="1">
      <c r="A109" s="83"/>
      <c r="B109" s="101"/>
      <c r="C109" s="104"/>
      <c r="D109" s="107"/>
      <c r="E109" s="82"/>
      <c r="F109" s="83"/>
      <c r="G109" s="83"/>
      <c r="H109" s="83"/>
      <c r="I109" s="83"/>
      <c r="J109" s="83"/>
      <c r="K109" s="83"/>
      <c r="O109" s="48"/>
      <c r="P109" s="38"/>
    </row>
    <row r="110" ht="22.5" hidden="1" customHeight="1">
      <c r="A110" s="83"/>
      <c r="B110" s="101"/>
      <c r="C110" s="104"/>
      <c r="D110" s="107"/>
      <c r="E110" s="82"/>
      <c r="F110" s="83"/>
      <c r="G110" s="83"/>
      <c r="H110" s="83"/>
      <c r="I110" s="83"/>
      <c r="J110" s="83"/>
      <c r="K110" s="83"/>
      <c r="O110" s="48"/>
      <c r="P110" s="38"/>
    </row>
    <row r="111" ht="22.5" hidden="1" customHeight="1">
      <c r="A111" s="83"/>
      <c r="B111" s="101"/>
      <c r="C111" s="104"/>
      <c r="D111" s="107"/>
      <c r="E111" s="82"/>
      <c r="F111" s="83"/>
      <c r="G111" s="83"/>
      <c r="H111" s="83"/>
      <c r="I111" s="83"/>
      <c r="J111" s="83"/>
      <c r="K111" s="83"/>
      <c r="O111" s="48"/>
      <c r="P111" s="38"/>
    </row>
    <row r="112" ht="22.5" hidden="1" customHeight="1">
      <c r="A112" s="83"/>
      <c r="B112" s="120"/>
      <c r="C112" s="121"/>
      <c r="D112" s="83"/>
      <c r="E112" s="87"/>
      <c r="F112" s="83"/>
      <c r="G112" s="83"/>
      <c r="H112" s="83"/>
      <c r="I112" s="83"/>
      <c r="J112" s="83"/>
      <c r="K112" s="83"/>
      <c r="O112" s="48"/>
      <c r="P112" s="38"/>
    </row>
    <row r="113" ht="22.5" hidden="1" customHeight="1">
      <c r="A113" s="83"/>
      <c r="B113" s="83"/>
      <c r="C113" s="83"/>
      <c r="D113" s="83"/>
      <c r="E113" s="87"/>
      <c r="F113" s="83"/>
      <c r="G113" s="83"/>
      <c r="H113" s="83"/>
      <c r="I113" s="83"/>
      <c r="J113" s="83"/>
      <c r="K113" s="83"/>
      <c r="O113" s="48"/>
      <c r="P113" s="38"/>
    </row>
    <row r="114" ht="22.5" hidden="1" customHeight="1">
      <c r="A114" s="83"/>
      <c r="B114" s="83"/>
      <c r="C114" s="83"/>
      <c r="D114" s="83"/>
      <c r="E114" s="87"/>
      <c r="F114" s="83"/>
      <c r="G114" s="83"/>
      <c r="H114" s="83"/>
      <c r="I114" s="83"/>
      <c r="J114" s="83"/>
      <c r="K114" s="83"/>
      <c r="O114" s="48"/>
      <c r="P114" s="38"/>
    </row>
    <row r="115" ht="22.5" hidden="1" customHeight="1">
      <c r="A115" s="83"/>
      <c r="B115" s="83"/>
      <c r="C115" s="83"/>
      <c r="D115" s="83"/>
      <c r="E115" s="87"/>
      <c r="F115" s="83"/>
      <c r="G115" s="83"/>
      <c r="H115" s="83"/>
      <c r="I115" s="83"/>
      <c r="J115" s="83"/>
      <c r="K115" s="83"/>
      <c r="O115" s="48"/>
      <c r="P115" s="38"/>
    </row>
    <row r="116" ht="22.5" hidden="1" customHeight="1">
      <c r="A116" s="83"/>
      <c r="B116" s="83"/>
      <c r="C116" s="83"/>
      <c r="D116" s="83"/>
      <c r="E116" s="87"/>
      <c r="F116" s="83"/>
      <c r="G116" s="83"/>
      <c r="H116" s="83"/>
      <c r="I116" s="83"/>
      <c r="J116" s="83"/>
      <c r="K116" s="83"/>
      <c r="O116" s="48"/>
      <c r="P116" s="38"/>
    </row>
    <row r="117" ht="22.5" hidden="1" customHeight="1">
      <c r="A117" s="83"/>
      <c r="B117" s="83"/>
      <c r="C117" s="83"/>
      <c r="D117" s="83"/>
      <c r="E117" s="87"/>
      <c r="F117" s="83"/>
      <c r="G117" s="83"/>
      <c r="H117" s="83"/>
      <c r="I117" s="83"/>
      <c r="J117" s="83"/>
      <c r="K117" s="83"/>
      <c r="O117" s="48"/>
      <c r="P117" s="38"/>
    </row>
    <row r="118" ht="22.5" hidden="1" customHeight="1">
      <c r="A118" s="83"/>
      <c r="B118" s="83"/>
      <c r="C118" s="83"/>
      <c r="D118" s="83"/>
      <c r="E118" s="87"/>
      <c r="F118" s="83"/>
      <c r="G118" s="83"/>
      <c r="H118" s="83"/>
      <c r="I118" s="83"/>
      <c r="J118" s="83"/>
      <c r="K118" s="83"/>
      <c r="O118" s="48"/>
      <c r="P118" s="38"/>
    </row>
    <row r="119" ht="22.5" hidden="1" customHeight="1">
      <c r="A119" s="83"/>
      <c r="B119" s="83"/>
      <c r="C119" s="83"/>
      <c r="D119" s="83"/>
      <c r="E119" s="87"/>
      <c r="F119" s="83"/>
      <c r="G119" s="83"/>
      <c r="H119" s="83"/>
      <c r="I119" s="83"/>
      <c r="J119" s="83"/>
      <c r="K119" s="83"/>
      <c r="O119" s="48"/>
      <c r="P119" s="38"/>
    </row>
    <row r="120" ht="22.5" hidden="1" customHeight="1">
      <c r="A120" s="83"/>
      <c r="B120" s="83"/>
      <c r="C120" s="83"/>
      <c r="D120" s="83"/>
      <c r="E120" s="87"/>
      <c r="F120" s="83"/>
      <c r="G120" s="83"/>
      <c r="H120" s="83"/>
      <c r="I120" s="83"/>
      <c r="J120" s="83"/>
      <c r="K120" s="83"/>
      <c r="O120" s="48"/>
      <c r="P120" s="38"/>
    </row>
    <row r="121" ht="22.5" hidden="1" customHeight="1">
      <c r="A121" s="83"/>
      <c r="B121" s="83"/>
      <c r="C121" s="83"/>
      <c r="D121" s="83"/>
      <c r="E121" s="87"/>
      <c r="F121" s="83"/>
      <c r="G121" s="83"/>
      <c r="H121" s="83"/>
      <c r="I121" s="83"/>
      <c r="J121" s="83"/>
      <c r="K121" s="83"/>
      <c r="O121" s="48"/>
      <c r="P121" s="38"/>
    </row>
    <row r="122" ht="22.5" hidden="1" customHeight="1">
      <c r="A122" s="83"/>
      <c r="B122" s="83"/>
      <c r="C122" s="83"/>
      <c r="D122" s="83"/>
      <c r="E122" s="87"/>
      <c r="F122" s="83"/>
      <c r="G122" s="83"/>
      <c r="H122" s="83"/>
      <c r="I122" s="83"/>
      <c r="J122" s="83"/>
      <c r="K122" s="83"/>
      <c r="O122" s="48"/>
      <c r="P122" s="38"/>
    </row>
    <row r="123" ht="22.5" hidden="1" customHeight="1">
      <c r="A123" s="83"/>
      <c r="B123" s="83"/>
      <c r="C123" s="83"/>
      <c r="D123" s="83"/>
      <c r="E123" s="87"/>
      <c r="F123" s="83"/>
      <c r="G123" s="83"/>
      <c r="H123" s="83"/>
      <c r="I123" s="83"/>
      <c r="J123" s="83"/>
      <c r="K123" s="83"/>
      <c r="O123" s="48"/>
      <c r="P123" s="38"/>
    </row>
    <row r="124" ht="22.5" hidden="1" customHeight="1">
      <c r="A124" s="83"/>
      <c r="B124" s="83"/>
      <c r="C124" s="83"/>
      <c r="D124" s="83"/>
      <c r="E124" s="87"/>
      <c r="F124" s="83"/>
      <c r="G124" s="83"/>
      <c r="H124" s="83"/>
      <c r="I124" s="83"/>
      <c r="J124" s="83"/>
      <c r="K124" s="83"/>
      <c r="O124" s="48"/>
      <c r="P124" s="38"/>
    </row>
    <row r="125" ht="22.5" hidden="1" customHeight="1">
      <c r="A125" s="83"/>
      <c r="B125" s="83"/>
      <c r="C125" s="83"/>
      <c r="D125" s="83"/>
      <c r="E125" s="87"/>
      <c r="F125" s="83"/>
      <c r="G125" s="83"/>
      <c r="H125" s="83"/>
      <c r="I125" s="83"/>
      <c r="J125" s="83"/>
      <c r="K125" s="83"/>
      <c r="O125" s="48"/>
      <c r="P125" s="38"/>
    </row>
    <row r="126" ht="22.5" hidden="1" customHeight="1">
      <c r="A126" s="83"/>
      <c r="B126" s="83"/>
      <c r="C126" s="83"/>
      <c r="D126" s="83"/>
      <c r="E126" s="87"/>
      <c r="F126" s="83"/>
      <c r="G126" s="83"/>
      <c r="H126" s="83"/>
      <c r="I126" s="83"/>
      <c r="J126" s="83"/>
      <c r="K126" s="83"/>
      <c r="O126" s="48"/>
      <c r="P126" s="38"/>
    </row>
    <row r="127" ht="22.5" hidden="1" customHeight="1">
      <c r="A127" s="83"/>
      <c r="B127" s="83"/>
      <c r="C127" s="83"/>
      <c r="D127" s="83"/>
      <c r="E127" s="87"/>
      <c r="F127" s="83"/>
      <c r="G127" s="83"/>
      <c r="H127" s="83"/>
      <c r="I127" s="83"/>
      <c r="J127" s="83"/>
      <c r="K127" s="83"/>
      <c r="O127" s="48"/>
      <c r="P127" s="38"/>
    </row>
    <row r="128" ht="22.5" hidden="1" customHeight="1">
      <c r="A128" s="83"/>
      <c r="B128" s="83"/>
      <c r="C128" s="83"/>
      <c r="D128" s="83"/>
      <c r="E128" s="87"/>
      <c r="F128" s="83"/>
      <c r="G128" s="83"/>
      <c r="H128" s="83"/>
      <c r="I128" s="83"/>
      <c r="J128" s="83"/>
      <c r="K128" s="83"/>
      <c r="O128" s="48"/>
      <c r="P128" s="38"/>
    </row>
    <row r="129" ht="22.5" hidden="1" customHeight="1">
      <c r="A129" s="83"/>
      <c r="B129" s="83"/>
      <c r="C129" s="83"/>
      <c r="D129" s="83"/>
      <c r="E129" s="87"/>
      <c r="F129" s="83"/>
      <c r="G129" s="83"/>
      <c r="H129" s="83"/>
      <c r="I129" s="83"/>
      <c r="J129" s="83"/>
      <c r="K129" s="83"/>
      <c r="O129" s="48"/>
      <c r="P129" s="38"/>
    </row>
    <row r="130" ht="22.5" hidden="1" customHeight="1">
      <c r="A130" s="83"/>
      <c r="B130" s="83"/>
      <c r="C130" s="83"/>
      <c r="D130" s="83"/>
      <c r="E130" s="87"/>
      <c r="F130" s="83"/>
      <c r="G130" s="83"/>
      <c r="H130" s="83"/>
      <c r="I130" s="83"/>
      <c r="J130" s="83"/>
      <c r="K130" s="83"/>
      <c r="O130" s="48"/>
      <c r="P130" s="38"/>
    </row>
    <row r="131" ht="22.5" hidden="1" customHeight="1">
      <c r="A131" s="83"/>
      <c r="B131" s="83"/>
      <c r="C131" s="83"/>
      <c r="D131" s="83"/>
      <c r="E131" s="87"/>
      <c r="F131" s="83"/>
      <c r="G131" s="83"/>
      <c r="H131" s="83"/>
      <c r="I131" s="83"/>
      <c r="J131" s="83"/>
      <c r="K131" s="83"/>
      <c r="O131" s="48"/>
      <c r="P131" s="38"/>
    </row>
    <row r="132" ht="22.5" hidden="1" customHeight="1">
      <c r="A132" s="83"/>
      <c r="B132" s="83"/>
      <c r="C132" s="83"/>
      <c r="D132" s="83"/>
      <c r="E132" s="87"/>
      <c r="F132" s="83"/>
      <c r="G132" s="83"/>
      <c r="H132" s="83"/>
      <c r="I132" s="83"/>
      <c r="J132" s="83"/>
      <c r="K132" s="83"/>
      <c r="O132" s="48"/>
      <c r="P132" s="38"/>
    </row>
    <row r="133" ht="22.5" hidden="1" customHeight="1">
      <c r="A133" s="83"/>
      <c r="B133" s="83"/>
      <c r="C133" s="83"/>
      <c r="D133" s="83"/>
      <c r="E133" s="87"/>
      <c r="F133" s="83"/>
      <c r="G133" s="83"/>
      <c r="H133" s="83"/>
      <c r="I133" s="83"/>
      <c r="J133" s="83"/>
      <c r="K133" s="83"/>
      <c r="O133" s="48"/>
      <c r="P133" s="38"/>
    </row>
    <row r="134" ht="22.5" hidden="1" customHeight="1">
      <c r="A134" s="83"/>
      <c r="B134" s="83"/>
      <c r="C134" s="83"/>
      <c r="D134" s="83"/>
      <c r="E134" s="87"/>
      <c r="F134" s="83"/>
      <c r="G134" s="83"/>
      <c r="H134" s="83"/>
      <c r="I134" s="83"/>
      <c r="J134" s="83"/>
      <c r="K134" s="83"/>
      <c r="O134" s="48"/>
      <c r="P134" s="38"/>
    </row>
    <row r="135" ht="22.5" hidden="1" customHeight="1">
      <c r="A135" s="83"/>
      <c r="B135" s="83"/>
      <c r="C135" s="83"/>
      <c r="D135" s="83"/>
      <c r="E135" s="87"/>
      <c r="F135" s="83"/>
      <c r="G135" s="83"/>
      <c r="H135" s="83"/>
      <c r="I135" s="83"/>
      <c r="J135" s="83"/>
      <c r="K135" s="83"/>
      <c r="O135" s="48"/>
      <c r="P135" s="38"/>
    </row>
    <row r="136" ht="22.5" hidden="1" customHeight="1">
      <c r="A136" s="83"/>
      <c r="B136" s="83"/>
      <c r="C136" s="83"/>
      <c r="D136" s="83"/>
      <c r="E136" s="87"/>
      <c r="F136" s="83"/>
      <c r="G136" s="83"/>
      <c r="H136" s="83"/>
      <c r="I136" s="83"/>
      <c r="J136" s="83"/>
      <c r="K136" s="83"/>
      <c r="O136" s="48"/>
      <c r="P136" s="38"/>
    </row>
    <row r="137" ht="22.5" hidden="1" customHeight="1">
      <c r="A137" s="83"/>
      <c r="B137" s="83"/>
      <c r="C137" s="83"/>
      <c r="D137" s="83"/>
      <c r="E137" s="87"/>
      <c r="F137" s="83"/>
      <c r="G137" s="83"/>
      <c r="H137" s="83"/>
      <c r="I137" s="83"/>
      <c r="J137" s="83"/>
      <c r="K137" s="83"/>
      <c r="O137" s="48"/>
      <c r="P137" s="38"/>
    </row>
    <row r="138" ht="22.5" hidden="1" customHeight="1">
      <c r="A138" s="83"/>
      <c r="B138" s="83"/>
      <c r="C138" s="83"/>
      <c r="D138" s="83"/>
      <c r="E138" s="87"/>
      <c r="F138" s="83"/>
      <c r="G138" s="83"/>
      <c r="H138" s="83"/>
      <c r="I138" s="83"/>
      <c r="J138" s="83"/>
      <c r="K138" s="83"/>
      <c r="O138" s="48"/>
      <c r="P138" s="38"/>
    </row>
    <row r="139" ht="22.5" hidden="1" customHeight="1">
      <c r="A139" s="83"/>
      <c r="B139" s="83"/>
      <c r="C139" s="83"/>
      <c r="D139" s="83"/>
      <c r="E139" s="87"/>
      <c r="F139" s="83"/>
      <c r="G139" s="83"/>
      <c r="H139" s="83"/>
      <c r="I139" s="83"/>
      <c r="J139" s="83"/>
      <c r="K139" s="83"/>
      <c r="O139" s="48"/>
      <c r="P139" s="38"/>
    </row>
    <row r="140" ht="22.5" hidden="1" customHeight="1">
      <c r="A140" s="83"/>
      <c r="B140" s="83"/>
      <c r="C140" s="83"/>
      <c r="D140" s="83"/>
      <c r="E140" s="87"/>
      <c r="F140" s="83"/>
      <c r="G140" s="83"/>
      <c r="H140" s="83"/>
      <c r="I140" s="83"/>
      <c r="J140" s="83"/>
      <c r="K140" s="83"/>
      <c r="O140" s="48"/>
      <c r="P140" s="38"/>
    </row>
    <row r="141" ht="22.5" hidden="1" customHeight="1">
      <c r="A141" s="83"/>
      <c r="B141" s="83"/>
      <c r="C141" s="83"/>
      <c r="D141" s="83"/>
      <c r="E141" s="87"/>
      <c r="F141" s="83"/>
      <c r="G141" s="83"/>
      <c r="H141" s="83"/>
      <c r="I141" s="83"/>
      <c r="J141" s="83"/>
      <c r="K141" s="83"/>
      <c r="O141" s="48"/>
      <c r="P141" s="38"/>
    </row>
    <row r="142" ht="22.5" hidden="1" customHeight="1">
      <c r="A142" s="83"/>
      <c r="B142" s="83"/>
      <c r="C142" s="83"/>
      <c r="D142" s="83"/>
      <c r="E142" s="87"/>
      <c r="F142" s="83"/>
      <c r="G142" s="83"/>
      <c r="H142" s="83"/>
      <c r="I142" s="83"/>
      <c r="J142" s="83"/>
      <c r="K142" s="83"/>
      <c r="O142" s="48"/>
      <c r="P142" s="38"/>
    </row>
    <row r="143" ht="22.5" hidden="1" customHeight="1">
      <c r="A143" s="83"/>
      <c r="B143" s="83"/>
      <c r="C143" s="83"/>
      <c r="D143" s="83"/>
      <c r="E143" s="87"/>
      <c r="F143" s="83"/>
      <c r="G143" s="83"/>
      <c r="H143" s="83"/>
      <c r="I143" s="83"/>
      <c r="J143" s="83"/>
      <c r="K143" s="83"/>
      <c r="O143" s="48"/>
      <c r="P143" s="38"/>
    </row>
    <row r="144" ht="22.5" hidden="1" customHeight="1">
      <c r="A144" s="83"/>
      <c r="B144" s="83"/>
      <c r="C144" s="83"/>
      <c r="D144" s="83"/>
      <c r="E144" s="87"/>
      <c r="F144" s="83"/>
      <c r="G144" s="83"/>
      <c r="H144" s="83"/>
      <c r="I144" s="83"/>
      <c r="J144" s="83"/>
      <c r="K144" s="83"/>
      <c r="O144" s="48"/>
      <c r="P144" s="38"/>
    </row>
    <row r="145" ht="22.5" hidden="1" customHeight="1">
      <c r="A145" s="83"/>
      <c r="B145" s="83"/>
      <c r="C145" s="83"/>
      <c r="D145" s="83"/>
      <c r="E145" s="87"/>
      <c r="F145" s="83"/>
      <c r="G145" s="83"/>
      <c r="H145" s="83"/>
      <c r="I145" s="83"/>
      <c r="J145" s="83"/>
      <c r="K145" s="83"/>
      <c r="O145" s="48"/>
      <c r="P145" s="38"/>
    </row>
    <row r="146" ht="22.5" hidden="1" customHeight="1">
      <c r="A146" s="83"/>
      <c r="B146" s="83"/>
      <c r="C146" s="83"/>
      <c r="D146" s="83"/>
      <c r="E146" s="87"/>
      <c r="F146" s="83"/>
      <c r="G146" s="83"/>
      <c r="H146" s="83"/>
      <c r="I146" s="83"/>
      <c r="J146" s="83"/>
      <c r="K146" s="83"/>
      <c r="O146" s="48"/>
      <c r="P146" s="38"/>
    </row>
    <row r="147" ht="22.5" hidden="1" customHeight="1">
      <c r="A147" s="83"/>
      <c r="B147" s="83"/>
      <c r="C147" s="83"/>
      <c r="D147" s="83"/>
      <c r="E147" s="87"/>
      <c r="F147" s="83"/>
      <c r="G147" s="83"/>
      <c r="H147" s="83"/>
      <c r="I147" s="83"/>
      <c r="J147" s="83"/>
      <c r="K147" s="83"/>
      <c r="O147" s="48"/>
      <c r="P147" s="38"/>
    </row>
    <row r="148" ht="22.5" hidden="1" customHeight="1">
      <c r="A148" s="83"/>
      <c r="B148" s="83"/>
      <c r="C148" s="83"/>
      <c r="D148" s="83"/>
      <c r="E148" s="87"/>
      <c r="F148" s="83"/>
      <c r="G148" s="83"/>
      <c r="H148" s="83"/>
      <c r="I148" s="83"/>
      <c r="J148" s="83"/>
      <c r="K148" s="83"/>
      <c r="O148" s="48"/>
      <c r="P148" s="38"/>
    </row>
    <row r="149" ht="22.5" hidden="1" customHeight="1">
      <c r="A149" s="83"/>
      <c r="B149" s="83"/>
      <c r="C149" s="83"/>
      <c r="D149" s="83"/>
      <c r="E149" s="87"/>
      <c r="F149" s="83"/>
      <c r="G149" s="83"/>
      <c r="H149" s="83"/>
      <c r="I149" s="83"/>
      <c r="J149" s="83"/>
      <c r="K149" s="83"/>
      <c r="O149" s="48"/>
      <c r="P149" s="38"/>
    </row>
    <row r="150" ht="22.5" hidden="1" customHeight="1">
      <c r="A150" s="83"/>
      <c r="B150" s="83"/>
      <c r="C150" s="83"/>
      <c r="D150" s="83"/>
      <c r="E150" s="87"/>
      <c r="F150" s="83"/>
      <c r="G150" s="83"/>
      <c r="H150" s="83"/>
      <c r="I150" s="83"/>
      <c r="J150" s="83"/>
      <c r="K150" s="83"/>
      <c r="O150" s="48"/>
      <c r="P150" s="38"/>
    </row>
    <row r="151" ht="22.5" hidden="1" customHeight="1">
      <c r="A151" s="83"/>
      <c r="B151" s="83"/>
      <c r="C151" s="83"/>
      <c r="D151" s="83"/>
      <c r="E151" s="87"/>
      <c r="F151" s="83"/>
      <c r="G151" s="83"/>
      <c r="H151" s="83"/>
      <c r="I151" s="83"/>
      <c r="J151" s="83"/>
      <c r="K151" s="83"/>
      <c r="O151" s="48"/>
      <c r="P151" s="38"/>
    </row>
    <row r="152" ht="22.5" hidden="1" customHeight="1">
      <c r="A152" s="83"/>
      <c r="B152" s="83"/>
      <c r="C152" s="83"/>
      <c r="D152" s="83"/>
      <c r="E152" s="87"/>
      <c r="F152" s="83"/>
      <c r="G152" s="83"/>
      <c r="H152" s="83"/>
      <c r="I152" s="83"/>
      <c r="J152" s="83"/>
      <c r="K152" s="83"/>
      <c r="O152" s="48"/>
      <c r="P152" s="38"/>
    </row>
    <row r="153" ht="22.5" hidden="1" customHeight="1">
      <c r="A153" s="83"/>
      <c r="B153" s="83"/>
      <c r="C153" s="83"/>
      <c r="D153" s="83"/>
      <c r="E153" s="87"/>
      <c r="F153" s="83"/>
      <c r="G153" s="83"/>
      <c r="H153" s="83"/>
      <c r="I153" s="83"/>
      <c r="J153" s="83"/>
      <c r="K153" s="83"/>
      <c r="O153" s="48"/>
      <c r="P153" s="38"/>
    </row>
    <row r="154" ht="22.5" hidden="1" customHeight="1">
      <c r="A154" s="83"/>
      <c r="B154" s="83"/>
      <c r="C154" s="83"/>
      <c r="D154" s="83"/>
      <c r="E154" s="87"/>
      <c r="F154" s="83"/>
      <c r="G154" s="83"/>
      <c r="H154" s="83"/>
      <c r="I154" s="83"/>
      <c r="J154" s="83"/>
      <c r="K154" s="83"/>
      <c r="O154" s="48"/>
      <c r="P154" s="38"/>
    </row>
    <row r="155" ht="22.5" hidden="1" customHeight="1">
      <c r="A155" s="83"/>
      <c r="B155" s="83"/>
      <c r="C155" s="83"/>
      <c r="D155" s="83"/>
      <c r="E155" s="87"/>
      <c r="F155" s="83"/>
      <c r="G155" s="83"/>
      <c r="H155" s="83"/>
      <c r="I155" s="83"/>
      <c r="J155" s="83"/>
      <c r="K155" s="83"/>
      <c r="O155" s="48"/>
      <c r="P155" s="38"/>
    </row>
    <row r="156" ht="22.5" hidden="1" customHeight="1">
      <c r="A156" s="83"/>
      <c r="B156" s="83"/>
      <c r="C156" s="83"/>
      <c r="D156" s="83"/>
      <c r="E156" s="87"/>
      <c r="F156" s="83"/>
      <c r="G156" s="83"/>
      <c r="H156" s="83"/>
      <c r="I156" s="83"/>
      <c r="J156" s="83"/>
      <c r="K156" s="83"/>
      <c r="O156" s="48"/>
      <c r="P156" s="38"/>
    </row>
    <row r="157" ht="22.5" hidden="1" customHeight="1">
      <c r="A157" s="83"/>
      <c r="B157" s="83"/>
      <c r="C157" s="83"/>
      <c r="D157" s="83"/>
      <c r="E157" s="87"/>
      <c r="F157" s="83"/>
      <c r="G157" s="83"/>
      <c r="H157" s="83"/>
      <c r="I157" s="83"/>
      <c r="J157" s="83"/>
      <c r="K157" s="83"/>
      <c r="O157" s="48"/>
      <c r="P157" s="38"/>
    </row>
    <row r="158" ht="22.5" hidden="1" customHeight="1">
      <c r="A158" s="83"/>
      <c r="B158" s="83"/>
      <c r="C158" s="83"/>
      <c r="D158" s="83"/>
      <c r="E158" s="87"/>
      <c r="F158" s="83"/>
      <c r="G158" s="83"/>
      <c r="H158" s="83"/>
      <c r="I158" s="83"/>
      <c r="J158" s="83"/>
      <c r="K158" s="83"/>
      <c r="O158" s="48"/>
      <c r="P158" s="38"/>
    </row>
    <row r="159" ht="22.5" hidden="1" customHeight="1">
      <c r="A159" s="83"/>
      <c r="B159" s="83"/>
      <c r="C159" s="83"/>
      <c r="D159" s="83"/>
      <c r="E159" s="87"/>
      <c r="F159" s="83"/>
      <c r="G159" s="83"/>
      <c r="H159" s="83"/>
      <c r="I159" s="83"/>
      <c r="J159" s="83"/>
      <c r="K159" s="83"/>
      <c r="O159" s="48"/>
      <c r="P159" s="38"/>
    </row>
    <row r="160" ht="22.5" hidden="1" customHeight="1">
      <c r="A160" s="83"/>
      <c r="B160" s="83"/>
      <c r="C160" s="83"/>
      <c r="D160" s="83"/>
      <c r="E160" s="87"/>
      <c r="F160" s="83"/>
      <c r="G160" s="83"/>
      <c r="H160" s="83"/>
      <c r="I160" s="83"/>
      <c r="J160" s="83"/>
      <c r="K160" s="83"/>
      <c r="O160" s="48"/>
      <c r="P160" s="38"/>
    </row>
    <row r="161" ht="22.5" hidden="1" customHeight="1">
      <c r="A161" s="83"/>
      <c r="B161" s="83"/>
      <c r="C161" s="83"/>
      <c r="D161" s="83"/>
      <c r="E161" s="87"/>
      <c r="F161" s="83"/>
      <c r="G161" s="83"/>
      <c r="H161" s="83"/>
      <c r="I161" s="83"/>
      <c r="J161" s="83"/>
      <c r="K161" s="83"/>
      <c r="O161" s="48"/>
      <c r="P161" s="38"/>
    </row>
    <row r="162" ht="22.5" hidden="1" customHeight="1">
      <c r="A162" s="83"/>
      <c r="B162" s="83"/>
      <c r="C162" s="83"/>
      <c r="D162" s="83"/>
      <c r="E162" s="87"/>
      <c r="F162" s="83"/>
      <c r="G162" s="83"/>
      <c r="H162" s="83"/>
      <c r="I162" s="83"/>
      <c r="J162" s="83"/>
      <c r="K162" s="83"/>
      <c r="O162" s="48"/>
      <c r="P162" s="38"/>
    </row>
    <row r="163" ht="22.5" hidden="1" customHeight="1">
      <c r="A163" s="83"/>
      <c r="B163" s="83"/>
      <c r="C163" s="83"/>
      <c r="D163" s="83"/>
      <c r="E163" s="87"/>
      <c r="F163" s="83"/>
      <c r="G163" s="83"/>
      <c r="H163" s="83"/>
      <c r="I163" s="83"/>
      <c r="J163" s="83"/>
      <c r="K163" s="83"/>
      <c r="O163" s="48"/>
      <c r="P163" s="38"/>
    </row>
    <row r="164" ht="22.5" hidden="1" customHeight="1">
      <c r="A164" s="83"/>
      <c r="B164" s="83"/>
      <c r="C164" s="83"/>
      <c r="D164" s="83"/>
      <c r="E164" s="87"/>
      <c r="F164" s="83"/>
      <c r="G164" s="83"/>
      <c r="H164" s="83"/>
      <c r="I164" s="83"/>
      <c r="J164" s="83"/>
      <c r="K164" s="83"/>
      <c r="O164" s="48"/>
      <c r="P164" s="38"/>
    </row>
    <row r="165" ht="22.5" hidden="1" customHeight="1">
      <c r="A165" s="83"/>
      <c r="B165" s="83"/>
      <c r="C165" s="83"/>
      <c r="D165" s="83"/>
      <c r="E165" s="87"/>
      <c r="F165" s="83"/>
      <c r="G165" s="83"/>
      <c r="H165" s="83"/>
      <c r="I165" s="83"/>
      <c r="J165" s="83"/>
      <c r="K165" s="83"/>
      <c r="O165" s="48"/>
      <c r="P165" s="38"/>
    </row>
    <row r="166" ht="22.5" hidden="1" customHeight="1">
      <c r="A166" s="83"/>
      <c r="B166" s="83"/>
      <c r="C166" s="83"/>
      <c r="D166" s="83"/>
      <c r="E166" s="87"/>
      <c r="F166" s="83"/>
      <c r="G166" s="83"/>
      <c r="H166" s="83"/>
      <c r="I166" s="83"/>
      <c r="J166" s="83"/>
      <c r="K166" s="83"/>
      <c r="O166" s="48"/>
      <c r="P166" s="38"/>
    </row>
    <row r="167" ht="22.5" hidden="1" customHeight="1">
      <c r="A167" s="83"/>
      <c r="B167" s="83"/>
      <c r="C167" s="83"/>
      <c r="D167" s="83"/>
      <c r="E167" s="87"/>
      <c r="F167" s="83"/>
      <c r="G167" s="83"/>
      <c r="H167" s="83"/>
      <c r="I167" s="83"/>
      <c r="J167" s="83"/>
      <c r="K167" s="83"/>
      <c r="O167" s="48"/>
      <c r="P167" s="38"/>
    </row>
    <row r="168" ht="22.5" hidden="1" customHeight="1">
      <c r="A168" s="83"/>
      <c r="B168" s="83"/>
      <c r="C168" s="83"/>
      <c r="D168" s="83"/>
      <c r="E168" s="87"/>
      <c r="F168" s="83"/>
      <c r="G168" s="83"/>
      <c r="H168" s="83"/>
      <c r="I168" s="83"/>
      <c r="J168" s="83"/>
      <c r="K168" s="83"/>
      <c r="O168" s="48"/>
      <c r="P168" s="38"/>
    </row>
    <row r="169" ht="22.5" hidden="1" customHeight="1">
      <c r="A169" s="83"/>
      <c r="B169" s="83"/>
      <c r="C169" s="83"/>
      <c r="D169" s="83"/>
      <c r="E169" s="87"/>
      <c r="F169" s="83"/>
      <c r="G169" s="83"/>
      <c r="H169" s="83"/>
      <c r="I169" s="83"/>
      <c r="J169" s="83"/>
      <c r="K169" s="83"/>
      <c r="O169" s="48"/>
      <c r="P169" s="38"/>
    </row>
    <row r="170" ht="22.5" hidden="1" customHeight="1">
      <c r="A170" s="83"/>
      <c r="B170" s="83"/>
      <c r="C170" s="83"/>
      <c r="D170" s="83"/>
      <c r="E170" s="87"/>
      <c r="F170" s="83"/>
      <c r="G170" s="83"/>
      <c r="H170" s="83"/>
      <c r="I170" s="83"/>
      <c r="J170" s="83"/>
      <c r="K170" s="83"/>
      <c r="O170" s="48"/>
      <c r="P170" s="38"/>
    </row>
    <row r="171" ht="22.5" hidden="1" customHeight="1">
      <c r="A171" s="83"/>
      <c r="B171" s="83"/>
      <c r="C171" s="83"/>
      <c r="D171" s="83"/>
      <c r="E171" s="87"/>
      <c r="F171" s="83"/>
      <c r="G171" s="83"/>
      <c r="H171" s="83"/>
      <c r="I171" s="83"/>
      <c r="J171" s="83"/>
      <c r="K171" s="83"/>
      <c r="O171" s="48"/>
      <c r="P171" s="38"/>
    </row>
    <row r="172" ht="22.5" hidden="1" customHeight="1">
      <c r="A172" s="83"/>
      <c r="B172" s="83"/>
      <c r="C172" s="83"/>
      <c r="D172" s="83"/>
      <c r="E172" s="87"/>
      <c r="F172" s="83"/>
      <c r="G172" s="83"/>
      <c r="H172" s="83"/>
      <c r="I172" s="83"/>
      <c r="J172" s="83"/>
      <c r="K172" s="83"/>
      <c r="O172" s="48"/>
      <c r="P172" s="38"/>
    </row>
    <row r="173" ht="22.5" hidden="1" customHeight="1">
      <c r="A173" s="83"/>
      <c r="B173" s="83"/>
      <c r="C173" s="83"/>
      <c r="D173" s="83"/>
      <c r="E173" s="87"/>
      <c r="F173" s="83"/>
      <c r="G173" s="83"/>
      <c r="H173" s="83"/>
      <c r="I173" s="83"/>
      <c r="J173" s="83"/>
      <c r="K173" s="83"/>
      <c r="O173" s="48"/>
      <c r="P173" s="38"/>
    </row>
    <row r="174" ht="22.5" hidden="1" customHeight="1">
      <c r="A174" s="83"/>
      <c r="B174" s="83"/>
      <c r="C174" s="83"/>
      <c r="D174" s="83"/>
      <c r="E174" s="87"/>
      <c r="F174" s="83"/>
      <c r="G174" s="83"/>
      <c r="H174" s="83"/>
      <c r="I174" s="83"/>
      <c r="J174" s="83"/>
      <c r="K174" s="83"/>
      <c r="O174" s="48"/>
      <c r="P174" s="38"/>
    </row>
    <row r="175" ht="22.5" hidden="1" customHeight="1">
      <c r="A175" s="83"/>
      <c r="B175" s="83"/>
      <c r="C175" s="83"/>
      <c r="D175" s="83"/>
      <c r="E175" s="87"/>
      <c r="F175" s="83"/>
      <c r="G175" s="83"/>
      <c r="H175" s="83"/>
      <c r="I175" s="83"/>
      <c r="J175" s="83"/>
      <c r="K175" s="83"/>
      <c r="O175" s="48"/>
      <c r="P175" s="38"/>
    </row>
    <row r="176" ht="22.5" hidden="1" customHeight="1">
      <c r="A176" s="83"/>
      <c r="B176" s="83"/>
      <c r="C176" s="83"/>
      <c r="D176" s="83"/>
      <c r="E176" s="87"/>
      <c r="F176" s="83"/>
      <c r="G176" s="83"/>
      <c r="H176" s="83"/>
      <c r="I176" s="83"/>
      <c r="J176" s="83"/>
      <c r="K176" s="83"/>
      <c r="O176" s="48"/>
      <c r="P176" s="38"/>
    </row>
    <row r="177" ht="22.5" hidden="1" customHeight="1">
      <c r="A177" s="83"/>
      <c r="B177" s="83"/>
      <c r="C177" s="83"/>
      <c r="D177" s="83"/>
      <c r="E177" s="87"/>
      <c r="F177" s="83"/>
      <c r="G177" s="83"/>
      <c r="H177" s="83"/>
      <c r="I177" s="83"/>
      <c r="J177" s="83"/>
      <c r="K177" s="83"/>
      <c r="O177" s="48"/>
      <c r="P177" s="38"/>
    </row>
    <row r="178" ht="22.5" hidden="1" customHeight="1">
      <c r="A178" s="83"/>
      <c r="B178" s="83"/>
      <c r="C178" s="83"/>
      <c r="D178" s="83"/>
      <c r="E178" s="87"/>
      <c r="F178" s="83"/>
      <c r="G178" s="83"/>
      <c r="H178" s="83"/>
      <c r="I178" s="83"/>
      <c r="J178" s="83"/>
      <c r="K178" s="83"/>
      <c r="O178" s="48"/>
      <c r="P178" s="38"/>
    </row>
    <row r="179" ht="22.5" hidden="1" customHeight="1">
      <c r="A179" s="83"/>
      <c r="B179" s="83"/>
      <c r="C179" s="83"/>
      <c r="D179" s="83"/>
      <c r="E179" s="87"/>
      <c r="F179" s="83"/>
      <c r="G179" s="83"/>
      <c r="H179" s="83"/>
      <c r="I179" s="83"/>
      <c r="J179" s="83"/>
      <c r="K179" s="83"/>
      <c r="O179" s="48"/>
      <c r="P179" s="38"/>
    </row>
    <row r="180" ht="22.5" hidden="1" customHeight="1">
      <c r="A180" s="83"/>
      <c r="B180" s="83"/>
      <c r="C180" s="83"/>
      <c r="D180" s="83"/>
      <c r="E180" s="87"/>
      <c r="F180" s="83"/>
      <c r="G180" s="83"/>
      <c r="H180" s="83"/>
      <c r="I180" s="83"/>
      <c r="J180" s="83"/>
      <c r="K180" s="83"/>
      <c r="O180" s="48"/>
      <c r="P180" s="38"/>
    </row>
    <row r="181" ht="22.5" hidden="1" customHeight="1">
      <c r="A181" s="83"/>
      <c r="B181" s="83"/>
      <c r="C181" s="83"/>
      <c r="D181" s="83"/>
      <c r="E181" s="87"/>
      <c r="F181" s="83"/>
      <c r="G181" s="83"/>
      <c r="H181" s="83"/>
      <c r="I181" s="83"/>
      <c r="J181" s="83"/>
      <c r="K181" s="83"/>
      <c r="O181" s="48"/>
      <c r="P181" s="38"/>
    </row>
    <row r="182" ht="22.5" hidden="1" customHeight="1">
      <c r="A182" s="83"/>
      <c r="B182" s="83"/>
      <c r="C182" s="83"/>
      <c r="D182" s="83"/>
      <c r="E182" s="87"/>
      <c r="F182" s="83"/>
      <c r="G182" s="83"/>
      <c r="H182" s="83"/>
      <c r="I182" s="83"/>
      <c r="J182" s="83"/>
      <c r="K182" s="83"/>
      <c r="O182" s="48"/>
      <c r="P182" s="38"/>
    </row>
    <row r="183" ht="22.5" hidden="1" customHeight="1">
      <c r="A183" s="83"/>
      <c r="B183" s="83"/>
      <c r="C183" s="83"/>
      <c r="D183" s="83"/>
      <c r="E183" s="87"/>
      <c r="F183" s="83"/>
      <c r="G183" s="83"/>
      <c r="H183" s="83"/>
      <c r="I183" s="83"/>
      <c r="J183" s="83"/>
      <c r="K183" s="83"/>
      <c r="O183" s="48"/>
      <c r="P183" s="38"/>
    </row>
    <row r="184" ht="22.5" hidden="1" customHeight="1">
      <c r="A184" s="83"/>
      <c r="B184" s="83"/>
      <c r="C184" s="83"/>
      <c r="D184" s="83"/>
      <c r="E184" s="87"/>
      <c r="F184" s="83"/>
      <c r="G184" s="83"/>
      <c r="H184" s="83"/>
      <c r="I184" s="83"/>
      <c r="J184" s="83"/>
      <c r="K184" s="83"/>
      <c r="O184" s="48"/>
      <c r="P184" s="38"/>
    </row>
    <row r="185" ht="22.5" hidden="1" customHeight="1">
      <c r="A185" s="83"/>
      <c r="B185" s="83"/>
      <c r="C185" s="83"/>
      <c r="D185" s="83"/>
      <c r="E185" s="87"/>
      <c r="F185" s="83"/>
      <c r="G185" s="83"/>
      <c r="H185" s="83"/>
      <c r="I185" s="83"/>
      <c r="J185" s="83"/>
      <c r="K185" s="83"/>
      <c r="O185" s="48"/>
      <c r="P185" s="38"/>
    </row>
    <row r="186" ht="22.5" hidden="1" customHeight="1">
      <c r="A186" s="83"/>
      <c r="B186" s="83"/>
      <c r="C186" s="83"/>
      <c r="D186" s="83"/>
      <c r="E186" s="87"/>
      <c r="F186" s="83"/>
      <c r="G186" s="83"/>
      <c r="H186" s="83"/>
      <c r="I186" s="83"/>
      <c r="J186" s="83"/>
      <c r="K186" s="83"/>
      <c r="O186" s="48"/>
      <c r="P186" s="38"/>
    </row>
    <row r="187" ht="22.5" hidden="1" customHeight="1">
      <c r="A187" s="83"/>
      <c r="B187" s="83"/>
      <c r="C187" s="83"/>
      <c r="D187" s="83"/>
      <c r="E187" s="87"/>
      <c r="F187" s="83"/>
      <c r="G187" s="83"/>
      <c r="H187" s="83"/>
      <c r="I187" s="83"/>
      <c r="J187" s="83"/>
      <c r="K187" s="83"/>
      <c r="O187" s="48"/>
      <c r="P187" s="38"/>
    </row>
    <row r="188" ht="22.5" hidden="1" customHeight="1">
      <c r="A188" s="83"/>
      <c r="B188" s="83"/>
      <c r="C188" s="83"/>
      <c r="D188" s="83"/>
      <c r="E188" s="87"/>
      <c r="F188" s="83"/>
      <c r="G188" s="83"/>
      <c r="H188" s="83"/>
      <c r="I188" s="83"/>
      <c r="J188" s="83"/>
      <c r="K188" s="83"/>
      <c r="O188" s="48"/>
      <c r="P188" s="38"/>
    </row>
    <row r="189" ht="22.5" hidden="1" customHeight="1">
      <c r="A189" s="83"/>
      <c r="B189" s="83"/>
      <c r="C189" s="83"/>
      <c r="D189" s="83"/>
      <c r="E189" s="87"/>
      <c r="F189" s="83"/>
      <c r="G189" s="83"/>
      <c r="H189" s="83"/>
      <c r="I189" s="83"/>
      <c r="J189" s="83"/>
      <c r="K189" s="83"/>
      <c r="O189" s="48"/>
      <c r="P189" s="38"/>
    </row>
    <row r="190" ht="22.5" hidden="1" customHeight="1">
      <c r="A190" s="83"/>
      <c r="B190" s="83"/>
      <c r="C190" s="83"/>
      <c r="D190" s="83"/>
      <c r="E190" s="87"/>
      <c r="F190" s="83"/>
      <c r="G190" s="83"/>
      <c r="H190" s="83"/>
      <c r="I190" s="83"/>
      <c r="J190" s="83"/>
      <c r="K190" s="83"/>
      <c r="O190" s="48"/>
      <c r="P190" s="38"/>
    </row>
    <row r="191" ht="22.5" hidden="1" customHeight="1">
      <c r="A191" s="83"/>
      <c r="B191" s="83"/>
      <c r="C191" s="83"/>
      <c r="D191" s="83"/>
      <c r="E191" s="87"/>
      <c r="F191" s="83"/>
      <c r="G191" s="83"/>
      <c r="H191" s="83"/>
      <c r="I191" s="83"/>
      <c r="J191" s="83"/>
      <c r="K191" s="83"/>
      <c r="O191" s="48"/>
      <c r="P191" s="38"/>
    </row>
    <row r="192" ht="22.5" hidden="1" customHeight="1">
      <c r="A192" s="83"/>
      <c r="B192" s="83"/>
      <c r="C192" s="83"/>
      <c r="D192" s="83"/>
      <c r="E192" s="87"/>
      <c r="F192" s="83"/>
      <c r="G192" s="83"/>
      <c r="H192" s="83"/>
      <c r="I192" s="83"/>
      <c r="J192" s="83"/>
      <c r="K192" s="83"/>
      <c r="O192" s="48"/>
      <c r="P192" s="38"/>
    </row>
    <row r="193" ht="22.5" hidden="1" customHeight="1">
      <c r="A193" s="83"/>
      <c r="B193" s="83"/>
      <c r="C193" s="83"/>
      <c r="D193" s="83"/>
      <c r="E193" s="87"/>
      <c r="F193" s="83"/>
      <c r="G193" s="83"/>
      <c r="H193" s="83"/>
      <c r="I193" s="83"/>
      <c r="J193" s="83"/>
      <c r="K193" s="83"/>
      <c r="O193" s="48"/>
      <c r="P193" s="38"/>
    </row>
    <row r="194" ht="22.5" hidden="1" customHeight="1">
      <c r="A194" s="83"/>
      <c r="B194" s="83"/>
      <c r="C194" s="83"/>
      <c r="D194" s="83"/>
      <c r="E194" s="87"/>
      <c r="F194" s="83"/>
      <c r="G194" s="83"/>
      <c r="H194" s="83"/>
      <c r="I194" s="83"/>
      <c r="J194" s="83"/>
      <c r="K194" s="83"/>
      <c r="O194" s="48"/>
      <c r="P194" s="38"/>
    </row>
    <row r="195" ht="22.5" hidden="1" customHeight="1">
      <c r="A195" s="83"/>
      <c r="B195" s="83"/>
      <c r="C195" s="83"/>
      <c r="D195" s="83"/>
      <c r="E195" s="87"/>
      <c r="F195" s="83"/>
      <c r="G195" s="83"/>
      <c r="H195" s="83"/>
      <c r="I195" s="83"/>
      <c r="J195" s="83"/>
      <c r="K195" s="83"/>
      <c r="O195" s="48"/>
      <c r="P195" s="38"/>
    </row>
    <row r="196" ht="22.5" hidden="1" customHeight="1">
      <c r="A196" s="83"/>
      <c r="B196" s="83"/>
      <c r="C196" s="83"/>
      <c r="D196" s="83"/>
      <c r="E196" s="87"/>
      <c r="F196" s="83"/>
      <c r="G196" s="83"/>
      <c r="H196" s="83"/>
      <c r="I196" s="83"/>
      <c r="J196" s="83"/>
      <c r="K196" s="83"/>
      <c r="O196" s="48"/>
      <c r="P196" s="38"/>
    </row>
    <row r="197" ht="22.5" hidden="1" customHeight="1">
      <c r="A197" s="83"/>
      <c r="B197" s="83"/>
      <c r="C197" s="83"/>
      <c r="D197" s="83"/>
      <c r="E197" s="87"/>
      <c r="F197" s="83"/>
      <c r="G197" s="83"/>
      <c r="H197" s="83"/>
      <c r="I197" s="83"/>
      <c r="J197" s="83"/>
      <c r="K197" s="83"/>
      <c r="O197" s="48"/>
      <c r="P197" s="38"/>
    </row>
    <row r="198" ht="22.5" hidden="1" customHeight="1">
      <c r="A198" s="83"/>
      <c r="B198" s="83"/>
      <c r="C198" s="83"/>
      <c r="D198" s="83"/>
      <c r="E198" s="87"/>
      <c r="F198" s="83"/>
      <c r="G198" s="83"/>
      <c r="H198" s="83"/>
      <c r="I198" s="83"/>
      <c r="J198" s="83"/>
      <c r="K198" s="83"/>
      <c r="O198" s="48"/>
      <c r="P198" s="38"/>
    </row>
    <row r="199" ht="22.5" hidden="1" customHeight="1">
      <c r="A199" s="83"/>
      <c r="B199" s="83"/>
      <c r="C199" s="83"/>
      <c r="D199" s="83"/>
      <c r="E199" s="87"/>
      <c r="F199" s="83"/>
      <c r="G199" s="83"/>
      <c r="H199" s="83"/>
      <c r="I199" s="83"/>
      <c r="J199" s="83"/>
      <c r="K199" s="83"/>
      <c r="O199" s="48"/>
      <c r="P199" s="38"/>
    </row>
    <row r="200" ht="22.5" hidden="1" customHeight="1">
      <c r="A200" s="83"/>
      <c r="B200" s="83"/>
      <c r="C200" s="83"/>
      <c r="D200" s="83"/>
      <c r="E200" s="87"/>
      <c r="F200" s="83"/>
      <c r="G200" s="83"/>
      <c r="H200" s="83"/>
      <c r="I200" s="83"/>
      <c r="J200" s="83"/>
      <c r="K200" s="83"/>
      <c r="O200" s="48"/>
      <c r="P200" s="38"/>
    </row>
    <row r="201" ht="22.5" hidden="1" customHeight="1">
      <c r="A201" s="83"/>
      <c r="B201" s="83"/>
      <c r="C201" s="83"/>
      <c r="D201" s="83"/>
      <c r="E201" s="87"/>
      <c r="F201" s="83"/>
      <c r="G201" s="83"/>
      <c r="H201" s="83"/>
      <c r="I201" s="83"/>
      <c r="J201" s="83"/>
      <c r="K201" s="83"/>
      <c r="O201" s="48"/>
      <c r="P201" s="38"/>
    </row>
    <row r="202" ht="22.5" hidden="1" customHeight="1">
      <c r="A202" s="83"/>
      <c r="B202" s="83"/>
      <c r="C202" s="83"/>
      <c r="D202" s="83"/>
      <c r="E202" s="87"/>
      <c r="F202" s="83"/>
      <c r="G202" s="83"/>
      <c r="H202" s="83"/>
      <c r="I202" s="83"/>
      <c r="J202" s="83"/>
      <c r="K202" s="83"/>
      <c r="O202" s="48"/>
      <c r="P202" s="38"/>
    </row>
    <row r="203" ht="22.5" hidden="1" customHeight="1">
      <c r="A203" s="83"/>
      <c r="B203" s="83"/>
      <c r="C203" s="83"/>
      <c r="D203" s="83"/>
      <c r="E203" s="87"/>
      <c r="F203" s="83"/>
      <c r="G203" s="83"/>
      <c r="H203" s="83"/>
      <c r="I203" s="83"/>
      <c r="J203" s="83"/>
      <c r="K203" s="83"/>
      <c r="O203" s="48"/>
      <c r="P203" s="38"/>
    </row>
    <row r="204" ht="22.5" hidden="1" customHeight="1">
      <c r="A204" s="83"/>
      <c r="B204" s="83"/>
      <c r="C204" s="83"/>
      <c r="D204" s="83"/>
      <c r="E204" s="87"/>
      <c r="F204" s="83"/>
      <c r="G204" s="83"/>
      <c r="H204" s="83"/>
      <c r="I204" s="83"/>
      <c r="J204" s="83"/>
      <c r="K204" s="83"/>
      <c r="O204" s="48"/>
      <c r="P204" s="38"/>
    </row>
    <row r="205" ht="22.5" hidden="1" customHeight="1">
      <c r="A205" s="83"/>
      <c r="B205" s="83"/>
      <c r="C205" s="83"/>
      <c r="D205" s="83"/>
      <c r="E205" s="87"/>
      <c r="F205" s="83"/>
      <c r="G205" s="83"/>
      <c r="H205" s="83"/>
      <c r="I205" s="83"/>
      <c r="J205" s="83"/>
      <c r="K205" s="83"/>
      <c r="O205" s="48"/>
      <c r="P205" s="38"/>
    </row>
    <row r="206" ht="22.5" hidden="1" customHeight="1">
      <c r="A206" s="83"/>
      <c r="B206" s="83"/>
      <c r="C206" s="83"/>
      <c r="D206" s="83"/>
      <c r="E206" s="87"/>
      <c r="F206" s="83"/>
      <c r="G206" s="83"/>
      <c r="H206" s="83"/>
      <c r="I206" s="83"/>
      <c r="J206" s="83"/>
      <c r="K206" s="83"/>
      <c r="O206" s="48"/>
      <c r="P206" s="38"/>
    </row>
    <row r="207" ht="22.5" hidden="1" customHeight="1">
      <c r="A207" s="83"/>
      <c r="B207" s="83"/>
      <c r="C207" s="83"/>
      <c r="D207" s="83"/>
      <c r="E207" s="87"/>
      <c r="F207" s="83"/>
      <c r="G207" s="83"/>
      <c r="H207" s="83"/>
      <c r="I207" s="83"/>
      <c r="J207" s="83"/>
      <c r="K207" s="83"/>
      <c r="O207" s="48"/>
      <c r="P207" s="38"/>
    </row>
    <row r="208" ht="22.5" hidden="1" customHeight="1">
      <c r="A208" s="83"/>
      <c r="B208" s="83"/>
      <c r="C208" s="83"/>
      <c r="D208" s="83"/>
      <c r="E208" s="87"/>
      <c r="F208" s="83"/>
      <c r="G208" s="83"/>
      <c r="H208" s="83"/>
      <c r="I208" s="83"/>
      <c r="J208" s="83"/>
      <c r="K208" s="83"/>
      <c r="O208" s="48"/>
      <c r="P208" s="38"/>
    </row>
    <row r="209" ht="22.5" hidden="1" customHeight="1">
      <c r="A209" s="83"/>
      <c r="B209" s="83"/>
      <c r="C209" s="83"/>
      <c r="D209" s="83"/>
      <c r="E209" s="87"/>
      <c r="F209" s="83"/>
      <c r="G209" s="83"/>
      <c r="H209" s="83"/>
      <c r="I209" s="83"/>
      <c r="J209" s="83"/>
      <c r="K209" s="83"/>
      <c r="O209" s="48"/>
      <c r="P209" s="38"/>
    </row>
    <row r="210" ht="22.5" hidden="1" customHeight="1">
      <c r="A210" s="83"/>
      <c r="B210" s="83"/>
      <c r="C210" s="83"/>
      <c r="D210" s="83"/>
      <c r="E210" s="87"/>
      <c r="F210" s="83"/>
      <c r="G210" s="83"/>
      <c r="H210" s="83"/>
      <c r="I210" s="83"/>
      <c r="J210" s="83"/>
      <c r="K210" s="83"/>
      <c r="O210" s="48"/>
      <c r="P210" s="38"/>
    </row>
    <row r="211" ht="22.5" hidden="1" customHeight="1">
      <c r="A211" s="83"/>
      <c r="B211" s="83"/>
      <c r="C211" s="83"/>
      <c r="D211" s="83"/>
      <c r="E211" s="87"/>
      <c r="F211" s="83"/>
      <c r="G211" s="83"/>
      <c r="H211" s="83"/>
      <c r="I211" s="83"/>
      <c r="J211" s="83"/>
      <c r="K211" s="83"/>
      <c r="O211" s="48"/>
      <c r="P211" s="38"/>
    </row>
    <row r="212" ht="22.5" hidden="1" customHeight="1">
      <c r="A212" s="83"/>
      <c r="B212" s="83"/>
      <c r="C212" s="83"/>
      <c r="D212" s="83"/>
      <c r="E212" s="87"/>
      <c r="F212" s="83"/>
      <c r="G212" s="83"/>
      <c r="H212" s="83"/>
      <c r="I212" s="83"/>
      <c r="J212" s="83"/>
      <c r="K212" s="83"/>
      <c r="O212" s="48"/>
      <c r="P212" s="38"/>
    </row>
    <row r="213" ht="22.5" hidden="1" customHeight="1">
      <c r="A213" s="83"/>
      <c r="B213" s="83"/>
      <c r="C213" s="83"/>
      <c r="D213" s="83"/>
      <c r="E213" s="87"/>
      <c r="F213" s="83"/>
      <c r="G213" s="83"/>
      <c r="H213" s="83"/>
      <c r="I213" s="83"/>
      <c r="J213" s="83"/>
      <c r="K213" s="83"/>
      <c r="O213" s="48"/>
      <c r="P213" s="38"/>
    </row>
    <row r="214" ht="22.5" hidden="1" customHeight="1">
      <c r="A214" s="83"/>
      <c r="B214" s="83"/>
      <c r="C214" s="83"/>
      <c r="D214" s="83"/>
      <c r="E214" s="87"/>
      <c r="F214" s="83"/>
      <c r="G214" s="83"/>
      <c r="H214" s="83"/>
      <c r="I214" s="83"/>
      <c r="J214" s="83"/>
      <c r="K214" s="83"/>
      <c r="O214" s="48"/>
      <c r="P214" s="38"/>
    </row>
    <row r="215" ht="22.5" hidden="1" customHeight="1">
      <c r="A215" s="83"/>
      <c r="B215" s="83"/>
      <c r="C215" s="83"/>
      <c r="D215" s="83"/>
      <c r="E215" s="87"/>
      <c r="F215" s="83"/>
      <c r="G215" s="83"/>
      <c r="H215" s="83"/>
      <c r="I215" s="83"/>
      <c r="J215" s="83"/>
      <c r="K215" s="83"/>
      <c r="O215" s="48"/>
      <c r="P215" s="38"/>
    </row>
    <row r="216" ht="22.5" hidden="1" customHeight="1">
      <c r="A216" s="83"/>
      <c r="B216" s="83"/>
      <c r="C216" s="83"/>
      <c r="D216" s="83"/>
      <c r="E216" s="87"/>
      <c r="F216" s="83"/>
      <c r="G216" s="83"/>
      <c r="H216" s="83"/>
      <c r="I216" s="83"/>
      <c r="J216" s="83"/>
      <c r="K216" s="83"/>
      <c r="O216" s="48"/>
      <c r="P216" s="38"/>
    </row>
    <row r="217" ht="22.5" hidden="1" customHeight="1">
      <c r="A217" s="83"/>
      <c r="B217" s="83"/>
      <c r="C217" s="83"/>
      <c r="D217" s="83"/>
      <c r="E217" s="87"/>
      <c r="F217" s="83"/>
      <c r="G217" s="83"/>
      <c r="H217" s="83"/>
      <c r="I217" s="83"/>
      <c r="J217" s="83"/>
      <c r="K217" s="83"/>
      <c r="O217" s="48"/>
      <c r="P217" s="38"/>
    </row>
    <row r="218" ht="22.5" hidden="1" customHeight="1">
      <c r="A218" s="83"/>
      <c r="B218" s="83"/>
      <c r="C218" s="83"/>
      <c r="D218" s="83"/>
      <c r="E218" s="87"/>
      <c r="F218" s="83"/>
      <c r="G218" s="83"/>
      <c r="H218" s="83"/>
      <c r="I218" s="83"/>
      <c r="J218" s="83"/>
      <c r="K218" s="83"/>
      <c r="O218" s="48"/>
      <c r="P218" s="38"/>
    </row>
    <row r="219" ht="22.5" hidden="1" customHeight="1">
      <c r="A219" s="83"/>
      <c r="B219" s="83"/>
      <c r="C219" s="83"/>
      <c r="D219" s="83"/>
      <c r="E219" s="87"/>
      <c r="F219" s="83"/>
      <c r="G219" s="83"/>
      <c r="H219" s="83"/>
      <c r="I219" s="83"/>
      <c r="J219" s="83"/>
      <c r="K219" s="83"/>
      <c r="O219" s="48"/>
      <c r="P219" s="38"/>
    </row>
    <row r="220" ht="22.5" hidden="1" customHeight="1">
      <c r="A220" s="83"/>
      <c r="B220" s="83"/>
      <c r="C220" s="83"/>
      <c r="D220" s="83"/>
      <c r="E220" s="87"/>
      <c r="F220" s="83"/>
      <c r="G220" s="83"/>
      <c r="H220" s="83"/>
      <c r="I220" s="83"/>
      <c r="J220" s="83"/>
      <c r="K220" s="83"/>
      <c r="O220" s="48"/>
      <c r="P220" s="38"/>
    </row>
    <row r="221" ht="22.5" hidden="1" customHeight="1">
      <c r="A221" s="83"/>
      <c r="B221" s="83"/>
      <c r="C221" s="83"/>
      <c r="D221" s="83"/>
      <c r="E221" s="87"/>
      <c r="F221" s="83"/>
      <c r="G221" s="83"/>
      <c r="H221" s="83"/>
      <c r="I221" s="83"/>
      <c r="J221" s="83"/>
      <c r="K221" s="83"/>
      <c r="O221" s="48"/>
      <c r="P221" s="38"/>
    </row>
    <row r="222" ht="22.5" hidden="1" customHeight="1">
      <c r="A222" s="83"/>
      <c r="B222" s="83"/>
      <c r="C222" s="83"/>
      <c r="D222" s="83"/>
      <c r="E222" s="87"/>
      <c r="F222" s="83"/>
      <c r="G222" s="83"/>
      <c r="H222" s="83"/>
      <c r="I222" s="83"/>
      <c r="J222" s="83"/>
      <c r="K222" s="83"/>
      <c r="O222" s="48"/>
      <c r="P222" s="38"/>
    </row>
    <row r="223" ht="22.5" hidden="1" customHeight="1">
      <c r="A223" s="83"/>
      <c r="B223" s="83"/>
      <c r="C223" s="83"/>
      <c r="D223" s="83"/>
      <c r="E223" s="87"/>
      <c r="F223" s="83"/>
      <c r="G223" s="83"/>
      <c r="H223" s="83"/>
      <c r="I223" s="83"/>
      <c r="J223" s="83"/>
      <c r="K223" s="83"/>
      <c r="O223" s="48"/>
      <c r="P223" s="38"/>
    </row>
    <row r="224" ht="22.5" hidden="1" customHeight="1">
      <c r="A224" s="83"/>
      <c r="B224" s="83"/>
      <c r="C224" s="83"/>
      <c r="D224" s="83"/>
      <c r="E224" s="87"/>
      <c r="F224" s="83"/>
      <c r="G224" s="83"/>
      <c r="H224" s="83"/>
      <c r="I224" s="83"/>
      <c r="J224" s="83"/>
      <c r="K224" s="83"/>
      <c r="O224" s="48"/>
      <c r="P224" s="38"/>
    </row>
    <row r="225" ht="22.5" hidden="1" customHeight="1">
      <c r="A225" s="83"/>
      <c r="B225" s="83"/>
      <c r="C225" s="83"/>
      <c r="D225" s="83"/>
      <c r="E225" s="87"/>
      <c r="F225" s="83"/>
      <c r="G225" s="83"/>
      <c r="H225" s="83"/>
      <c r="I225" s="83"/>
      <c r="J225" s="83"/>
      <c r="K225" s="83"/>
      <c r="O225" s="48"/>
      <c r="P225" s="38"/>
    </row>
    <row r="226" ht="22.5" hidden="1" customHeight="1">
      <c r="A226" s="83"/>
      <c r="B226" s="83"/>
      <c r="C226" s="83"/>
      <c r="D226" s="83"/>
      <c r="E226" s="87"/>
      <c r="F226" s="83"/>
      <c r="G226" s="83"/>
      <c r="H226" s="83"/>
      <c r="I226" s="83"/>
      <c r="J226" s="83"/>
      <c r="K226" s="83"/>
      <c r="O226" s="48"/>
      <c r="P226" s="38"/>
    </row>
    <row r="227" ht="22.5" hidden="1" customHeight="1">
      <c r="A227" s="83"/>
      <c r="B227" s="83"/>
      <c r="C227" s="83"/>
      <c r="D227" s="83"/>
      <c r="E227" s="87"/>
      <c r="F227" s="83"/>
      <c r="G227" s="83"/>
      <c r="H227" s="83"/>
      <c r="I227" s="83"/>
      <c r="J227" s="83"/>
      <c r="K227" s="83"/>
      <c r="O227" s="48"/>
      <c r="P227" s="38"/>
    </row>
    <row r="228" ht="22.5" hidden="1" customHeight="1">
      <c r="A228" s="83"/>
      <c r="B228" s="83"/>
      <c r="C228" s="83"/>
      <c r="D228" s="83"/>
      <c r="E228" s="87"/>
      <c r="F228" s="83"/>
      <c r="G228" s="83"/>
      <c r="H228" s="83"/>
      <c r="I228" s="83"/>
      <c r="J228" s="83"/>
      <c r="K228" s="83"/>
      <c r="O228" s="48"/>
      <c r="P228" s="38"/>
    </row>
    <row r="229" ht="22.5" hidden="1" customHeight="1">
      <c r="A229" s="83"/>
      <c r="B229" s="83"/>
      <c r="C229" s="83"/>
      <c r="D229" s="83"/>
      <c r="E229" s="87"/>
      <c r="F229" s="83"/>
      <c r="G229" s="83"/>
      <c r="H229" s="83"/>
      <c r="I229" s="83"/>
      <c r="J229" s="83"/>
      <c r="K229" s="83"/>
      <c r="O229" s="48"/>
      <c r="P229" s="38"/>
    </row>
    <row r="230" ht="22.5" hidden="1" customHeight="1">
      <c r="A230" s="83"/>
      <c r="B230" s="83"/>
      <c r="C230" s="83"/>
      <c r="D230" s="83"/>
      <c r="E230" s="87"/>
      <c r="F230" s="83"/>
      <c r="G230" s="83"/>
      <c r="H230" s="83"/>
      <c r="I230" s="83"/>
      <c r="J230" s="83"/>
      <c r="K230" s="83"/>
      <c r="O230" s="48"/>
      <c r="P230" s="38"/>
    </row>
    <row r="231" ht="22.5" hidden="1" customHeight="1">
      <c r="A231" s="83"/>
      <c r="B231" s="83"/>
      <c r="C231" s="83"/>
      <c r="D231" s="83"/>
      <c r="E231" s="87"/>
      <c r="F231" s="83"/>
      <c r="G231" s="83"/>
      <c r="H231" s="83"/>
      <c r="I231" s="83"/>
      <c r="J231" s="83"/>
      <c r="K231" s="83"/>
      <c r="O231" s="48"/>
      <c r="P231" s="38"/>
    </row>
    <row r="232" ht="22.5" hidden="1" customHeight="1">
      <c r="A232" s="83"/>
      <c r="B232" s="83"/>
      <c r="C232" s="83"/>
      <c r="D232" s="83"/>
      <c r="E232" s="87"/>
      <c r="F232" s="83"/>
      <c r="G232" s="83"/>
      <c r="H232" s="83"/>
      <c r="I232" s="83"/>
      <c r="J232" s="83"/>
      <c r="K232" s="83"/>
      <c r="O232" s="48"/>
      <c r="P232" s="38"/>
    </row>
    <row r="233" ht="22.5" hidden="1" customHeight="1">
      <c r="A233" s="83"/>
      <c r="B233" s="83"/>
      <c r="C233" s="83"/>
      <c r="D233" s="83"/>
      <c r="E233" s="87"/>
      <c r="F233" s="83"/>
      <c r="G233" s="83"/>
      <c r="H233" s="83"/>
      <c r="I233" s="83"/>
      <c r="J233" s="83"/>
      <c r="K233" s="83"/>
      <c r="O233" s="48"/>
      <c r="P233" s="38"/>
    </row>
    <row r="234" ht="22.5" hidden="1" customHeight="1">
      <c r="A234" s="83"/>
      <c r="B234" s="83"/>
      <c r="C234" s="83"/>
      <c r="D234" s="83"/>
      <c r="E234" s="87"/>
      <c r="F234" s="83"/>
      <c r="G234" s="83"/>
      <c r="H234" s="83"/>
      <c r="I234" s="83"/>
      <c r="J234" s="83"/>
      <c r="K234" s="83"/>
      <c r="O234" s="48"/>
      <c r="P234" s="38"/>
    </row>
    <row r="235" ht="22.5" hidden="1" customHeight="1">
      <c r="A235" s="83"/>
      <c r="B235" s="83"/>
      <c r="C235" s="83"/>
      <c r="D235" s="83"/>
      <c r="E235" s="87"/>
      <c r="F235" s="83"/>
      <c r="G235" s="83"/>
      <c r="H235" s="83"/>
      <c r="I235" s="83"/>
      <c r="J235" s="83"/>
      <c r="K235" s="83"/>
      <c r="O235" s="48"/>
      <c r="P235" s="38"/>
    </row>
    <row r="236" ht="22.5" hidden="1" customHeight="1">
      <c r="A236" s="83"/>
      <c r="B236" s="83"/>
      <c r="C236" s="83"/>
      <c r="D236" s="83"/>
      <c r="E236" s="87"/>
      <c r="F236" s="83"/>
      <c r="G236" s="83"/>
      <c r="H236" s="83"/>
      <c r="I236" s="83"/>
      <c r="J236" s="83"/>
      <c r="K236" s="83"/>
      <c r="O236" s="48"/>
      <c r="P236" s="38"/>
    </row>
    <row r="237" ht="22.5" hidden="1" customHeight="1">
      <c r="A237" s="83"/>
      <c r="B237" s="83"/>
      <c r="C237" s="83"/>
      <c r="D237" s="83"/>
      <c r="E237" s="87"/>
      <c r="F237" s="83"/>
      <c r="G237" s="83"/>
      <c r="H237" s="83"/>
      <c r="I237" s="83"/>
      <c r="J237" s="83"/>
      <c r="K237" s="83"/>
      <c r="O237" s="48"/>
      <c r="P237" s="38"/>
    </row>
    <row r="238" ht="22.5" hidden="1" customHeight="1">
      <c r="A238" s="83"/>
      <c r="B238" s="83"/>
      <c r="C238" s="83"/>
      <c r="D238" s="83"/>
      <c r="E238" s="87"/>
      <c r="F238" s="83"/>
      <c r="G238" s="83"/>
      <c r="H238" s="83"/>
      <c r="I238" s="83"/>
      <c r="J238" s="83"/>
      <c r="K238" s="83"/>
      <c r="O238" s="48"/>
      <c r="P238" s="38"/>
    </row>
    <row r="239" ht="22.5" hidden="1" customHeight="1">
      <c r="A239" s="83"/>
      <c r="B239" s="83"/>
      <c r="C239" s="83"/>
      <c r="D239" s="83"/>
      <c r="E239" s="87"/>
      <c r="F239" s="83"/>
      <c r="G239" s="83"/>
      <c r="H239" s="83"/>
      <c r="I239" s="83"/>
      <c r="J239" s="83"/>
      <c r="K239" s="83"/>
      <c r="O239" s="48"/>
      <c r="P239" s="38"/>
    </row>
    <row r="240" ht="22.5" hidden="1" customHeight="1">
      <c r="A240" s="83"/>
      <c r="B240" s="83"/>
      <c r="C240" s="83"/>
      <c r="D240" s="83"/>
      <c r="E240" s="87"/>
      <c r="F240" s="83"/>
      <c r="G240" s="83"/>
      <c r="H240" s="83"/>
      <c r="I240" s="83"/>
      <c r="J240" s="83"/>
      <c r="K240" s="83"/>
      <c r="O240" s="48"/>
      <c r="P240" s="38"/>
    </row>
    <row r="241" ht="22.5" hidden="1" customHeight="1">
      <c r="A241" s="83"/>
      <c r="B241" s="83"/>
      <c r="C241" s="83"/>
      <c r="D241" s="83"/>
      <c r="E241" s="87"/>
      <c r="F241" s="83"/>
      <c r="G241" s="83"/>
      <c r="H241" s="83"/>
      <c r="I241" s="83"/>
      <c r="J241" s="83"/>
      <c r="K241" s="83"/>
      <c r="O241" s="48"/>
      <c r="P241" s="38"/>
    </row>
    <row r="242" ht="22.5" hidden="1" customHeight="1">
      <c r="A242" s="83"/>
      <c r="B242" s="83"/>
      <c r="C242" s="83"/>
      <c r="D242" s="83"/>
      <c r="E242" s="87"/>
      <c r="F242" s="83"/>
      <c r="G242" s="83"/>
      <c r="H242" s="83"/>
      <c r="I242" s="83"/>
      <c r="J242" s="83"/>
      <c r="K242" s="83"/>
      <c r="O242" s="48"/>
      <c r="P242" s="38"/>
    </row>
    <row r="243" ht="22.5" hidden="1" customHeight="1">
      <c r="A243" s="83"/>
      <c r="B243" s="83"/>
      <c r="C243" s="83"/>
      <c r="D243" s="83"/>
      <c r="E243" s="87"/>
      <c r="F243" s="83"/>
      <c r="G243" s="83"/>
      <c r="H243" s="83"/>
      <c r="I243" s="83"/>
      <c r="J243" s="83"/>
      <c r="K243" s="83"/>
      <c r="O243" s="48"/>
      <c r="P243" s="38"/>
    </row>
    <row r="244" ht="22.5" hidden="1" customHeight="1">
      <c r="A244" s="83"/>
      <c r="B244" s="83"/>
      <c r="C244" s="83"/>
      <c r="D244" s="83"/>
      <c r="E244" s="87"/>
      <c r="F244" s="83"/>
      <c r="G244" s="83"/>
      <c r="H244" s="83"/>
      <c r="I244" s="83"/>
      <c r="J244" s="83"/>
      <c r="K244" s="83"/>
      <c r="O244" s="48"/>
      <c r="P244" s="38"/>
    </row>
    <row r="245" ht="22.5" hidden="1" customHeight="1">
      <c r="A245" s="83"/>
      <c r="B245" s="83"/>
      <c r="C245" s="83"/>
      <c r="D245" s="83"/>
      <c r="E245" s="87"/>
      <c r="F245" s="83"/>
      <c r="G245" s="83"/>
      <c r="H245" s="83"/>
      <c r="I245" s="83"/>
      <c r="J245" s="83"/>
      <c r="K245" s="83"/>
      <c r="O245" s="48"/>
      <c r="P245" s="38"/>
    </row>
    <row r="246" ht="22.5" hidden="1" customHeight="1">
      <c r="A246" s="83"/>
      <c r="B246" s="83"/>
      <c r="C246" s="83"/>
      <c r="D246" s="83"/>
      <c r="E246" s="87"/>
      <c r="F246" s="83"/>
      <c r="G246" s="83"/>
      <c r="H246" s="83"/>
      <c r="I246" s="83"/>
      <c r="J246" s="83"/>
      <c r="K246" s="83"/>
      <c r="O246" s="48"/>
      <c r="P246" s="38"/>
    </row>
    <row r="247" ht="22.5" hidden="1" customHeight="1">
      <c r="A247" s="83"/>
      <c r="B247" s="83"/>
      <c r="C247" s="83"/>
      <c r="D247" s="83"/>
      <c r="E247" s="87"/>
      <c r="F247" s="83"/>
      <c r="G247" s="83"/>
      <c r="H247" s="83"/>
      <c r="I247" s="83"/>
      <c r="J247" s="83"/>
      <c r="K247" s="83"/>
      <c r="O247" s="48"/>
      <c r="P247" s="38"/>
    </row>
    <row r="248" ht="22.5" hidden="1" customHeight="1">
      <c r="A248" s="83"/>
      <c r="B248" s="83"/>
      <c r="C248" s="83"/>
      <c r="D248" s="83"/>
      <c r="E248" s="87"/>
      <c r="F248" s="83"/>
      <c r="G248" s="83"/>
      <c r="H248" s="83"/>
      <c r="I248" s="83"/>
      <c r="J248" s="83"/>
      <c r="K248" s="83"/>
      <c r="O248" s="48"/>
      <c r="P248" s="38"/>
    </row>
    <row r="249" ht="22.5" hidden="1" customHeight="1">
      <c r="A249" s="83"/>
      <c r="B249" s="83"/>
      <c r="C249" s="83"/>
      <c r="D249" s="83"/>
      <c r="E249" s="87"/>
      <c r="F249" s="83"/>
      <c r="G249" s="83"/>
      <c r="H249" s="83"/>
      <c r="I249" s="83"/>
      <c r="J249" s="83"/>
      <c r="K249" s="83"/>
      <c r="O249" s="48"/>
      <c r="P249" s="38"/>
    </row>
    <row r="250" ht="22.5" hidden="1" customHeight="1">
      <c r="A250" s="83"/>
      <c r="B250" s="83"/>
      <c r="C250" s="83"/>
      <c r="D250" s="83"/>
      <c r="E250" s="87"/>
      <c r="F250" s="83"/>
      <c r="G250" s="83"/>
      <c r="H250" s="83"/>
      <c r="I250" s="83"/>
      <c r="J250" s="83"/>
      <c r="K250" s="83"/>
      <c r="O250" s="48"/>
      <c r="P250" s="38"/>
    </row>
    <row r="251" ht="22.5" hidden="1" customHeight="1">
      <c r="A251" s="83"/>
      <c r="B251" s="83"/>
      <c r="C251" s="83"/>
      <c r="D251" s="83"/>
      <c r="E251" s="87"/>
      <c r="F251" s="83"/>
      <c r="G251" s="83"/>
      <c r="H251" s="83"/>
      <c r="I251" s="83"/>
      <c r="J251" s="83"/>
      <c r="K251" s="83"/>
      <c r="O251" s="48"/>
      <c r="P251" s="38"/>
    </row>
    <row r="252" ht="22.5" hidden="1" customHeight="1">
      <c r="A252" s="83"/>
      <c r="B252" s="83"/>
      <c r="C252" s="83"/>
      <c r="D252" s="83"/>
      <c r="E252" s="87"/>
      <c r="F252" s="83"/>
      <c r="G252" s="83"/>
      <c r="H252" s="83"/>
      <c r="I252" s="83"/>
      <c r="J252" s="83"/>
      <c r="K252" s="83"/>
      <c r="O252" s="48"/>
      <c r="P252" s="38"/>
    </row>
    <row r="253" ht="22.5" hidden="1" customHeight="1">
      <c r="A253" s="83"/>
      <c r="B253" s="83"/>
      <c r="C253" s="83"/>
      <c r="D253" s="83"/>
      <c r="E253" s="87"/>
      <c r="F253" s="83"/>
      <c r="G253" s="83"/>
      <c r="H253" s="83"/>
      <c r="I253" s="83"/>
      <c r="J253" s="83"/>
      <c r="K253" s="83"/>
      <c r="O253" s="48"/>
      <c r="P253" s="38"/>
    </row>
    <row r="254" ht="22.5" hidden="1" customHeight="1">
      <c r="A254" s="83"/>
      <c r="B254" s="83"/>
      <c r="C254" s="83"/>
      <c r="D254" s="83"/>
      <c r="E254" s="87"/>
      <c r="F254" s="83"/>
      <c r="G254" s="83"/>
      <c r="H254" s="83"/>
      <c r="I254" s="83"/>
      <c r="J254" s="83"/>
      <c r="K254" s="83"/>
      <c r="O254" s="48"/>
      <c r="P254" s="38"/>
    </row>
    <row r="255" ht="22.5" hidden="1" customHeight="1">
      <c r="A255" s="83"/>
      <c r="B255" s="83"/>
      <c r="C255" s="83"/>
      <c r="D255" s="83"/>
      <c r="E255" s="87"/>
      <c r="F255" s="83"/>
      <c r="G255" s="83"/>
      <c r="H255" s="83"/>
      <c r="I255" s="83"/>
      <c r="J255" s="83"/>
      <c r="K255" s="83"/>
      <c r="O255" s="48"/>
      <c r="P255" s="38"/>
    </row>
    <row r="256" ht="22.5" hidden="1" customHeight="1">
      <c r="A256" s="83"/>
      <c r="B256" s="83"/>
      <c r="C256" s="83"/>
      <c r="D256" s="83"/>
      <c r="E256" s="87"/>
      <c r="F256" s="83"/>
      <c r="G256" s="83"/>
      <c r="H256" s="83"/>
      <c r="I256" s="83"/>
      <c r="J256" s="83"/>
      <c r="K256" s="83"/>
      <c r="O256" s="48"/>
      <c r="P256" s="38"/>
    </row>
    <row r="257" ht="22.5" hidden="1" customHeight="1">
      <c r="A257" s="83"/>
      <c r="B257" s="83"/>
      <c r="C257" s="83"/>
      <c r="D257" s="83"/>
      <c r="E257" s="87"/>
      <c r="F257" s="83"/>
      <c r="G257" s="83"/>
      <c r="H257" s="83"/>
      <c r="I257" s="83"/>
      <c r="J257" s="83"/>
      <c r="K257" s="83"/>
      <c r="O257" s="48"/>
      <c r="P257" s="38"/>
    </row>
    <row r="258" ht="22.5" hidden="1" customHeight="1">
      <c r="A258" s="83"/>
      <c r="B258" s="83"/>
      <c r="C258" s="83"/>
      <c r="D258" s="83"/>
      <c r="E258" s="87"/>
      <c r="F258" s="83"/>
      <c r="G258" s="83"/>
      <c r="H258" s="83"/>
      <c r="I258" s="83"/>
      <c r="J258" s="83"/>
      <c r="K258" s="83"/>
    </row>
    <row r="259" ht="22.5" hidden="1" customHeight="1">
      <c r="A259" s="83"/>
      <c r="B259" s="83"/>
      <c r="C259" s="83"/>
      <c r="D259" s="83"/>
      <c r="E259" s="87"/>
      <c r="F259" s="83"/>
      <c r="G259" s="83"/>
      <c r="H259" s="83"/>
      <c r="I259" s="83"/>
      <c r="J259" s="83"/>
      <c r="K259" s="83"/>
    </row>
    <row r="260" ht="22.5" hidden="1" customHeight="1">
      <c r="A260" s="83"/>
      <c r="B260" s="83"/>
      <c r="C260" s="83"/>
      <c r="D260" s="83"/>
      <c r="E260" s="87"/>
      <c r="F260" s="83"/>
      <c r="G260" s="83"/>
      <c r="H260" s="83"/>
      <c r="I260" s="83"/>
      <c r="J260" s="83"/>
      <c r="K260" s="83"/>
    </row>
    <row r="261" ht="22.5" hidden="1" customHeight="1">
      <c r="A261" s="83"/>
      <c r="B261" s="83"/>
      <c r="C261" s="83"/>
      <c r="D261" s="83"/>
      <c r="E261" s="87"/>
      <c r="F261" s="83"/>
      <c r="G261" s="83"/>
      <c r="H261" s="83"/>
      <c r="I261" s="83"/>
      <c r="J261" s="83"/>
      <c r="K261" s="83"/>
    </row>
    <row r="262" ht="22.5" hidden="1" customHeight="1">
      <c r="A262" s="83"/>
      <c r="B262" s="83"/>
      <c r="C262" s="83"/>
      <c r="D262" s="83"/>
      <c r="E262" s="87"/>
      <c r="F262" s="83"/>
      <c r="G262" s="83"/>
      <c r="H262" s="83"/>
      <c r="I262" s="83"/>
      <c r="J262" s="83"/>
      <c r="K262" s="83"/>
    </row>
    <row r="263" ht="22.5" hidden="1" customHeight="1">
      <c r="A263" s="83"/>
      <c r="B263" s="83"/>
      <c r="C263" s="83"/>
      <c r="D263" s="83"/>
      <c r="E263" s="87"/>
      <c r="F263" s="83"/>
      <c r="G263" s="83"/>
      <c r="H263" s="83"/>
      <c r="I263" s="83"/>
      <c r="J263" s="83"/>
      <c r="K263" s="83"/>
    </row>
    <row r="264" ht="22.5" hidden="1" customHeight="1">
      <c r="A264" s="83"/>
      <c r="B264" s="83"/>
      <c r="C264" s="83"/>
      <c r="D264" s="83"/>
      <c r="E264" s="87"/>
      <c r="F264" s="83"/>
      <c r="G264" s="83"/>
      <c r="H264" s="83"/>
      <c r="I264" s="83"/>
      <c r="J264" s="83"/>
      <c r="K264" s="83"/>
    </row>
    <row r="265" ht="22.5" hidden="1" customHeight="1">
      <c r="A265" s="83"/>
      <c r="B265" s="83"/>
      <c r="C265" s="83"/>
      <c r="D265" s="83"/>
      <c r="E265" s="87"/>
      <c r="F265" s="83"/>
      <c r="G265" s="83"/>
      <c r="H265" s="83"/>
      <c r="I265" s="83"/>
      <c r="J265" s="83"/>
      <c r="K265" s="83"/>
    </row>
    <row r="266" ht="22.5" hidden="1" customHeight="1">
      <c r="A266" s="83"/>
      <c r="B266" s="83"/>
      <c r="C266" s="83"/>
      <c r="D266" s="83"/>
      <c r="E266" s="87"/>
      <c r="F266" s="83"/>
      <c r="G266" s="83"/>
      <c r="H266" s="83"/>
      <c r="I266" s="83"/>
      <c r="J266" s="83"/>
      <c r="K266" s="83"/>
    </row>
    <row r="267" ht="22.5" hidden="1" customHeight="1">
      <c r="A267" s="83"/>
      <c r="B267" s="83"/>
      <c r="C267" s="83"/>
      <c r="D267" s="83"/>
      <c r="E267" s="87"/>
      <c r="F267" s="83"/>
      <c r="G267" s="83"/>
      <c r="H267" s="83"/>
      <c r="I267" s="83"/>
      <c r="J267" s="83"/>
      <c r="K267" s="83"/>
    </row>
    <row r="268" ht="22.5" hidden="1" customHeight="1">
      <c r="A268" s="83"/>
      <c r="B268" s="83"/>
      <c r="C268" s="83"/>
      <c r="D268" s="83"/>
      <c r="E268" s="87"/>
      <c r="F268" s="83"/>
      <c r="G268" s="83"/>
      <c r="H268" s="83"/>
      <c r="I268" s="83"/>
      <c r="J268" s="83"/>
      <c r="K268" s="83"/>
    </row>
    <row r="269" ht="22.5" hidden="1" customHeight="1">
      <c r="A269" s="83"/>
      <c r="B269" s="83"/>
      <c r="C269" s="83"/>
      <c r="D269" s="83"/>
      <c r="E269" s="87"/>
      <c r="F269" s="83"/>
      <c r="G269" s="83"/>
      <c r="H269" s="83"/>
      <c r="I269" s="83"/>
      <c r="J269" s="83"/>
      <c r="K269" s="83"/>
    </row>
    <row r="270" ht="22.5" hidden="1" customHeight="1">
      <c r="A270" s="83"/>
      <c r="B270" s="83"/>
      <c r="C270" s="83"/>
      <c r="D270" s="83"/>
      <c r="E270" s="87"/>
      <c r="F270" s="83"/>
      <c r="G270" s="83"/>
      <c r="H270" s="83"/>
      <c r="I270" s="83"/>
      <c r="J270" s="83"/>
      <c r="K270" s="83"/>
    </row>
    <row r="271" ht="22.5" hidden="1" customHeight="1">
      <c r="A271" s="83"/>
      <c r="B271" s="83"/>
      <c r="C271" s="83"/>
      <c r="D271" s="83"/>
      <c r="E271" s="87"/>
      <c r="F271" s="83"/>
      <c r="G271" s="83"/>
      <c r="H271" s="83"/>
      <c r="I271" s="83"/>
      <c r="J271" s="83"/>
      <c r="K271" s="83"/>
    </row>
    <row r="272" ht="22.5" hidden="1" customHeight="1">
      <c r="A272" s="83"/>
      <c r="B272" s="83"/>
      <c r="C272" s="83"/>
      <c r="D272" s="83"/>
      <c r="E272" s="87"/>
      <c r="F272" s="83"/>
      <c r="G272" s="83"/>
      <c r="H272" s="83"/>
      <c r="I272" s="83"/>
      <c r="J272" s="83"/>
      <c r="K272" s="83"/>
    </row>
    <row r="273" ht="22.5" hidden="1" customHeight="1">
      <c r="A273" s="83"/>
      <c r="B273" s="83"/>
      <c r="C273" s="83"/>
      <c r="D273" s="83"/>
      <c r="E273" s="87"/>
      <c r="F273" s="83"/>
      <c r="G273" s="83"/>
      <c r="H273" s="83"/>
      <c r="I273" s="83"/>
      <c r="J273" s="83"/>
      <c r="K273" s="83"/>
    </row>
    <row r="274" ht="22.5" hidden="1" customHeight="1">
      <c r="A274" s="83"/>
      <c r="B274" s="83"/>
      <c r="C274" s="83"/>
      <c r="D274" s="83"/>
      <c r="E274" s="87"/>
      <c r="F274" s="83"/>
      <c r="G274" s="83"/>
      <c r="H274" s="83"/>
      <c r="I274" s="83"/>
      <c r="J274" s="83"/>
      <c r="K274" s="83"/>
    </row>
    <row r="275" ht="22.5" hidden="1" customHeight="1">
      <c r="A275" s="83"/>
      <c r="B275" s="83"/>
      <c r="C275" s="83"/>
      <c r="D275" s="83"/>
      <c r="E275" s="87"/>
      <c r="F275" s="83"/>
      <c r="G275" s="83"/>
      <c r="H275" s="83"/>
      <c r="I275" s="83"/>
      <c r="J275" s="83"/>
      <c r="K275" s="83"/>
    </row>
    <row r="276" ht="22.5" hidden="1" customHeight="1">
      <c r="A276" s="83"/>
      <c r="B276" s="83"/>
      <c r="C276" s="83"/>
      <c r="D276" s="83"/>
      <c r="E276" s="87"/>
      <c r="F276" s="83"/>
      <c r="G276" s="83"/>
      <c r="H276" s="83"/>
      <c r="I276" s="83"/>
      <c r="J276" s="83"/>
      <c r="K276" s="83"/>
    </row>
    <row r="277" ht="22.5" hidden="1" customHeight="1">
      <c r="A277" s="83"/>
      <c r="B277" s="83"/>
      <c r="C277" s="83"/>
      <c r="D277" s="83"/>
      <c r="E277" s="87"/>
      <c r="F277" s="83"/>
      <c r="G277" s="83"/>
      <c r="H277" s="83"/>
      <c r="I277" s="83"/>
      <c r="J277" s="83"/>
      <c r="K277" s="83"/>
    </row>
    <row r="278" ht="22.5" hidden="1" customHeight="1">
      <c r="A278" s="83"/>
      <c r="B278" s="83"/>
      <c r="C278" s="83"/>
      <c r="D278" s="83"/>
      <c r="E278" s="87"/>
      <c r="F278" s="83"/>
      <c r="G278" s="83"/>
      <c r="H278" s="83"/>
      <c r="I278" s="83"/>
      <c r="J278" s="83"/>
      <c r="K278" s="83"/>
    </row>
    <row r="279" ht="22.5" hidden="1" customHeight="1">
      <c r="A279" s="83"/>
      <c r="B279" s="83"/>
      <c r="C279" s="83"/>
      <c r="D279" s="83"/>
      <c r="E279" s="87"/>
      <c r="F279" s="83"/>
      <c r="G279" s="83"/>
      <c r="H279" s="83"/>
      <c r="I279" s="83"/>
      <c r="J279" s="83"/>
      <c r="K279" s="83"/>
    </row>
    <row r="280" ht="22.5" hidden="1" customHeight="1">
      <c r="A280" s="83"/>
      <c r="B280" s="83"/>
      <c r="C280" s="83"/>
      <c r="D280" s="83"/>
      <c r="E280" s="87"/>
      <c r="F280" s="83"/>
      <c r="G280" s="83"/>
      <c r="H280" s="83"/>
      <c r="I280" s="83"/>
      <c r="J280" s="83"/>
      <c r="K280" s="83"/>
    </row>
    <row r="281" ht="22.5" hidden="1" customHeight="1">
      <c r="A281" s="83"/>
      <c r="B281" s="83"/>
      <c r="C281" s="83"/>
      <c r="D281" s="83"/>
      <c r="E281" s="87"/>
      <c r="F281" s="83"/>
      <c r="G281" s="83"/>
      <c r="H281" s="83"/>
      <c r="I281" s="83"/>
      <c r="J281" s="83"/>
      <c r="K281" s="83"/>
    </row>
    <row r="282" ht="22.5" hidden="1" customHeight="1">
      <c r="A282" s="83"/>
      <c r="B282" s="83"/>
      <c r="C282" s="83"/>
      <c r="D282" s="83"/>
      <c r="E282" s="87"/>
      <c r="F282" s="83"/>
      <c r="G282" s="83"/>
      <c r="H282" s="83"/>
      <c r="I282" s="83"/>
      <c r="J282" s="83"/>
      <c r="K282" s="83"/>
    </row>
    <row r="283" ht="22.5" hidden="1" customHeight="1">
      <c r="A283" s="83"/>
      <c r="B283" s="83"/>
      <c r="C283" s="83"/>
      <c r="D283" s="83"/>
      <c r="E283" s="87"/>
      <c r="F283" s="83"/>
      <c r="G283" s="83"/>
      <c r="H283" s="83"/>
      <c r="I283" s="83"/>
      <c r="J283" s="83"/>
      <c r="K283" s="83"/>
    </row>
    <row r="284" ht="22.5" hidden="1" customHeight="1">
      <c r="A284" s="83"/>
      <c r="B284" s="83"/>
      <c r="C284" s="83"/>
      <c r="D284" s="83"/>
      <c r="E284" s="87"/>
      <c r="F284" s="83"/>
      <c r="G284" s="83"/>
      <c r="H284" s="83"/>
      <c r="I284" s="83"/>
      <c r="J284" s="83"/>
      <c r="K284" s="83"/>
    </row>
    <row r="285" ht="22.5" hidden="1" customHeight="1">
      <c r="A285" s="83"/>
      <c r="B285" s="83"/>
      <c r="C285" s="83"/>
      <c r="D285" s="83"/>
      <c r="E285" s="87"/>
      <c r="F285" s="83"/>
      <c r="G285" s="83"/>
      <c r="H285" s="83"/>
      <c r="I285" s="83"/>
      <c r="J285" s="83"/>
      <c r="K285" s="83"/>
    </row>
    <row r="286" ht="22.5" hidden="1" customHeight="1">
      <c r="A286" s="83"/>
      <c r="B286" s="83"/>
      <c r="C286" s="83"/>
      <c r="D286" s="83"/>
      <c r="E286" s="87"/>
      <c r="F286" s="83"/>
      <c r="G286" s="83"/>
      <c r="H286" s="83"/>
      <c r="I286" s="83"/>
      <c r="J286" s="83"/>
      <c r="K286" s="83"/>
    </row>
    <row r="287" ht="22.5" hidden="1" customHeight="1">
      <c r="A287" s="83"/>
      <c r="B287" s="83"/>
      <c r="C287" s="83"/>
      <c r="D287" s="83"/>
      <c r="E287" s="87"/>
      <c r="F287" s="83"/>
      <c r="G287" s="83"/>
      <c r="H287" s="83"/>
      <c r="I287" s="83"/>
      <c r="J287" s="83"/>
      <c r="K287" s="83"/>
    </row>
    <row r="288" ht="22.5" hidden="1" customHeight="1">
      <c r="A288" s="83"/>
      <c r="B288" s="83"/>
      <c r="C288" s="83"/>
      <c r="D288" s="83"/>
      <c r="E288" s="87"/>
      <c r="F288" s="83"/>
      <c r="G288" s="83"/>
      <c r="H288" s="83"/>
      <c r="I288" s="83"/>
      <c r="J288" s="83"/>
      <c r="K288" s="83"/>
    </row>
    <row r="289" ht="22.5" hidden="1" customHeight="1">
      <c r="A289" s="83"/>
      <c r="B289" s="83"/>
      <c r="C289" s="83"/>
      <c r="D289" s="83"/>
      <c r="E289" s="87"/>
      <c r="F289" s="83"/>
      <c r="G289" s="83"/>
      <c r="H289" s="83"/>
      <c r="I289" s="83"/>
      <c r="J289" s="83"/>
      <c r="K289" s="83"/>
    </row>
    <row r="290" ht="22.5" hidden="1" customHeight="1">
      <c r="A290" s="83"/>
      <c r="B290" s="83"/>
      <c r="C290" s="83"/>
      <c r="D290" s="83"/>
      <c r="E290" s="87"/>
      <c r="F290" s="83"/>
      <c r="G290" s="83"/>
      <c r="H290" s="83"/>
      <c r="I290" s="83"/>
      <c r="J290" s="83"/>
      <c r="K290" s="83"/>
    </row>
    <row r="291" ht="22.5" hidden="1" customHeight="1">
      <c r="A291" s="83"/>
      <c r="B291" s="83"/>
      <c r="C291" s="83"/>
      <c r="D291" s="83"/>
      <c r="E291" s="87"/>
      <c r="F291" s="83"/>
      <c r="G291" s="83"/>
      <c r="H291" s="83"/>
      <c r="I291" s="83"/>
      <c r="J291" s="83"/>
      <c r="K291" s="83"/>
    </row>
    <row r="292" ht="22.5" hidden="1" customHeight="1">
      <c r="A292" s="83"/>
      <c r="B292" s="83"/>
      <c r="C292" s="83"/>
      <c r="D292" s="83"/>
      <c r="E292" s="87"/>
      <c r="F292" s="83"/>
      <c r="G292" s="83"/>
      <c r="H292" s="83"/>
      <c r="I292" s="83"/>
      <c r="J292" s="83"/>
      <c r="K292" s="83"/>
    </row>
    <row r="293" ht="22.5" hidden="1" customHeight="1">
      <c r="A293" s="83"/>
      <c r="B293" s="83"/>
      <c r="C293" s="83"/>
      <c r="D293" s="83"/>
      <c r="E293" s="87"/>
      <c r="F293" s="83"/>
      <c r="G293" s="83"/>
      <c r="H293" s="83"/>
      <c r="I293" s="83"/>
      <c r="J293" s="83"/>
      <c r="K293" s="83"/>
    </row>
    <row r="294" ht="22.5" hidden="1" customHeight="1">
      <c r="A294" s="83"/>
      <c r="B294" s="83"/>
      <c r="C294" s="83"/>
      <c r="D294" s="83"/>
      <c r="E294" s="87"/>
      <c r="F294" s="83"/>
      <c r="G294" s="83"/>
      <c r="H294" s="83"/>
      <c r="I294" s="83"/>
      <c r="J294" s="83"/>
      <c r="K294" s="83"/>
    </row>
    <row r="295" ht="22.5" hidden="1" customHeight="1">
      <c r="A295" s="83"/>
      <c r="B295" s="83"/>
      <c r="C295" s="83"/>
      <c r="D295" s="83"/>
      <c r="E295" s="87"/>
      <c r="F295" s="83"/>
      <c r="G295" s="83"/>
      <c r="H295" s="83"/>
      <c r="I295" s="83"/>
      <c r="J295" s="83"/>
      <c r="K295" s="83"/>
    </row>
    <row r="296" ht="22.5" hidden="1" customHeight="1">
      <c r="A296" s="83"/>
      <c r="B296" s="83"/>
      <c r="C296" s="83"/>
      <c r="D296" s="83"/>
      <c r="E296" s="87"/>
      <c r="F296" s="83"/>
      <c r="G296" s="83"/>
      <c r="H296" s="83"/>
      <c r="I296" s="83"/>
      <c r="J296" s="83"/>
      <c r="K296" s="83"/>
    </row>
    <row r="297" ht="22.5" hidden="1" customHeight="1">
      <c r="A297" s="83"/>
      <c r="B297" s="83"/>
      <c r="C297" s="83"/>
      <c r="D297" s="83"/>
      <c r="E297" s="87"/>
      <c r="F297" s="83"/>
      <c r="G297" s="83"/>
      <c r="H297" s="83"/>
      <c r="I297" s="83"/>
      <c r="J297" s="83"/>
      <c r="K297" s="83"/>
    </row>
    <row r="298" ht="22.5" hidden="1" customHeight="1">
      <c r="A298" s="83"/>
      <c r="B298" s="83"/>
      <c r="C298" s="83"/>
      <c r="D298" s="83"/>
      <c r="E298" s="87"/>
      <c r="F298" s="83"/>
      <c r="G298" s="83"/>
      <c r="H298" s="83"/>
      <c r="I298" s="83"/>
      <c r="J298" s="83"/>
      <c r="K298" s="83"/>
    </row>
    <row r="299" ht="22.5" hidden="1" customHeight="1">
      <c r="A299" s="83"/>
      <c r="B299" s="83"/>
      <c r="C299" s="83"/>
      <c r="D299" s="83"/>
      <c r="E299" s="87"/>
      <c r="F299" s="83"/>
      <c r="G299" s="83"/>
      <c r="H299" s="83"/>
      <c r="I299" s="83"/>
      <c r="J299" s="83"/>
      <c r="K299" s="83"/>
    </row>
    <row r="300" ht="22.5" hidden="1" customHeight="1">
      <c r="A300" s="83"/>
      <c r="B300" s="83"/>
      <c r="C300" s="83"/>
      <c r="D300" s="83"/>
      <c r="E300" s="87"/>
      <c r="F300" s="83"/>
      <c r="G300" s="83"/>
      <c r="H300" s="83"/>
      <c r="I300" s="83"/>
      <c r="J300" s="83"/>
      <c r="K300" s="83"/>
    </row>
    <row r="301" ht="22.5" hidden="1" customHeight="1">
      <c r="A301" s="83"/>
      <c r="B301" s="83"/>
      <c r="C301" s="83"/>
      <c r="D301" s="83"/>
      <c r="E301" s="87"/>
      <c r="F301" s="83"/>
      <c r="G301" s="83"/>
      <c r="H301" s="83"/>
      <c r="I301" s="83"/>
      <c r="J301" s="83"/>
      <c r="K301" s="83"/>
    </row>
    <row r="302" ht="22.5" hidden="1" customHeight="1">
      <c r="A302" s="83"/>
      <c r="B302" s="83"/>
      <c r="C302" s="83"/>
      <c r="D302" s="83"/>
      <c r="E302" s="87"/>
      <c r="F302" s="83"/>
      <c r="G302" s="83"/>
      <c r="H302" s="83"/>
      <c r="I302" s="83"/>
      <c r="J302" s="83"/>
      <c r="K302" s="83"/>
    </row>
    <row r="303" ht="22.5" hidden="1" customHeight="1">
      <c r="A303" s="83"/>
      <c r="B303" s="83"/>
      <c r="C303" s="83"/>
      <c r="D303" s="83"/>
      <c r="E303" s="87"/>
      <c r="F303" s="83"/>
      <c r="G303" s="83"/>
      <c r="H303" s="83"/>
      <c r="I303" s="83"/>
      <c r="J303" s="83"/>
      <c r="K303" s="83"/>
    </row>
    <row r="304" ht="22.5" hidden="1" customHeight="1">
      <c r="A304" s="83"/>
      <c r="B304" s="83"/>
      <c r="C304" s="83"/>
      <c r="D304" s="83"/>
      <c r="E304" s="87"/>
      <c r="F304" s="83"/>
      <c r="G304" s="83"/>
      <c r="H304" s="83"/>
      <c r="I304" s="83"/>
      <c r="J304" s="83"/>
      <c r="K304" s="83"/>
    </row>
    <row r="305" ht="22.5" hidden="1" customHeight="1">
      <c r="A305" s="83"/>
      <c r="B305" s="83"/>
      <c r="C305" s="83"/>
      <c r="D305" s="83"/>
      <c r="E305" s="87"/>
      <c r="F305" s="83"/>
      <c r="G305" s="83"/>
      <c r="H305" s="83"/>
      <c r="I305" s="83"/>
      <c r="J305" s="83"/>
      <c r="K305" s="83"/>
    </row>
    <row r="306" ht="22.5" hidden="1" customHeight="1">
      <c r="A306" s="83"/>
      <c r="B306" s="83"/>
      <c r="C306" s="83"/>
      <c r="D306" s="83"/>
      <c r="E306" s="87"/>
      <c r="F306" s="83"/>
      <c r="G306" s="83"/>
      <c r="H306" s="83"/>
      <c r="I306" s="83"/>
      <c r="J306" s="83"/>
      <c r="K306" s="83"/>
    </row>
    <row r="307" ht="22.5" hidden="1" customHeight="1">
      <c r="A307" s="83"/>
      <c r="B307" s="83"/>
      <c r="C307" s="83"/>
      <c r="D307" s="83"/>
      <c r="E307" s="87"/>
      <c r="F307" s="83"/>
      <c r="G307" s="83"/>
      <c r="H307" s="83"/>
      <c r="I307" s="83"/>
      <c r="J307" s="83"/>
      <c r="K307" s="83"/>
    </row>
    <row r="308" ht="22.5" hidden="1" customHeight="1">
      <c r="A308" s="83"/>
      <c r="B308" s="83"/>
      <c r="C308" s="83"/>
      <c r="D308" s="83"/>
      <c r="E308" s="87"/>
      <c r="F308" s="83"/>
      <c r="G308" s="83"/>
      <c r="H308" s="83"/>
      <c r="I308" s="83"/>
      <c r="J308" s="83"/>
      <c r="K308" s="83"/>
    </row>
    <row r="309" ht="22.5" hidden="1" customHeight="1">
      <c r="A309" s="83"/>
      <c r="B309" s="83"/>
      <c r="C309" s="83"/>
      <c r="D309" s="83"/>
      <c r="E309" s="87"/>
      <c r="F309" s="83"/>
      <c r="G309" s="83"/>
      <c r="H309" s="83"/>
      <c r="I309" s="83"/>
      <c r="J309" s="83"/>
      <c r="K309" s="83"/>
    </row>
    <row r="310" ht="22.5" hidden="1" customHeight="1">
      <c r="A310" s="83"/>
      <c r="B310" s="83"/>
      <c r="C310" s="83"/>
      <c r="D310" s="83"/>
      <c r="E310" s="87"/>
      <c r="F310" s="83"/>
      <c r="G310" s="83"/>
      <c r="H310" s="83"/>
      <c r="I310" s="83"/>
      <c r="J310" s="83"/>
      <c r="K310" s="83"/>
    </row>
    <row r="311" ht="22.5" hidden="1" customHeight="1">
      <c r="A311" s="83"/>
      <c r="B311" s="83"/>
      <c r="C311" s="83"/>
      <c r="D311" s="83"/>
      <c r="E311" s="87"/>
      <c r="F311" s="83"/>
      <c r="G311" s="83"/>
      <c r="H311" s="83"/>
      <c r="I311" s="83"/>
      <c r="J311" s="83"/>
      <c r="K311" s="83"/>
    </row>
    <row r="312" ht="22.5" hidden="1" customHeight="1">
      <c r="A312" s="83"/>
      <c r="B312" s="83"/>
      <c r="C312" s="83"/>
      <c r="D312" s="83"/>
      <c r="E312" s="87"/>
      <c r="F312" s="83"/>
      <c r="G312" s="83"/>
      <c r="H312" s="83"/>
      <c r="I312" s="83"/>
      <c r="J312" s="83"/>
      <c r="K312" s="83"/>
    </row>
    <row r="313" ht="22.5" hidden="1" customHeight="1">
      <c r="A313" s="83"/>
      <c r="B313" s="83"/>
      <c r="C313" s="83"/>
      <c r="D313" s="83"/>
      <c r="E313" s="87"/>
      <c r="F313" s="83"/>
      <c r="G313" s="83"/>
      <c r="H313" s="83"/>
      <c r="I313" s="83"/>
      <c r="J313" s="83"/>
      <c r="K313" s="83"/>
    </row>
    <row r="314" ht="22.5" hidden="1" customHeight="1">
      <c r="A314" s="83"/>
      <c r="B314" s="83"/>
      <c r="C314" s="83"/>
      <c r="D314" s="83"/>
      <c r="E314" s="87"/>
      <c r="F314" s="83"/>
      <c r="G314" s="83"/>
      <c r="H314" s="83"/>
      <c r="I314" s="83"/>
      <c r="J314" s="83"/>
      <c r="K314" s="83"/>
    </row>
    <row r="315" ht="22.5" hidden="1" customHeight="1">
      <c r="A315" s="83"/>
      <c r="B315" s="83"/>
      <c r="C315" s="83"/>
      <c r="D315" s="83"/>
      <c r="E315" s="87"/>
      <c r="F315" s="83"/>
      <c r="G315" s="83"/>
      <c r="H315" s="83"/>
      <c r="I315" s="83"/>
      <c r="J315" s="83"/>
      <c r="K315" s="83"/>
    </row>
    <row r="316" ht="22.5" hidden="1" customHeight="1">
      <c r="A316" s="83"/>
      <c r="B316" s="83"/>
      <c r="C316" s="83"/>
      <c r="D316" s="83"/>
      <c r="E316" s="87"/>
      <c r="F316" s="83"/>
      <c r="G316" s="83"/>
      <c r="H316" s="83"/>
      <c r="I316" s="83"/>
      <c r="J316" s="83"/>
      <c r="K316" s="83"/>
    </row>
    <row r="317" ht="22.5" hidden="1" customHeight="1">
      <c r="A317" s="83"/>
      <c r="B317" s="83"/>
      <c r="C317" s="83"/>
      <c r="D317" s="83"/>
      <c r="E317" s="87"/>
      <c r="F317" s="83"/>
      <c r="G317" s="83"/>
      <c r="H317" s="83"/>
      <c r="I317" s="83"/>
      <c r="J317" s="83"/>
      <c r="K317" s="83"/>
    </row>
    <row r="318" ht="22.5" hidden="1" customHeight="1">
      <c r="A318" s="83"/>
      <c r="B318" s="83"/>
      <c r="C318" s="83"/>
      <c r="D318" s="83"/>
      <c r="E318" s="87"/>
      <c r="F318" s="83"/>
      <c r="G318" s="83"/>
      <c r="H318" s="83"/>
      <c r="I318" s="83"/>
      <c r="J318" s="83"/>
      <c r="K318" s="83"/>
    </row>
    <row r="319" ht="22.5" hidden="1" customHeight="1">
      <c r="A319" s="83"/>
      <c r="B319" s="83"/>
      <c r="C319" s="83"/>
      <c r="D319" s="83"/>
      <c r="E319" s="87"/>
      <c r="F319" s="83"/>
      <c r="G319" s="83"/>
      <c r="H319" s="83"/>
      <c r="I319" s="83"/>
      <c r="J319" s="83"/>
      <c r="K319" s="83"/>
    </row>
    <row r="320" ht="22.5" hidden="1" customHeight="1">
      <c r="A320" s="83"/>
      <c r="B320" s="83"/>
      <c r="C320" s="83"/>
      <c r="D320" s="83"/>
      <c r="E320" s="87"/>
      <c r="F320" s="83"/>
      <c r="G320" s="83"/>
      <c r="H320" s="83"/>
      <c r="I320" s="83"/>
      <c r="J320" s="83"/>
      <c r="K320" s="83"/>
    </row>
    <row r="321" ht="22.5" hidden="1" customHeight="1">
      <c r="A321" s="83"/>
      <c r="B321" s="83"/>
      <c r="C321" s="83"/>
      <c r="D321" s="83"/>
      <c r="E321" s="87"/>
      <c r="F321" s="83"/>
      <c r="G321" s="83"/>
      <c r="H321" s="83"/>
      <c r="I321" s="83"/>
      <c r="J321" s="83"/>
      <c r="K321" s="83"/>
    </row>
    <row r="322" ht="22.5" hidden="1" customHeight="1">
      <c r="A322" s="83"/>
      <c r="B322" s="83"/>
      <c r="C322" s="83"/>
      <c r="D322" s="83"/>
      <c r="E322" s="87"/>
      <c r="F322" s="83"/>
      <c r="G322" s="83"/>
      <c r="H322" s="83"/>
      <c r="I322" s="83"/>
      <c r="J322" s="83"/>
      <c r="K322" s="83"/>
    </row>
    <row r="323" ht="22.5" hidden="1" customHeight="1">
      <c r="A323" s="83"/>
      <c r="B323" s="83"/>
      <c r="C323" s="83"/>
      <c r="D323" s="83"/>
      <c r="E323" s="87"/>
      <c r="F323" s="83"/>
      <c r="G323" s="83"/>
      <c r="H323" s="83"/>
      <c r="I323" s="83"/>
      <c r="J323" s="83"/>
      <c r="K323" s="83"/>
    </row>
    <row r="324" ht="22.5" hidden="1" customHeight="1">
      <c r="A324" s="83"/>
      <c r="B324" s="83"/>
      <c r="C324" s="83"/>
      <c r="D324" s="83"/>
      <c r="E324" s="87"/>
      <c r="F324" s="83"/>
      <c r="G324" s="83"/>
      <c r="H324" s="83"/>
      <c r="I324" s="83"/>
      <c r="J324" s="83"/>
      <c r="K324" s="83"/>
    </row>
    <row r="325" ht="22.5" hidden="1" customHeight="1">
      <c r="A325" s="83"/>
      <c r="B325" s="83"/>
      <c r="C325" s="83"/>
      <c r="D325" s="83"/>
      <c r="E325" s="87"/>
      <c r="F325" s="83"/>
      <c r="G325" s="83"/>
      <c r="H325" s="83"/>
      <c r="I325" s="83"/>
      <c r="J325" s="83"/>
      <c r="K325" s="83"/>
    </row>
    <row r="326" ht="22.5" hidden="1" customHeight="1">
      <c r="A326" s="83"/>
      <c r="B326" s="83"/>
      <c r="C326" s="83"/>
      <c r="D326" s="83"/>
      <c r="E326" s="87"/>
      <c r="F326" s="83"/>
      <c r="G326" s="83"/>
      <c r="H326" s="83"/>
      <c r="I326" s="83"/>
      <c r="J326" s="83"/>
      <c r="K326" s="83"/>
    </row>
    <row r="327" ht="22.5" hidden="1" customHeight="1">
      <c r="A327" s="83"/>
      <c r="B327" s="83"/>
      <c r="C327" s="83"/>
      <c r="D327" s="83"/>
      <c r="E327" s="87"/>
      <c r="F327" s="83"/>
      <c r="G327" s="83"/>
      <c r="H327" s="83"/>
      <c r="I327" s="83"/>
      <c r="J327" s="83"/>
      <c r="K327" s="83"/>
    </row>
    <row r="328" ht="22.5" hidden="1" customHeight="1">
      <c r="A328" s="83"/>
      <c r="B328" s="83"/>
      <c r="C328" s="83"/>
      <c r="D328" s="83"/>
      <c r="E328" s="87"/>
      <c r="F328" s="83"/>
      <c r="G328" s="83"/>
      <c r="H328" s="83"/>
      <c r="I328" s="83"/>
      <c r="J328" s="83"/>
      <c r="K328" s="83"/>
    </row>
    <row r="329" ht="22.5" hidden="1" customHeight="1">
      <c r="A329" s="83"/>
      <c r="B329" s="83"/>
      <c r="C329" s="83"/>
      <c r="D329" s="83"/>
      <c r="E329" s="87"/>
      <c r="F329" s="83"/>
      <c r="G329" s="83"/>
      <c r="H329" s="83"/>
      <c r="I329" s="83"/>
      <c r="J329" s="83"/>
      <c r="K329" s="83"/>
    </row>
    <row r="330" ht="22.5" hidden="1" customHeight="1">
      <c r="A330" s="83"/>
      <c r="B330" s="83"/>
      <c r="C330" s="83"/>
      <c r="D330" s="83"/>
      <c r="E330" s="87"/>
      <c r="F330" s="83"/>
      <c r="G330" s="83"/>
      <c r="H330" s="83"/>
      <c r="I330" s="83"/>
      <c r="J330" s="83"/>
      <c r="K330" s="83"/>
    </row>
    <row r="331" ht="22.5" hidden="1" customHeight="1">
      <c r="A331" s="83"/>
      <c r="B331" s="83"/>
      <c r="C331" s="83"/>
      <c r="D331" s="83"/>
      <c r="E331" s="87"/>
      <c r="F331" s="83"/>
      <c r="G331" s="83"/>
      <c r="H331" s="83"/>
      <c r="I331" s="83"/>
      <c r="J331" s="83"/>
      <c r="K331" s="83"/>
    </row>
    <row r="332" ht="22.5" hidden="1" customHeight="1">
      <c r="A332" s="83"/>
      <c r="B332" s="83"/>
      <c r="C332" s="83"/>
      <c r="D332" s="83"/>
      <c r="E332" s="87"/>
      <c r="F332" s="83"/>
      <c r="G332" s="83"/>
      <c r="H332" s="83"/>
      <c r="I332" s="83"/>
      <c r="J332" s="83"/>
      <c r="K332" s="83"/>
    </row>
    <row r="333" ht="22.5" hidden="1" customHeight="1">
      <c r="A333" s="83"/>
      <c r="B333" s="83"/>
      <c r="C333" s="83"/>
      <c r="D333" s="83"/>
      <c r="E333" s="87"/>
      <c r="F333" s="83"/>
      <c r="G333" s="83"/>
      <c r="H333" s="83"/>
      <c r="I333" s="83"/>
      <c r="J333" s="83"/>
      <c r="K333" s="83"/>
    </row>
    <row r="334" ht="22.5" hidden="1" customHeight="1">
      <c r="A334" s="83"/>
      <c r="B334" s="83"/>
      <c r="C334" s="83"/>
      <c r="D334" s="83"/>
      <c r="E334" s="87"/>
      <c r="F334" s="83"/>
      <c r="G334" s="83"/>
      <c r="H334" s="83"/>
      <c r="I334" s="83"/>
      <c r="J334" s="83"/>
      <c r="K334" s="83"/>
    </row>
    <row r="335" ht="22.5" hidden="1" customHeight="1">
      <c r="A335" s="83"/>
      <c r="B335" s="83"/>
      <c r="C335" s="83"/>
      <c r="D335" s="83"/>
      <c r="E335" s="87"/>
      <c r="F335" s="83"/>
      <c r="G335" s="83"/>
      <c r="H335" s="83"/>
      <c r="I335" s="83"/>
      <c r="J335" s="83"/>
      <c r="K335" s="83"/>
    </row>
    <row r="336" ht="22.5" hidden="1" customHeight="1">
      <c r="A336" s="83"/>
      <c r="B336" s="83"/>
      <c r="C336" s="83"/>
      <c r="D336" s="83"/>
      <c r="E336" s="87"/>
      <c r="F336" s="83"/>
      <c r="G336" s="83"/>
      <c r="H336" s="83"/>
      <c r="I336" s="83"/>
      <c r="J336" s="83"/>
      <c r="K336" s="83"/>
    </row>
    <row r="337" ht="22.5" hidden="1" customHeight="1">
      <c r="A337" s="83"/>
      <c r="B337" s="83"/>
      <c r="C337" s="83"/>
      <c r="D337" s="83"/>
      <c r="E337" s="87"/>
      <c r="F337" s="83"/>
      <c r="G337" s="83"/>
      <c r="H337" s="83"/>
      <c r="I337" s="83"/>
      <c r="J337" s="83"/>
      <c r="K337" s="83"/>
    </row>
    <row r="338" ht="22.5" hidden="1" customHeight="1">
      <c r="A338" s="83"/>
      <c r="B338" s="83"/>
      <c r="C338" s="83"/>
      <c r="D338" s="83"/>
      <c r="E338" s="87"/>
      <c r="F338" s="83"/>
      <c r="G338" s="83"/>
      <c r="H338" s="83"/>
      <c r="I338" s="83"/>
      <c r="J338" s="83"/>
      <c r="K338" s="83"/>
    </row>
    <row r="339" ht="22.5" hidden="1" customHeight="1">
      <c r="A339" s="83"/>
      <c r="B339" s="83"/>
      <c r="C339" s="83"/>
      <c r="D339" s="83"/>
      <c r="E339" s="87"/>
      <c r="F339" s="83"/>
      <c r="G339" s="83"/>
      <c r="H339" s="83"/>
      <c r="I339" s="83"/>
      <c r="J339" s="83"/>
      <c r="K339" s="83"/>
    </row>
    <row r="340" ht="22.5" hidden="1" customHeight="1">
      <c r="A340" s="83"/>
      <c r="B340" s="83"/>
      <c r="C340" s="83"/>
      <c r="D340" s="83"/>
      <c r="E340" s="87"/>
      <c r="F340" s="83"/>
      <c r="G340" s="83"/>
      <c r="H340" s="83"/>
      <c r="I340" s="83"/>
      <c r="J340" s="83"/>
      <c r="K340" s="83"/>
    </row>
    <row r="341" ht="22.5" hidden="1" customHeight="1">
      <c r="A341" s="83"/>
      <c r="B341" s="83"/>
      <c r="C341" s="83"/>
      <c r="D341" s="83"/>
      <c r="E341" s="87"/>
      <c r="F341" s="83"/>
      <c r="G341" s="83"/>
      <c r="H341" s="83"/>
      <c r="I341" s="83"/>
      <c r="J341" s="83"/>
      <c r="K341" s="83"/>
    </row>
    <row r="342" ht="22.5" hidden="1" customHeight="1">
      <c r="A342" s="83"/>
      <c r="B342" s="83"/>
      <c r="C342" s="83"/>
      <c r="D342" s="83"/>
      <c r="E342" s="87"/>
      <c r="F342" s="83"/>
      <c r="G342" s="83"/>
      <c r="H342" s="83"/>
      <c r="I342" s="83"/>
      <c r="J342" s="83"/>
      <c r="K342" s="83"/>
    </row>
    <row r="343" ht="22.5" hidden="1" customHeight="1">
      <c r="A343" s="83"/>
      <c r="B343" s="83"/>
      <c r="C343" s="83"/>
      <c r="D343" s="83"/>
      <c r="E343" s="87"/>
      <c r="F343" s="83"/>
      <c r="G343" s="83"/>
      <c r="H343" s="83"/>
      <c r="I343" s="83"/>
      <c r="J343" s="83"/>
      <c r="K343" s="83"/>
    </row>
    <row r="344" ht="22.5" hidden="1" customHeight="1">
      <c r="A344" s="83"/>
      <c r="B344" s="83"/>
      <c r="C344" s="83"/>
      <c r="D344" s="83"/>
      <c r="E344" s="87"/>
      <c r="F344" s="83"/>
      <c r="G344" s="83"/>
      <c r="H344" s="83"/>
      <c r="I344" s="83"/>
      <c r="J344" s="83"/>
      <c r="K344" s="83"/>
    </row>
    <row r="345" ht="22.5" hidden="1" customHeight="1">
      <c r="A345" s="83"/>
      <c r="B345" s="83"/>
      <c r="C345" s="83"/>
      <c r="D345" s="83"/>
      <c r="E345" s="87"/>
      <c r="F345" s="83"/>
      <c r="G345" s="83"/>
      <c r="H345" s="83"/>
      <c r="I345" s="83"/>
      <c r="J345" s="83"/>
      <c r="K345" s="83"/>
    </row>
    <row r="346" ht="22.5" hidden="1" customHeight="1">
      <c r="A346" s="83"/>
      <c r="B346" s="83"/>
      <c r="C346" s="83"/>
      <c r="D346" s="83"/>
      <c r="E346" s="87"/>
      <c r="F346" s="83"/>
      <c r="G346" s="83"/>
      <c r="H346" s="83"/>
      <c r="I346" s="83"/>
      <c r="J346" s="83"/>
      <c r="K346" s="83"/>
    </row>
    <row r="347" ht="22.5" hidden="1" customHeight="1">
      <c r="A347" s="83"/>
      <c r="B347" s="83"/>
      <c r="C347" s="83"/>
      <c r="D347" s="83"/>
      <c r="E347" s="87"/>
      <c r="F347" s="83"/>
      <c r="G347" s="83"/>
      <c r="H347" s="83"/>
      <c r="I347" s="83"/>
      <c r="J347" s="83"/>
      <c r="K347" s="83"/>
    </row>
    <row r="348" ht="22.5" hidden="1" customHeight="1">
      <c r="A348" s="83"/>
      <c r="B348" s="83"/>
      <c r="C348" s="83"/>
      <c r="D348" s="83"/>
      <c r="E348" s="87"/>
      <c r="F348" s="83"/>
      <c r="G348" s="83"/>
      <c r="H348" s="83"/>
      <c r="I348" s="83"/>
      <c r="J348" s="83"/>
      <c r="K348" s="83"/>
    </row>
    <row r="349" ht="22.5" hidden="1" customHeight="1">
      <c r="A349" s="83"/>
      <c r="B349" s="83"/>
      <c r="C349" s="83"/>
      <c r="D349" s="83"/>
      <c r="E349" s="87"/>
      <c r="F349" s="83"/>
      <c r="G349" s="83"/>
      <c r="H349" s="83"/>
      <c r="I349" s="83"/>
      <c r="J349" s="83"/>
      <c r="K349" s="83"/>
    </row>
    <row r="350" ht="22.5" hidden="1" customHeight="1">
      <c r="A350" s="83"/>
      <c r="B350" s="83"/>
      <c r="C350" s="83"/>
      <c r="D350" s="83"/>
      <c r="E350" s="87"/>
      <c r="F350" s="83"/>
      <c r="G350" s="83"/>
      <c r="H350" s="83"/>
      <c r="I350" s="83"/>
      <c r="J350" s="83"/>
      <c r="K350" s="83"/>
    </row>
    <row r="351" ht="22.5" hidden="1" customHeight="1">
      <c r="A351" s="83"/>
      <c r="B351" s="83"/>
      <c r="C351" s="83"/>
      <c r="D351" s="83"/>
      <c r="E351" s="87"/>
      <c r="F351" s="83"/>
      <c r="G351" s="83"/>
      <c r="H351" s="83"/>
      <c r="I351" s="83"/>
      <c r="J351" s="83"/>
      <c r="K351" s="83"/>
    </row>
    <row r="352" ht="22.5" hidden="1" customHeight="1">
      <c r="A352" s="83"/>
      <c r="B352" s="83"/>
      <c r="C352" s="83"/>
      <c r="D352" s="83"/>
      <c r="E352" s="87"/>
      <c r="F352" s="83"/>
      <c r="G352" s="83"/>
      <c r="H352" s="83"/>
      <c r="I352" s="83"/>
      <c r="J352" s="83"/>
      <c r="K352" s="83"/>
    </row>
    <row r="353" ht="22.5" hidden="1" customHeight="1">
      <c r="A353" s="83"/>
      <c r="B353" s="83"/>
      <c r="C353" s="83"/>
      <c r="D353" s="83"/>
      <c r="E353" s="87"/>
      <c r="F353" s="83"/>
      <c r="G353" s="83"/>
      <c r="H353" s="83"/>
      <c r="I353" s="83"/>
      <c r="J353" s="83"/>
      <c r="K353" s="83"/>
    </row>
    <row r="354" ht="22.5" hidden="1" customHeight="1">
      <c r="A354" s="83"/>
      <c r="B354" s="83"/>
      <c r="C354" s="83"/>
      <c r="D354" s="83"/>
      <c r="E354" s="87"/>
      <c r="F354" s="83"/>
      <c r="G354" s="83"/>
      <c r="H354" s="83"/>
      <c r="I354" s="83"/>
      <c r="J354" s="83"/>
      <c r="K354" s="83"/>
    </row>
    <row r="355" ht="22.5" hidden="1" customHeight="1">
      <c r="A355" s="83"/>
      <c r="B355" s="83"/>
      <c r="C355" s="83"/>
      <c r="D355" s="83"/>
      <c r="E355" s="87"/>
      <c r="F355" s="83"/>
      <c r="G355" s="83"/>
      <c r="H355" s="83"/>
      <c r="I355" s="83"/>
      <c r="J355" s="83"/>
      <c r="K355" s="83"/>
    </row>
    <row r="356" ht="22.5" hidden="1" customHeight="1">
      <c r="A356" s="83"/>
      <c r="B356" s="83"/>
      <c r="C356" s="83"/>
      <c r="D356" s="83"/>
      <c r="E356" s="87"/>
      <c r="F356" s="83"/>
      <c r="G356" s="83"/>
      <c r="H356" s="83"/>
      <c r="I356" s="83"/>
      <c r="J356" s="83"/>
      <c r="K356" s="83"/>
    </row>
    <row r="357" ht="22.5" hidden="1" customHeight="1">
      <c r="A357" s="83"/>
      <c r="B357" s="83"/>
      <c r="C357" s="83"/>
      <c r="D357" s="83"/>
      <c r="E357" s="87"/>
      <c r="F357" s="83"/>
      <c r="G357" s="83"/>
      <c r="H357" s="83"/>
      <c r="I357" s="83"/>
      <c r="J357" s="83"/>
      <c r="K357" s="83"/>
    </row>
    <row r="358" ht="22.5" hidden="1" customHeight="1">
      <c r="A358" s="83"/>
      <c r="B358" s="83"/>
      <c r="C358" s="83"/>
      <c r="D358" s="83"/>
      <c r="E358" s="87"/>
      <c r="F358" s="83"/>
      <c r="G358" s="83"/>
      <c r="H358" s="83"/>
      <c r="I358" s="83"/>
      <c r="J358" s="83"/>
      <c r="K358" s="83"/>
    </row>
    <row r="359" ht="22.5" hidden="1" customHeight="1">
      <c r="A359" s="83"/>
      <c r="B359" s="83"/>
      <c r="C359" s="83"/>
      <c r="D359" s="83"/>
      <c r="E359" s="87"/>
      <c r="F359" s="83"/>
      <c r="G359" s="83"/>
      <c r="H359" s="83"/>
      <c r="I359" s="83"/>
      <c r="J359" s="83"/>
      <c r="K359" s="83"/>
    </row>
    <row r="360" ht="22.5" hidden="1" customHeight="1">
      <c r="A360" s="83"/>
      <c r="B360" s="83"/>
      <c r="C360" s="83"/>
      <c r="D360" s="83"/>
      <c r="E360" s="87"/>
      <c r="F360" s="83"/>
      <c r="G360" s="83"/>
      <c r="H360" s="83"/>
      <c r="I360" s="83"/>
      <c r="J360" s="83"/>
      <c r="K360" s="83"/>
    </row>
    <row r="361" ht="22.5" hidden="1" customHeight="1">
      <c r="A361" s="83"/>
      <c r="B361" s="83"/>
      <c r="C361" s="83"/>
      <c r="D361" s="83"/>
      <c r="E361" s="87"/>
      <c r="F361" s="83"/>
      <c r="G361" s="83"/>
      <c r="H361" s="83"/>
      <c r="I361" s="83"/>
      <c r="J361" s="83"/>
      <c r="K361" s="83"/>
    </row>
    <row r="362" ht="22.5" hidden="1" customHeight="1">
      <c r="A362" s="83"/>
      <c r="B362" s="83"/>
      <c r="C362" s="83"/>
      <c r="D362" s="83"/>
      <c r="E362" s="87"/>
      <c r="F362" s="83"/>
      <c r="G362" s="83"/>
      <c r="H362" s="83"/>
      <c r="I362" s="83"/>
      <c r="J362" s="83"/>
      <c r="K362" s="83"/>
    </row>
    <row r="363" ht="22.5" hidden="1" customHeight="1">
      <c r="A363" s="83"/>
      <c r="B363" s="83"/>
      <c r="C363" s="83"/>
      <c r="D363" s="83"/>
      <c r="E363" s="87"/>
      <c r="F363" s="83"/>
      <c r="G363" s="83"/>
      <c r="H363" s="83"/>
      <c r="I363" s="83"/>
      <c r="J363" s="83"/>
      <c r="K363" s="83"/>
    </row>
    <row r="364" ht="22.5" hidden="1" customHeight="1">
      <c r="A364" s="83"/>
      <c r="B364" s="83"/>
      <c r="C364" s="83"/>
      <c r="D364" s="83"/>
      <c r="E364" s="87"/>
      <c r="F364" s="83"/>
      <c r="G364" s="83"/>
      <c r="H364" s="83"/>
      <c r="I364" s="83"/>
      <c r="J364" s="83"/>
      <c r="K364" s="83"/>
    </row>
    <row r="365" ht="22.5" hidden="1" customHeight="1">
      <c r="A365" s="83"/>
      <c r="B365" s="83"/>
      <c r="C365" s="83"/>
      <c r="D365" s="83"/>
      <c r="E365" s="87"/>
      <c r="F365" s="83"/>
      <c r="G365" s="83"/>
      <c r="H365" s="83"/>
      <c r="I365" s="83"/>
      <c r="J365" s="83"/>
      <c r="K365" s="83"/>
    </row>
    <row r="366" ht="22.5" hidden="1" customHeight="1">
      <c r="A366" s="83"/>
      <c r="B366" s="83"/>
      <c r="C366" s="83"/>
      <c r="D366" s="83"/>
      <c r="E366" s="87"/>
      <c r="F366" s="83"/>
      <c r="G366" s="83"/>
      <c r="H366" s="83"/>
      <c r="I366" s="83"/>
      <c r="J366" s="83"/>
      <c r="K366" s="83"/>
    </row>
    <row r="367" ht="22.5" hidden="1" customHeight="1">
      <c r="A367" s="83"/>
      <c r="B367" s="83"/>
      <c r="C367" s="83"/>
      <c r="D367" s="83"/>
      <c r="E367" s="87"/>
      <c r="F367" s="83"/>
      <c r="G367" s="83"/>
      <c r="H367" s="83"/>
      <c r="I367" s="83"/>
      <c r="J367" s="83"/>
      <c r="K367" s="83"/>
    </row>
    <row r="368" ht="22.5" hidden="1" customHeight="1">
      <c r="A368" s="83"/>
      <c r="B368" s="83"/>
      <c r="C368" s="83"/>
      <c r="D368" s="83"/>
      <c r="E368" s="87"/>
      <c r="F368" s="83"/>
      <c r="G368" s="83"/>
      <c r="H368" s="83"/>
      <c r="I368" s="83"/>
      <c r="J368" s="83"/>
      <c r="K368" s="83"/>
    </row>
    <row r="369" ht="22.5" hidden="1" customHeight="1">
      <c r="A369" s="83"/>
      <c r="B369" s="83"/>
      <c r="C369" s="83"/>
      <c r="D369" s="83"/>
      <c r="E369" s="87"/>
      <c r="F369" s="83"/>
      <c r="G369" s="83"/>
      <c r="H369" s="83"/>
      <c r="I369" s="83"/>
      <c r="J369" s="83"/>
      <c r="K369" s="83"/>
    </row>
    <row r="370" ht="22.5" hidden="1" customHeight="1">
      <c r="A370" s="83"/>
      <c r="B370" s="83"/>
      <c r="C370" s="83"/>
      <c r="D370" s="83"/>
      <c r="E370" s="87"/>
      <c r="F370" s="83"/>
      <c r="G370" s="83"/>
      <c r="H370" s="83"/>
      <c r="I370" s="83"/>
      <c r="J370" s="83"/>
      <c r="K370" s="83"/>
    </row>
    <row r="371" ht="22.5" hidden="1" customHeight="1">
      <c r="A371" s="83"/>
      <c r="B371" s="83"/>
      <c r="C371" s="83"/>
      <c r="D371" s="83"/>
      <c r="E371" s="87"/>
      <c r="F371" s="83"/>
      <c r="G371" s="83"/>
      <c r="H371" s="83"/>
      <c r="I371" s="83"/>
      <c r="J371" s="83"/>
      <c r="K371" s="83"/>
    </row>
    <row r="372" ht="22.5" hidden="1" customHeight="1">
      <c r="A372" s="83"/>
      <c r="B372" s="83"/>
      <c r="C372" s="83"/>
      <c r="D372" s="83"/>
      <c r="E372" s="87"/>
      <c r="F372" s="83"/>
      <c r="G372" s="83"/>
      <c r="H372" s="83"/>
      <c r="I372" s="83"/>
      <c r="J372" s="83"/>
      <c r="K372" s="83"/>
    </row>
    <row r="373" ht="22.5" hidden="1" customHeight="1">
      <c r="A373" s="83"/>
      <c r="B373" s="83"/>
      <c r="C373" s="83"/>
      <c r="D373" s="83"/>
      <c r="E373" s="87"/>
      <c r="F373" s="83"/>
      <c r="G373" s="83"/>
      <c r="H373" s="83"/>
      <c r="I373" s="83"/>
      <c r="J373" s="83"/>
      <c r="K373" s="83"/>
    </row>
    <row r="374" ht="22.5" hidden="1" customHeight="1">
      <c r="A374" s="83"/>
      <c r="B374" s="83"/>
      <c r="C374" s="83"/>
      <c r="D374" s="83"/>
      <c r="E374" s="87"/>
      <c r="F374" s="83"/>
      <c r="G374" s="83"/>
      <c r="H374" s="83"/>
      <c r="I374" s="83"/>
      <c r="J374" s="83"/>
      <c r="K374" s="83"/>
    </row>
    <row r="375" ht="22.5" hidden="1" customHeight="1">
      <c r="A375" s="83"/>
      <c r="B375" s="83"/>
      <c r="C375" s="83"/>
      <c r="D375" s="83"/>
      <c r="E375" s="87"/>
      <c r="F375" s="83"/>
      <c r="G375" s="83"/>
      <c r="H375" s="83"/>
      <c r="I375" s="83"/>
      <c r="J375" s="83"/>
      <c r="K375" s="83"/>
    </row>
    <row r="376" ht="22.5" hidden="1" customHeight="1">
      <c r="A376" s="83"/>
      <c r="B376" s="83"/>
      <c r="C376" s="83"/>
      <c r="D376" s="83"/>
      <c r="E376" s="87"/>
      <c r="F376" s="83"/>
      <c r="G376" s="83"/>
      <c r="H376" s="83"/>
      <c r="I376" s="83"/>
      <c r="J376" s="83"/>
      <c r="K376" s="83"/>
    </row>
    <row r="377" ht="22.5" hidden="1" customHeight="1">
      <c r="A377" s="83"/>
      <c r="B377" s="83"/>
      <c r="C377" s="83"/>
      <c r="D377" s="83"/>
      <c r="E377" s="87"/>
      <c r="F377" s="83"/>
      <c r="G377" s="83"/>
      <c r="H377" s="83"/>
      <c r="I377" s="83"/>
      <c r="J377" s="83"/>
      <c r="K377" s="83"/>
    </row>
    <row r="378" ht="22.5" hidden="1" customHeight="1">
      <c r="A378" s="83"/>
      <c r="B378" s="83"/>
      <c r="C378" s="83"/>
      <c r="D378" s="83"/>
      <c r="E378" s="87"/>
      <c r="F378" s="83"/>
      <c r="G378" s="83"/>
      <c r="H378" s="83"/>
      <c r="I378" s="83"/>
      <c r="J378" s="83"/>
      <c r="K378" s="83"/>
    </row>
    <row r="379" ht="22.5" hidden="1" customHeight="1">
      <c r="A379" s="83"/>
      <c r="B379" s="83"/>
      <c r="C379" s="83"/>
      <c r="D379" s="83"/>
      <c r="E379" s="87"/>
      <c r="F379" s="83"/>
      <c r="G379" s="83"/>
      <c r="H379" s="83"/>
      <c r="I379" s="83"/>
      <c r="J379" s="83"/>
      <c r="K379" s="83"/>
    </row>
    <row r="380" ht="22.5" hidden="1" customHeight="1">
      <c r="A380" s="83"/>
      <c r="B380" s="83"/>
      <c r="C380" s="83"/>
      <c r="D380" s="83"/>
      <c r="E380" s="87"/>
      <c r="F380" s="83"/>
      <c r="G380" s="83"/>
      <c r="H380" s="83"/>
      <c r="I380" s="83"/>
      <c r="J380" s="83"/>
      <c r="K380" s="83"/>
    </row>
    <row r="381" ht="22.5" hidden="1" customHeight="1">
      <c r="A381" s="83"/>
      <c r="B381" s="83"/>
      <c r="C381" s="83"/>
      <c r="D381" s="83"/>
      <c r="E381" s="87"/>
      <c r="F381" s="83"/>
      <c r="G381" s="83"/>
      <c r="H381" s="83"/>
      <c r="I381" s="83"/>
      <c r="J381" s="83"/>
      <c r="K381" s="83"/>
    </row>
    <row r="382" ht="22.5" hidden="1" customHeight="1">
      <c r="A382" s="83"/>
      <c r="B382" s="83"/>
      <c r="C382" s="83"/>
      <c r="D382" s="83"/>
      <c r="E382" s="87"/>
      <c r="F382" s="83"/>
      <c r="G382" s="83"/>
      <c r="H382" s="83"/>
      <c r="I382" s="83"/>
      <c r="J382" s="83"/>
      <c r="K382" s="83"/>
    </row>
    <row r="383" ht="22.5" hidden="1" customHeight="1">
      <c r="A383" s="83"/>
      <c r="B383" s="83"/>
      <c r="C383" s="83"/>
      <c r="D383" s="83"/>
      <c r="E383" s="87"/>
      <c r="F383" s="83"/>
      <c r="G383" s="83"/>
      <c r="H383" s="83"/>
      <c r="I383" s="83"/>
      <c r="J383" s="83"/>
      <c r="K383" s="83"/>
    </row>
    <row r="384" ht="22.5" hidden="1" customHeight="1">
      <c r="A384" s="83"/>
      <c r="B384" s="83"/>
      <c r="C384" s="83"/>
      <c r="D384" s="83"/>
      <c r="E384" s="87"/>
      <c r="F384" s="83"/>
      <c r="G384" s="83"/>
      <c r="H384" s="83"/>
      <c r="I384" s="83"/>
      <c r="J384" s="83"/>
      <c r="K384" s="83"/>
    </row>
    <row r="385" ht="22.5" hidden="1" customHeight="1">
      <c r="A385" s="83"/>
      <c r="B385" s="83"/>
      <c r="C385" s="83"/>
      <c r="D385" s="83"/>
      <c r="E385" s="87"/>
      <c r="F385" s="83"/>
      <c r="G385" s="83"/>
      <c r="H385" s="83"/>
      <c r="I385" s="83"/>
      <c r="J385" s="83"/>
      <c r="K385" s="83"/>
    </row>
    <row r="386" ht="22.5" hidden="1" customHeight="1">
      <c r="A386" s="83"/>
      <c r="B386" s="83"/>
      <c r="C386" s="83"/>
      <c r="D386" s="83"/>
      <c r="E386" s="87"/>
      <c r="F386" s="83"/>
      <c r="G386" s="83"/>
      <c r="H386" s="83"/>
      <c r="I386" s="83"/>
      <c r="J386" s="83"/>
      <c r="K386" s="83"/>
    </row>
    <row r="387" ht="22.5" hidden="1" customHeight="1">
      <c r="A387" s="83"/>
      <c r="B387" s="83"/>
      <c r="C387" s="83"/>
      <c r="D387" s="83"/>
      <c r="E387" s="87"/>
      <c r="F387" s="83"/>
      <c r="G387" s="83"/>
      <c r="H387" s="83"/>
      <c r="I387" s="83"/>
      <c r="J387" s="83"/>
      <c r="K387" s="83"/>
    </row>
    <row r="388" ht="22.5" hidden="1" customHeight="1">
      <c r="A388" s="83"/>
      <c r="B388" s="83"/>
      <c r="C388" s="83"/>
      <c r="D388" s="83"/>
      <c r="E388" s="87"/>
      <c r="F388" s="83"/>
      <c r="G388" s="83"/>
      <c r="H388" s="83"/>
      <c r="I388" s="83"/>
      <c r="J388" s="83"/>
      <c r="K388" s="83"/>
    </row>
    <row r="389" ht="22.5" hidden="1" customHeight="1">
      <c r="A389" s="83"/>
      <c r="B389" s="83"/>
      <c r="C389" s="83"/>
      <c r="D389" s="83"/>
      <c r="E389" s="87"/>
      <c r="F389" s="83"/>
      <c r="G389" s="83"/>
      <c r="H389" s="83"/>
      <c r="I389" s="83"/>
      <c r="J389" s="83"/>
      <c r="K389" s="83"/>
    </row>
    <row r="390" ht="22.5" hidden="1" customHeight="1">
      <c r="A390" s="83"/>
      <c r="B390" s="83"/>
      <c r="C390" s="83"/>
      <c r="D390" s="83"/>
      <c r="E390" s="87"/>
      <c r="F390" s="83"/>
      <c r="G390" s="83"/>
      <c r="H390" s="83"/>
      <c r="I390" s="83"/>
      <c r="J390" s="83"/>
      <c r="K390" s="83"/>
    </row>
    <row r="391" ht="22.5" hidden="1" customHeight="1">
      <c r="A391" s="83"/>
      <c r="B391" s="83"/>
      <c r="C391" s="83"/>
      <c r="D391" s="83"/>
      <c r="E391" s="87"/>
      <c r="F391" s="83"/>
      <c r="G391" s="83"/>
      <c r="H391" s="83"/>
      <c r="I391" s="83"/>
      <c r="J391" s="83"/>
      <c r="K391" s="83"/>
    </row>
    <row r="392" ht="22.5" hidden="1" customHeight="1">
      <c r="A392" s="83"/>
      <c r="B392" s="83"/>
      <c r="C392" s="83"/>
      <c r="D392" s="83"/>
      <c r="E392" s="87"/>
      <c r="F392" s="83"/>
      <c r="G392" s="83"/>
      <c r="H392" s="83"/>
      <c r="I392" s="83"/>
      <c r="J392" s="83"/>
      <c r="K392" s="83"/>
    </row>
    <row r="393" ht="22.5" hidden="1" customHeight="1">
      <c r="A393" s="83"/>
      <c r="B393" s="83"/>
      <c r="C393" s="83"/>
      <c r="D393" s="83"/>
      <c r="E393" s="87"/>
      <c r="F393" s="83"/>
      <c r="G393" s="83"/>
      <c r="H393" s="83"/>
      <c r="I393" s="83"/>
      <c r="J393" s="83"/>
      <c r="K393" s="83"/>
    </row>
    <row r="394" ht="22.5" hidden="1" customHeight="1">
      <c r="A394" s="83"/>
      <c r="B394" s="83"/>
      <c r="C394" s="83"/>
      <c r="D394" s="83"/>
      <c r="E394" s="87"/>
      <c r="F394" s="83"/>
      <c r="G394" s="83"/>
      <c r="H394" s="83"/>
      <c r="I394" s="83"/>
      <c r="J394" s="83"/>
      <c r="K394" s="83"/>
    </row>
    <row r="395" ht="22.5" hidden="1" customHeight="1">
      <c r="A395" s="83"/>
      <c r="B395" s="83"/>
      <c r="C395" s="83"/>
      <c r="D395" s="83"/>
      <c r="E395" s="87"/>
      <c r="F395" s="83"/>
      <c r="G395" s="83"/>
      <c r="H395" s="83"/>
      <c r="I395" s="83"/>
      <c r="J395" s="83"/>
      <c r="K395" s="83"/>
    </row>
    <row r="396" ht="22.5" hidden="1" customHeight="1">
      <c r="A396" s="83"/>
      <c r="B396" s="83"/>
      <c r="C396" s="83"/>
      <c r="D396" s="83"/>
      <c r="E396" s="87"/>
      <c r="F396" s="83"/>
      <c r="G396" s="83"/>
      <c r="H396" s="83"/>
      <c r="I396" s="83"/>
      <c r="J396" s="83"/>
      <c r="K396" s="83"/>
    </row>
    <row r="397" ht="22.5" hidden="1" customHeight="1">
      <c r="A397" s="83"/>
      <c r="B397" s="83"/>
      <c r="C397" s="83"/>
      <c r="D397" s="83"/>
      <c r="E397" s="87"/>
      <c r="F397" s="83"/>
      <c r="G397" s="83"/>
      <c r="H397" s="83"/>
      <c r="I397" s="83"/>
      <c r="J397" s="83"/>
      <c r="K397" s="83"/>
    </row>
    <row r="398" ht="22.5" hidden="1" customHeight="1">
      <c r="A398" s="83"/>
      <c r="B398" s="83"/>
      <c r="C398" s="83"/>
      <c r="D398" s="83"/>
      <c r="E398" s="87"/>
      <c r="F398" s="83"/>
      <c r="G398" s="83"/>
      <c r="H398" s="83"/>
      <c r="I398" s="83"/>
      <c r="J398" s="83"/>
      <c r="K398" s="83"/>
    </row>
    <row r="399" ht="22.5" hidden="1" customHeight="1">
      <c r="A399" s="83"/>
      <c r="B399" s="83"/>
      <c r="C399" s="83"/>
      <c r="D399" s="83"/>
      <c r="E399" s="87"/>
      <c r="F399" s="83"/>
      <c r="G399" s="83"/>
      <c r="H399" s="83"/>
      <c r="I399" s="83"/>
      <c r="J399" s="83"/>
      <c r="K399" s="83"/>
    </row>
    <row r="400" ht="22.5" hidden="1" customHeight="1">
      <c r="A400" s="83"/>
      <c r="B400" s="83"/>
      <c r="C400" s="83"/>
      <c r="D400" s="83"/>
      <c r="E400" s="87"/>
      <c r="F400" s="83"/>
      <c r="G400" s="83"/>
      <c r="H400" s="83"/>
      <c r="I400" s="83"/>
      <c r="J400" s="83"/>
      <c r="K400" s="83"/>
    </row>
    <row r="401" ht="22.5" hidden="1" customHeight="1">
      <c r="A401" s="83"/>
      <c r="B401" s="83"/>
      <c r="C401" s="83"/>
      <c r="D401" s="83"/>
      <c r="E401" s="87"/>
      <c r="F401" s="83"/>
      <c r="G401" s="83"/>
      <c r="H401" s="83"/>
      <c r="I401" s="83"/>
      <c r="J401" s="83"/>
      <c r="K401" s="83"/>
    </row>
    <row r="402" ht="22.5" hidden="1" customHeight="1">
      <c r="A402" s="83"/>
      <c r="B402" s="83"/>
      <c r="C402" s="83"/>
      <c r="D402" s="83"/>
      <c r="E402" s="87"/>
      <c r="F402" s="83"/>
      <c r="G402" s="83"/>
      <c r="H402" s="83"/>
      <c r="I402" s="83"/>
      <c r="J402" s="83"/>
      <c r="K402" s="83"/>
    </row>
    <row r="403" ht="22.5" hidden="1" customHeight="1">
      <c r="A403" s="83"/>
      <c r="B403" s="83"/>
      <c r="C403" s="83"/>
      <c r="D403" s="83"/>
      <c r="E403" s="87"/>
      <c r="F403" s="83"/>
      <c r="G403" s="83"/>
      <c r="H403" s="83"/>
      <c r="I403" s="83"/>
      <c r="J403" s="83"/>
      <c r="K403" s="83"/>
    </row>
    <row r="404" ht="22.5" hidden="1" customHeight="1">
      <c r="A404" s="83"/>
      <c r="B404" s="83"/>
      <c r="C404" s="83"/>
      <c r="D404" s="83"/>
      <c r="E404" s="87"/>
      <c r="F404" s="83"/>
      <c r="G404" s="83"/>
      <c r="H404" s="83"/>
      <c r="I404" s="83"/>
      <c r="J404" s="83"/>
      <c r="K404" s="83"/>
    </row>
    <row r="405" ht="22.5" hidden="1" customHeight="1">
      <c r="A405" s="83"/>
      <c r="B405" s="83"/>
      <c r="C405" s="83"/>
      <c r="D405" s="83"/>
      <c r="E405" s="87"/>
      <c r="F405" s="83"/>
      <c r="G405" s="83"/>
      <c r="H405" s="83"/>
      <c r="I405" s="83"/>
      <c r="J405" s="83"/>
      <c r="K405" s="83"/>
    </row>
    <row r="406" ht="22.5" hidden="1" customHeight="1">
      <c r="A406" s="83"/>
      <c r="B406" s="83"/>
      <c r="C406" s="83"/>
      <c r="D406" s="83"/>
      <c r="E406" s="87"/>
      <c r="F406" s="83"/>
      <c r="G406" s="83"/>
      <c r="H406" s="83"/>
      <c r="I406" s="83"/>
      <c r="J406" s="83"/>
      <c r="K406" s="83"/>
    </row>
    <row r="407" ht="22.5" hidden="1" customHeight="1">
      <c r="A407" s="83"/>
      <c r="B407" s="83"/>
      <c r="C407" s="83"/>
      <c r="D407" s="83"/>
      <c r="E407" s="87"/>
      <c r="F407" s="83"/>
      <c r="G407" s="83"/>
      <c r="H407" s="83"/>
      <c r="I407" s="83"/>
      <c r="J407" s="83"/>
      <c r="K407" s="83"/>
    </row>
    <row r="408" ht="22.5" hidden="1" customHeight="1">
      <c r="A408" s="83"/>
      <c r="B408" s="83"/>
      <c r="C408" s="83"/>
      <c r="D408" s="83"/>
      <c r="E408" s="87"/>
      <c r="F408" s="83"/>
      <c r="G408" s="83"/>
      <c r="H408" s="83"/>
      <c r="I408" s="83"/>
      <c r="J408" s="83"/>
      <c r="K408" s="83"/>
    </row>
    <row r="409" ht="22.5" hidden="1" customHeight="1">
      <c r="A409" s="83"/>
      <c r="B409" s="83"/>
      <c r="C409" s="83"/>
      <c r="D409" s="83"/>
      <c r="E409" s="87"/>
      <c r="F409" s="83"/>
      <c r="G409" s="83"/>
      <c r="H409" s="83"/>
      <c r="I409" s="83"/>
      <c r="J409" s="83"/>
      <c r="K409" s="83"/>
    </row>
    <row r="410" ht="22.5" hidden="1" customHeight="1">
      <c r="A410" s="83"/>
      <c r="B410" s="83"/>
      <c r="C410" s="83"/>
      <c r="D410" s="83"/>
      <c r="E410" s="87"/>
      <c r="F410" s="83"/>
      <c r="G410" s="83"/>
      <c r="H410" s="83"/>
      <c r="I410" s="83"/>
      <c r="J410" s="83"/>
      <c r="K410" s="83"/>
    </row>
    <row r="411" ht="22.5" hidden="1" customHeight="1">
      <c r="A411" s="83"/>
      <c r="B411" s="83"/>
      <c r="C411" s="83"/>
      <c r="D411" s="83"/>
      <c r="E411" s="87"/>
      <c r="F411" s="83"/>
      <c r="G411" s="83"/>
      <c r="H411" s="83"/>
      <c r="I411" s="83"/>
      <c r="J411" s="83"/>
      <c r="K411" s="83"/>
    </row>
    <row r="412" ht="22.5" hidden="1" customHeight="1">
      <c r="A412" s="83"/>
      <c r="B412" s="83"/>
      <c r="C412" s="83"/>
      <c r="D412" s="83"/>
      <c r="E412" s="87"/>
      <c r="F412" s="83"/>
      <c r="G412" s="83"/>
      <c r="H412" s="83"/>
      <c r="I412" s="83"/>
      <c r="J412" s="83"/>
      <c r="K412" s="83"/>
    </row>
    <row r="413" ht="22.5" hidden="1" customHeight="1">
      <c r="A413" s="83"/>
      <c r="B413" s="83"/>
      <c r="C413" s="83"/>
      <c r="D413" s="83"/>
      <c r="E413" s="87"/>
      <c r="F413" s="83"/>
      <c r="G413" s="83"/>
      <c r="H413" s="83"/>
      <c r="I413" s="83"/>
      <c r="J413" s="83"/>
      <c r="K413" s="83"/>
    </row>
    <row r="414" ht="22.5" hidden="1" customHeight="1">
      <c r="A414" s="83"/>
      <c r="B414" s="83"/>
      <c r="C414" s="83"/>
      <c r="D414" s="83"/>
      <c r="E414" s="87"/>
      <c r="F414" s="83"/>
      <c r="G414" s="83"/>
      <c r="H414" s="83"/>
      <c r="I414" s="83"/>
      <c r="J414" s="83"/>
      <c r="K414" s="83"/>
    </row>
    <row r="415" ht="22.5" hidden="1" customHeight="1">
      <c r="A415" s="83"/>
      <c r="B415" s="83"/>
      <c r="C415" s="83"/>
      <c r="D415" s="83"/>
      <c r="E415" s="87"/>
      <c r="F415" s="83"/>
      <c r="G415" s="83"/>
      <c r="H415" s="83"/>
      <c r="I415" s="83"/>
      <c r="J415" s="83"/>
      <c r="K415" s="83"/>
    </row>
    <row r="416" ht="22.5" hidden="1" customHeight="1">
      <c r="A416" s="83"/>
      <c r="B416" s="83"/>
      <c r="C416" s="83"/>
      <c r="D416" s="83"/>
      <c r="E416" s="87"/>
      <c r="F416" s="83"/>
      <c r="G416" s="83"/>
      <c r="H416" s="83"/>
      <c r="I416" s="83"/>
      <c r="J416" s="83"/>
      <c r="K416" s="83"/>
    </row>
    <row r="417" ht="22.5" hidden="1" customHeight="1">
      <c r="A417" s="83"/>
      <c r="B417" s="83"/>
      <c r="C417" s="83"/>
      <c r="D417" s="83"/>
      <c r="E417" s="87"/>
      <c r="F417" s="83"/>
      <c r="G417" s="83"/>
      <c r="H417" s="83"/>
      <c r="I417" s="83"/>
      <c r="J417" s="83"/>
      <c r="K417" s="83"/>
    </row>
    <row r="418" ht="22.5" hidden="1" customHeight="1">
      <c r="A418" s="83"/>
      <c r="B418" s="83"/>
      <c r="C418" s="83"/>
      <c r="D418" s="83"/>
      <c r="E418" s="87"/>
      <c r="F418" s="83"/>
      <c r="G418" s="83"/>
      <c r="H418" s="83"/>
      <c r="I418" s="83"/>
      <c r="J418" s="83"/>
      <c r="K418" s="83"/>
    </row>
    <row r="419" ht="22.5" hidden="1" customHeight="1">
      <c r="A419" s="83"/>
      <c r="B419" s="83"/>
      <c r="C419" s="83"/>
      <c r="D419" s="83"/>
      <c r="E419" s="87"/>
      <c r="F419" s="83"/>
      <c r="G419" s="83"/>
      <c r="H419" s="83"/>
      <c r="I419" s="83"/>
      <c r="J419" s="83"/>
      <c r="K419" s="83"/>
    </row>
    <row r="420" ht="22.5" hidden="1" customHeight="1">
      <c r="A420" s="83"/>
      <c r="B420" s="83"/>
      <c r="C420" s="83"/>
      <c r="D420" s="83"/>
      <c r="E420" s="87"/>
      <c r="F420" s="83"/>
      <c r="G420" s="83"/>
      <c r="H420" s="83"/>
      <c r="I420" s="83"/>
      <c r="J420" s="83"/>
      <c r="K420" s="83"/>
    </row>
    <row r="421" ht="22.5" hidden="1" customHeight="1">
      <c r="A421" s="83"/>
      <c r="B421" s="83"/>
      <c r="C421" s="83"/>
      <c r="D421" s="83"/>
      <c r="E421" s="87"/>
      <c r="F421" s="83"/>
      <c r="G421" s="83"/>
      <c r="H421" s="83"/>
      <c r="I421" s="83"/>
      <c r="J421" s="83"/>
      <c r="K421" s="83"/>
    </row>
    <row r="422" ht="22.5" hidden="1" customHeight="1">
      <c r="A422" s="83"/>
      <c r="B422" s="83"/>
      <c r="C422" s="83"/>
      <c r="D422" s="83"/>
      <c r="E422" s="87"/>
      <c r="F422" s="83"/>
      <c r="G422" s="83"/>
      <c r="H422" s="83"/>
      <c r="I422" s="83"/>
      <c r="J422" s="83"/>
      <c r="K422" s="83"/>
    </row>
    <row r="423" ht="22.5" hidden="1" customHeight="1">
      <c r="A423" s="83"/>
      <c r="B423" s="83"/>
      <c r="C423" s="83"/>
      <c r="D423" s="83"/>
      <c r="E423" s="87"/>
      <c r="F423" s="83"/>
      <c r="G423" s="83"/>
      <c r="H423" s="83"/>
      <c r="I423" s="83"/>
      <c r="J423" s="83"/>
      <c r="K423" s="83"/>
    </row>
    <row r="424" ht="22.5" hidden="1" customHeight="1">
      <c r="A424" s="83"/>
      <c r="B424" s="83"/>
      <c r="C424" s="83"/>
      <c r="D424" s="83"/>
      <c r="E424" s="87"/>
      <c r="F424" s="83"/>
      <c r="G424" s="83"/>
      <c r="H424" s="83"/>
      <c r="I424" s="83"/>
      <c r="J424" s="83"/>
      <c r="K424" s="83"/>
    </row>
    <row r="425" ht="22.5" hidden="1" customHeight="1">
      <c r="A425" s="83"/>
      <c r="B425" s="83"/>
      <c r="C425" s="83"/>
      <c r="D425" s="83"/>
      <c r="E425" s="87"/>
      <c r="F425" s="83"/>
      <c r="G425" s="83"/>
      <c r="H425" s="83"/>
      <c r="I425" s="83"/>
      <c r="J425" s="83"/>
      <c r="K425" s="83"/>
    </row>
    <row r="426" ht="22.5" hidden="1" customHeight="1">
      <c r="A426" s="83"/>
      <c r="B426" s="83"/>
      <c r="C426" s="83"/>
      <c r="D426" s="83"/>
      <c r="E426" s="87"/>
      <c r="F426" s="83"/>
      <c r="G426" s="83"/>
      <c r="H426" s="83"/>
      <c r="I426" s="83"/>
      <c r="J426" s="83"/>
      <c r="K426" s="83"/>
    </row>
    <row r="427" ht="22.5" hidden="1" customHeight="1">
      <c r="A427" s="83"/>
      <c r="B427" s="83"/>
      <c r="C427" s="83"/>
      <c r="D427" s="83"/>
      <c r="E427" s="87"/>
      <c r="F427" s="83"/>
      <c r="G427" s="83"/>
      <c r="H427" s="83"/>
      <c r="I427" s="83"/>
      <c r="J427" s="83"/>
      <c r="K427" s="83"/>
    </row>
    <row r="428" ht="22.5" hidden="1" customHeight="1">
      <c r="A428" s="83"/>
      <c r="B428" s="83"/>
      <c r="C428" s="83"/>
      <c r="D428" s="83"/>
      <c r="E428" s="87"/>
      <c r="F428" s="83"/>
      <c r="G428" s="83"/>
      <c r="H428" s="83"/>
      <c r="I428" s="83"/>
      <c r="J428" s="83"/>
      <c r="K428" s="83"/>
    </row>
    <row r="429" ht="22.5" hidden="1" customHeight="1">
      <c r="A429" s="83"/>
      <c r="B429" s="83"/>
      <c r="C429" s="83"/>
      <c r="D429" s="83"/>
      <c r="E429" s="87"/>
      <c r="F429" s="83"/>
      <c r="G429" s="83"/>
      <c r="H429" s="83"/>
      <c r="I429" s="83"/>
      <c r="J429" s="83"/>
      <c r="K429" s="83"/>
    </row>
    <row r="430" ht="22.5" hidden="1" customHeight="1">
      <c r="A430" s="83"/>
      <c r="B430" s="83"/>
      <c r="C430" s="83"/>
      <c r="D430" s="83"/>
      <c r="E430" s="87"/>
      <c r="F430" s="83"/>
      <c r="G430" s="83"/>
      <c r="H430" s="83"/>
      <c r="I430" s="83"/>
      <c r="J430" s="83"/>
      <c r="K430" s="83"/>
    </row>
    <row r="431" ht="22.5" hidden="1" customHeight="1">
      <c r="A431" s="83"/>
      <c r="B431" s="83"/>
      <c r="C431" s="83"/>
      <c r="D431" s="83"/>
      <c r="E431" s="87"/>
      <c r="F431" s="83"/>
      <c r="G431" s="83"/>
      <c r="H431" s="83"/>
      <c r="I431" s="83"/>
      <c r="J431" s="83"/>
      <c r="K431" s="83"/>
    </row>
    <row r="432" ht="22.5" hidden="1" customHeight="1">
      <c r="A432" s="83"/>
      <c r="B432" s="83"/>
      <c r="C432" s="83"/>
      <c r="D432" s="83"/>
      <c r="E432" s="87"/>
      <c r="F432" s="83"/>
      <c r="G432" s="83"/>
      <c r="H432" s="83"/>
      <c r="I432" s="83"/>
      <c r="J432" s="83"/>
      <c r="K432" s="83"/>
    </row>
    <row r="433" ht="22.5" hidden="1" customHeight="1">
      <c r="A433" s="83"/>
      <c r="B433" s="83"/>
      <c r="C433" s="83"/>
      <c r="D433" s="83"/>
      <c r="E433" s="87"/>
      <c r="F433" s="83"/>
      <c r="G433" s="83"/>
      <c r="H433" s="83"/>
      <c r="I433" s="83"/>
      <c r="J433" s="83"/>
      <c r="K433" s="83"/>
    </row>
    <row r="434" ht="22.5" hidden="1" customHeight="1">
      <c r="A434" s="83"/>
      <c r="B434" s="83"/>
      <c r="C434" s="83"/>
      <c r="D434" s="83"/>
      <c r="E434" s="87"/>
      <c r="F434" s="83"/>
      <c r="G434" s="83"/>
      <c r="H434" s="83"/>
      <c r="I434" s="83"/>
      <c r="J434" s="83"/>
      <c r="K434" s="83"/>
    </row>
    <row r="435" ht="22.5" hidden="1" customHeight="1">
      <c r="A435" s="83"/>
      <c r="B435" s="83"/>
      <c r="C435" s="83"/>
      <c r="D435" s="83"/>
      <c r="E435" s="87"/>
      <c r="F435" s="83"/>
      <c r="G435" s="83"/>
      <c r="H435" s="83"/>
      <c r="I435" s="83"/>
      <c r="J435" s="83"/>
      <c r="K435" s="83"/>
    </row>
    <row r="436" ht="22.5" hidden="1" customHeight="1">
      <c r="A436" s="83"/>
      <c r="B436" s="83"/>
      <c r="C436" s="83"/>
      <c r="D436" s="83"/>
      <c r="E436" s="87"/>
      <c r="F436" s="83"/>
      <c r="G436" s="83"/>
      <c r="H436" s="83"/>
      <c r="I436" s="83"/>
      <c r="J436" s="83"/>
      <c r="K436" s="83"/>
    </row>
    <row r="437" ht="22.5" hidden="1" customHeight="1">
      <c r="A437" s="83"/>
      <c r="B437" s="83"/>
      <c r="C437" s="83"/>
      <c r="D437" s="83"/>
      <c r="E437" s="87"/>
      <c r="F437" s="83"/>
      <c r="G437" s="83"/>
      <c r="H437" s="83"/>
      <c r="I437" s="83"/>
      <c r="J437" s="83"/>
      <c r="K437" s="83"/>
    </row>
    <row r="438" ht="22.5" hidden="1" customHeight="1">
      <c r="A438" s="83"/>
      <c r="B438" s="83"/>
      <c r="C438" s="83"/>
      <c r="D438" s="83"/>
      <c r="E438" s="87"/>
      <c r="F438" s="83"/>
      <c r="G438" s="83"/>
      <c r="H438" s="83"/>
      <c r="I438" s="83"/>
      <c r="J438" s="83"/>
      <c r="K438" s="83"/>
    </row>
    <row r="439" ht="22.5" hidden="1" customHeight="1">
      <c r="A439" s="83"/>
      <c r="B439" s="83"/>
      <c r="C439" s="83"/>
      <c r="D439" s="83"/>
      <c r="E439" s="87"/>
      <c r="F439" s="83"/>
      <c r="G439" s="83"/>
      <c r="H439" s="83"/>
      <c r="I439" s="83"/>
      <c r="J439" s="83"/>
      <c r="K439" s="83"/>
    </row>
    <row r="440" ht="22.5" hidden="1" customHeight="1">
      <c r="A440" s="83"/>
      <c r="B440" s="83"/>
      <c r="C440" s="83"/>
      <c r="D440" s="83"/>
      <c r="E440" s="87"/>
      <c r="F440" s="83"/>
      <c r="G440" s="83"/>
      <c r="H440" s="83"/>
      <c r="I440" s="83"/>
      <c r="J440" s="83"/>
      <c r="K440" s="83"/>
    </row>
    <row r="441" ht="22.5" hidden="1" customHeight="1">
      <c r="A441" s="83"/>
      <c r="B441" s="83"/>
      <c r="C441" s="83"/>
      <c r="D441" s="83"/>
      <c r="E441" s="87"/>
      <c r="F441" s="83"/>
      <c r="G441" s="83"/>
      <c r="H441" s="83"/>
      <c r="I441" s="83"/>
      <c r="J441" s="83"/>
      <c r="K441" s="83"/>
    </row>
    <row r="442" ht="22.5" hidden="1" customHeight="1">
      <c r="A442" s="83"/>
      <c r="B442" s="83"/>
      <c r="C442" s="83"/>
      <c r="D442" s="83"/>
      <c r="E442" s="87"/>
      <c r="F442" s="83"/>
      <c r="G442" s="83"/>
      <c r="H442" s="83"/>
      <c r="I442" s="83"/>
      <c r="J442" s="83"/>
      <c r="K442" s="83"/>
    </row>
    <row r="443" ht="22.5" hidden="1" customHeight="1">
      <c r="A443" s="83"/>
      <c r="B443" s="83"/>
      <c r="C443" s="83"/>
      <c r="D443" s="83"/>
      <c r="E443" s="87"/>
      <c r="F443" s="83"/>
      <c r="G443" s="83"/>
      <c r="H443" s="83"/>
      <c r="I443" s="83"/>
      <c r="J443" s="83"/>
      <c r="K443" s="83"/>
    </row>
    <row r="444" ht="22.5" hidden="1" customHeight="1">
      <c r="A444" s="83"/>
      <c r="B444" s="83"/>
      <c r="C444" s="83"/>
      <c r="D444" s="83"/>
      <c r="E444" s="87"/>
      <c r="F444" s="83"/>
      <c r="G444" s="83"/>
      <c r="H444" s="83"/>
      <c r="I444" s="83"/>
      <c r="J444" s="83"/>
      <c r="K444" s="83"/>
    </row>
    <row r="445" ht="22.5" hidden="1" customHeight="1">
      <c r="A445" s="83"/>
      <c r="B445" s="83"/>
      <c r="C445" s="83"/>
      <c r="D445" s="83"/>
      <c r="E445" s="87"/>
      <c r="F445" s="83"/>
      <c r="G445" s="83"/>
      <c r="H445" s="83"/>
      <c r="I445" s="83"/>
      <c r="J445" s="83"/>
      <c r="K445" s="83"/>
    </row>
    <row r="446" ht="22.5" hidden="1" customHeight="1">
      <c r="A446" s="83"/>
      <c r="B446" s="83"/>
      <c r="C446" s="83"/>
      <c r="D446" s="83"/>
      <c r="E446" s="87"/>
      <c r="F446" s="83"/>
      <c r="G446" s="83"/>
      <c r="H446" s="83"/>
      <c r="I446" s="83"/>
      <c r="J446" s="83"/>
      <c r="K446" s="83"/>
    </row>
    <row r="447" ht="22.5" hidden="1" customHeight="1">
      <c r="A447" s="83"/>
      <c r="B447" s="83"/>
      <c r="C447" s="83"/>
      <c r="D447" s="83"/>
      <c r="E447" s="87"/>
      <c r="F447" s="83"/>
      <c r="G447" s="83"/>
      <c r="H447" s="83"/>
      <c r="I447" s="83"/>
      <c r="J447" s="83"/>
      <c r="K447" s="83"/>
    </row>
    <row r="448" ht="22.5" hidden="1" customHeight="1">
      <c r="A448" s="83"/>
      <c r="B448" s="83"/>
      <c r="C448" s="83"/>
      <c r="D448" s="83"/>
      <c r="E448" s="87"/>
      <c r="F448" s="83"/>
      <c r="G448" s="83"/>
      <c r="H448" s="83"/>
      <c r="I448" s="83"/>
      <c r="J448" s="83"/>
      <c r="K448" s="83"/>
    </row>
    <row r="449" ht="22.5" hidden="1" customHeight="1">
      <c r="A449" s="83"/>
      <c r="B449" s="83"/>
      <c r="C449" s="83"/>
      <c r="D449" s="83"/>
      <c r="E449" s="87"/>
      <c r="F449" s="83"/>
      <c r="G449" s="83"/>
      <c r="H449" s="83"/>
      <c r="I449" s="83"/>
      <c r="J449" s="83"/>
      <c r="K449" s="83"/>
    </row>
    <row r="450" ht="22.5" hidden="1" customHeight="1">
      <c r="A450" s="83"/>
      <c r="B450" s="83"/>
      <c r="C450" s="83"/>
      <c r="D450" s="83"/>
      <c r="E450" s="87"/>
      <c r="F450" s="83"/>
      <c r="G450" s="83"/>
      <c r="H450" s="83"/>
      <c r="I450" s="83"/>
      <c r="J450" s="83"/>
      <c r="K450" s="83"/>
    </row>
    <row r="451" ht="22.5" hidden="1" customHeight="1">
      <c r="A451" s="83"/>
      <c r="B451" s="83"/>
      <c r="C451" s="83"/>
      <c r="D451" s="83"/>
      <c r="E451" s="87"/>
      <c r="F451" s="83"/>
      <c r="G451" s="83"/>
      <c r="H451" s="83"/>
      <c r="I451" s="83"/>
      <c r="J451" s="83"/>
      <c r="K451" s="83"/>
    </row>
    <row r="452" ht="22.5" hidden="1" customHeight="1">
      <c r="A452" s="83"/>
      <c r="B452" s="83"/>
      <c r="C452" s="83"/>
      <c r="D452" s="83"/>
      <c r="E452" s="87"/>
      <c r="F452" s="83"/>
      <c r="G452" s="83"/>
      <c r="H452" s="83"/>
      <c r="I452" s="83"/>
      <c r="J452" s="83"/>
      <c r="K452" s="83"/>
    </row>
    <row r="453" ht="22.5" hidden="1" customHeight="1">
      <c r="A453" s="83"/>
      <c r="B453" s="83"/>
      <c r="C453" s="83"/>
      <c r="D453" s="83"/>
      <c r="E453" s="87"/>
      <c r="F453" s="83"/>
      <c r="G453" s="83"/>
      <c r="H453" s="83"/>
      <c r="I453" s="83"/>
      <c r="J453" s="83"/>
      <c r="K453" s="83"/>
    </row>
    <row r="454" ht="22.5" hidden="1" customHeight="1">
      <c r="A454" s="83"/>
      <c r="B454" s="83"/>
      <c r="C454" s="83"/>
      <c r="D454" s="83"/>
      <c r="E454" s="87"/>
      <c r="F454" s="83"/>
      <c r="G454" s="83"/>
      <c r="H454" s="83"/>
      <c r="I454" s="83"/>
      <c r="J454" s="83"/>
      <c r="K454" s="83"/>
    </row>
    <row r="455" ht="22.5" hidden="1" customHeight="1">
      <c r="A455" s="83"/>
      <c r="B455" s="83"/>
      <c r="C455" s="83"/>
      <c r="D455" s="83"/>
      <c r="E455" s="87"/>
      <c r="F455" s="83"/>
      <c r="G455" s="83"/>
      <c r="H455" s="83"/>
      <c r="I455" s="83"/>
      <c r="J455" s="83"/>
      <c r="K455" s="83"/>
    </row>
    <row r="456" ht="22.5" hidden="1" customHeight="1">
      <c r="A456" s="83"/>
      <c r="B456" s="83"/>
      <c r="C456" s="83"/>
      <c r="D456" s="83"/>
      <c r="E456" s="87"/>
      <c r="F456" s="83"/>
      <c r="G456" s="83"/>
      <c r="H456" s="83"/>
      <c r="I456" s="83"/>
      <c r="J456" s="83"/>
      <c r="K456" s="83"/>
    </row>
    <row r="457" ht="22.5" hidden="1" customHeight="1">
      <c r="A457" s="83"/>
      <c r="B457" s="83"/>
      <c r="C457" s="83"/>
      <c r="D457" s="83"/>
      <c r="E457" s="87"/>
      <c r="F457" s="83"/>
      <c r="G457" s="83"/>
      <c r="H457" s="83"/>
      <c r="I457" s="83"/>
      <c r="J457" s="83"/>
      <c r="K457" s="83"/>
    </row>
    <row r="458" ht="22.5" hidden="1" customHeight="1">
      <c r="A458" s="83"/>
      <c r="B458" s="83"/>
      <c r="C458" s="83"/>
      <c r="D458" s="83"/>
      <c r="E458" s="87"/>
      <c r="F458" s="83"/>
      <c r="G458" s="83"/>
      <c r="H458" s="83"/>
      <c r="I458" s="83"/>
      <c r="J458" s="83"/>
      <c r="K458" s="83"/>
    </row>
    <row r="459" ht="22.5" hidden="1" customHeight="1">
      <c r="A459" s="83"/>
      <c r="B459" s="83"/>
      <c r="C459" s="83"/>
      <c r="D459" s="83"/>
      <c r="E459" s="87"/>
      <c r="F459" s="83"/>
      <c r="G459" s="83"/>
      <c r="H459" s="83"/>
      <c r="I459" s="83"/>
      <c r="J459" s="83"/>
      <c r="K459" s="83"/>
    </row>
    <row r="460" ht="22.5" hidden="1" customHeight="1">
      <c r="A460" s="83"/>
      <c r="B460" s="83"/>
      <c r="C460" s="83"/>
      <c r="D460" s="83"/>
      <c r="E460" s="87"/>
      <c r="F460" s="83"/>
      <c r="G460" s="83"/>
      <c r="H460" s="83"/>
      <c r="I460" s="83"/>
      <c r="J460" s="83"/>
      <c r="K460" s="83"/>
    </row>
    <row r="461" ht="22.5" hidden="1" customHeight="1">
      <c r="A461" s="83"/>
      <c r="B461" s="83"/>
      <c r="C461" s="83"/>
      <c r="D461" s="83"/>
      <c r="E461" s="87"/>
      <c r="F461" s="83"/>
      <c r="G461" s="83"/>
      <c r="H461" s="83"/>
      <c r="I461" s="83"/>
      <c r="J461" s="83"/>
      <c r="K461" s="83"/>
    </row>
    <row r="462" ht="22.5" hidden="1" customHeight="1">
      <c r="A462" s="83"/>
      <c r="B462" s="83"/>
      <c r="C462" s="83"/>
      <c r="D462" s="83"/>
      <c r="E462" s="87"/>
      <c r="F462" s="83"/>
      <c r="G462" s="83"/>
      <c r="H462" s="83"/>
      <c r="I462" s="83"/>
      <c r="J462" s="83"/>
      <c r="K462" s="83"/>
    </row>
    <row r="463" ht="22.5" hidden="1" customHeight="1">
      <c r="A463" s="83"/>
      <c r="B463" s="83"/>
      <c r="C463" s="83"/>
      <c r="D463" s="83"/>
      <c r="E463" s="87"/>
      <c r="F463" s="83"/>
      <c r="G463" s="83"/>
      <c r="H463" s="83"/>
      <c r="I463" s="83"/>
      <c r="J463" s="83"/>
      <c r="K463" s="83"/>
    </row>
    <row r="464" ht="22.5" hidden="1" customHeight="1">
      <c r="A464" s="83"/>
      <c r="B464" s="83"/>
      <c r="C464" s="83"/>
      <c r="D464" s="83"/>
      <c r="E464" s="87"/>
      <c r="F464" s="83"/>
      <c r="G464" s="83"/>
      <c r="H464" s="83"/>
      <c r="I464" s="83"/>
      <c r="J464" s="83"/>
      <c r="K464" s="83"/>
    </row>
    <row r="465" ht="22.5" hidden="1" customHeight="1">
      <c r="A465" s="83"/>
      <c r="B465" s="83"/>
      <c r="C465" s="83"/>
      <c r="D465" s="83"/>
      <c r="E465" s="87"/>
      <c r="F465" s="83"/>
      <c r="G465" s="83"/>
      <c r="H465" s="83"/>
      <c r="I465" s="83"/>
      <c r="J465" s="83"/>
      <c r="K465" s="83"/>
    </row>
    <row r="466" ht="22.5" hidden="1" customHeight="1">
      <c r="A466" s="83"/>
      <c r="B466" s="83"/>
      <c r="C466" s="83"/>
      <c r="D466" s="83"/>
      <c r="E466" s="87"/>
      <c r="F466" s="83"/>
      <c r="G466" s="83"/>
      <c r="H466" s="83"/>
      <c r="I466" s="83"/>
      <c r="J466" s="83"/>
      <c r="K466" s="83"/>
    </row>
    <row r="467" ht="22.5" hidden="1" customHeight="1">
      <c r="A467" s="83"/>
      <c r="B467" s="83"/>
      <c r="C467" s="83"/>
      <c r="D467" s="83"/>
      <c r="E467" s="87"/>
      <c r="F467" s="83"/>
      <c r="G467" s="83"/>
      <c r="H467" s="83"/>
      <c r="I467" s="83"/>
      <c r="J467" s="83"/>
      <c r="K467" s="83"/>
    </row>
    <row r="468" ht="22.5" hidden="1" customHeight="1">
      <c r="A468" s="83"/>
      <c r="B468" s="83"/>
      <c r="C468" s="83"/>
      <c r="D468" s="83"/>
      <c r="E468" s="87"/>
      <c r="F468" s="83"/>
      <c r="G468" s="83"/>
      <c r="H468" s="83"/>
      <c r="I468" s="83"/>
      <c r="J468" s="83"/>
      <c r="K468" s="83"/>
    </row>
    <row r="469" ht="22.5" hidden="1" customHeight="1">
      <c r="A469" s="83"/>
      <c r="B469" s="83"/>
      <c r="C469" s="83"/>
      <c r="D469" s="83"/>
      <c r="E469" s="87"/>
      <c r="F469" s="83"/>
      <c r="G469" s="83"/>
      <c r="H469" s="83"/>
      <c r="I469" s="83"/>
      <c r="J469" s="83"/>
      <c r="K469" s="83"/>
    </row>
    <row r="470" ht="22.5" hidden="1" customHeight="1">
      <c r="A470" s="83"/>
      <c r="B470" s="83"/>
      <c r="C470" s="83"/>
      <c r="D470" s="83"/>
      <c r="E470" s="87"/>
      <c r="F470" s="83"/>
      <c r="G470" s="83"/>
      <c r="H470" s="83"/>
      <c r="I470" s="83"/>
      <c r="J470" s="83"/>
      <c r="K470" s="83"/>
    </row>
    <row r="471" ht="22.5" hidden="1" customHeight="1">
      <c r="A471" s="83"/>
      <c r="B471" s="83"/>
      <c r="C471" s="83"/>
      <c r="D471" s="83"/>
      <c r="E471" s="87"/>
      <c r="F471" s="83"/>
      <c r="G471" s="83"/>
      <c r="H471" s="83"/>
      <c r="I471" s="83"/>
      <c r="J471" s="83"/>
      <c r="K471" s="83"/>
    </row>
    <row r="472" ht="22.5" hidden="1" customHeight="1">
      <c r="A472" s="83"/>
      <c r="B472" s="83"/>
      <c r="C472" s="83"/>
      <c r="D472" s="83"/>
      <c r="E472" s="87"/>
      <c r="F472" s="83"/>
      <c r="G472" s="83"/>
      <c r="H472" s="83"/>
      <c r="I472" s="83"/>
      <c r="J472" s="83"/>
      <c r="K472" s="83"/>
    </row>
    <row r="473" ht="22.5" hidden="1" customHeight="1">
      <c r="A473" s="83"/>
      <c r="B473" s="83"/>
      <c r="C473" s="83"/>
      <c r="D473" s="83"/>
      <c r="E473" s="87"/>
      <c r="F473" s="83"/>
      <c r="G473" s="83"/>
      <c r="H473" s="83"/>
      <c r="I473" s="83"/>
      <c r="J473" s="83"/>
      <c r="K473" s="83"/>
    </row>
    <row r="474" ht="22.5" hidden="1" customHeight="1">
      <c r="A474" s="83"/>
      <c r="B474" s="83"/>
      <c r="C474" s="83"/>
      <c r="D474" s="83"/>
      <c r="E474" s="87"/>
      <c r="F474" s="83"/>
      <c r="G474" s="83"/>
      <c r="H474" s="83"/>
      <c r="I474" s="83"/>
      <c r="J474" s="83"/>
      <c r="K474" s="83"/>
    </row>
    <row r="475" ht="22.5" hidden="1" customHeight="1">
      <c r="A475" s="83"/>
      <c r="B475" s="83"/>
      <c r="C475" s="83"/>
      <c r="D475" s="83"/>
      <c r="E475" s="87"/>
      <c r="F475" s="83"/>
      <c r="G475" s="83"/>
      <c r="H475" s="83"/>
      <c r="I475" s="83"/>
      <c r="J475" s="83"/>
      <c r="K475" s="83"/>
    </row>
    <row r="476" ht="22.5" hidden="1" customHeight="1">
      <c r="A476" s="83"/>
      <c r="B476" s="83"/>
      <c r="C476" s="83"/>
      <c r="D476" s="83"/>
      <c r="E476" s="87"/>
      <c r="F476" s="83"/>
      <c r="G476" s="83"/>
      <c r="H476" s="83"/>
      <c r="I476" s="83"/>
      <c r="J476" s="83"/>
      <c r="K476" s="83"/>
    </row>
    <row r="477" ht="22.5" hidden="1" customHeight="1">
      <c r="A477" s="83"/>
      <c r="B477" s="83"/>
      <c r="C477" s="83"/>
      <c r="D477" s="83"/>
      <c r="E477" s="87"/>
      <c r="F477" s="83"/>
      <c r="G477" s="83"/>
      <c r="H477" s="83"/>
      <c r="I477" s="83"/>
      <c r="J477" s="83"/>
      <c r="K477" s="83"/>
    </row>
    <row r="478" ht="22.5" hidden="1" customHeight="1">
      <c r="A478" s="83"/>
      <c r="B478" s="83"/>
      <c r="C478" s="83"/>
      <c r="D478" s="83"/>
      <c r="E478" s="87"/>
      <c r="F478" s="83"/>
      <c r="G478" s="83"/>
      <c r="H478" s="83"/>
      <c r="I478" s="83"/>
      <c r="J478" s="83"/>
      <c r="K478" s="83"/>
    </row>
    <row r="479" ht="22.5" hidden="1" customHeight="1">
      <c r="A479" s="83"/>
      <c r="B479" s="83"/>
      <c r="C479" s="83"/>
      <c r="D479" s="83"/>
      <c r="E479" s="87"/>
      <c r="F479" s="83"/>
      <c r="G479" s="83"/>
      <c r="H479" s="83"/>
      <c r="I479" s="83"/>
      <c r="J479" s="83"/>
      <c r="K479" s="83"/>
    </row>
    <row r="480" ht="22.5" hidden="1" customHeight="1">
      <c r="A480" s="83"/>
      <c r="B480" s="83"/>
      <c r="C480" s="83"/>
      <c r="D480" s="83"/>
      <c r="E480" s="87"/>
      <c r="F480" s="83"/>
      <c r="G480" s="83"/>
      <c r="H480" s="83"/>
      <c r="I480" s="83"/>
      <c r="J480" s="83"/>
      <c r="K480" s="83"/>
    </row>
    <row r="481" ht="22.5" hidden="1" customHeight="1">
      <c r="A481" s="83"/>
      <c r="B481" s="83"/>
      <c r="C481" s="83"/>
      <c r="D481" s="83"/>
      <c r="E481" s="87"/>
      <c r="F481" s="83"/>
      <c r="G481" s="83"/>
      <c r="H481" s="83"/>
      <c r="I481" s="83"/>
      <c r="J481" s="83"/>
      <c r="K481" s="83"/>
    </row>
    <row r="482" ht="22.5" hidden="1" customHeight="1">
      <c r="A482" s="83"/>
      <c r="B482" s="83"/>
      <c r="C482" s="83"/>
      <c r="D482" s="83"/>
      <c r="E482" s="87"/>
      <c r="F482" s="83"/>
      <c r="G482" s="83"/>
      <c r="H482" s="83"/>
      <c r="I482" s="83"/>
      <c r="J482" s="83"/>
      <c r="K482" s="83"/>
    </row>
    <row r="483" ht="22.5" hidden="1" customHeight="1">
      <c r="A483" s="83"/>
      <c r="B483" s="83"/>
      <c r="C483" s="83"/>
      <c r="D483" s="83"/>
      <c r="E483" s="87"/>
      <c r="F483" s="83"/>
      <c r="G483" s="83"/>
      <c r="H483" s="83"/>
      <c r="I483" s="83"/>
      <c r="J483" s="83"/>
      <c r="K483" s="83"/>
    </row>
    <row r="484" ht="22.5" hidden="1" customHeight="1">
      <c r="A484" s="83"/>
      <c r="B484" s="83"/>
      <c r="C484" s="83"/>
      <c r="D484" s="83"/>
      <c r="E484" s="87"/>
      <c r="F484" s="83"/>
      <c r="G484" s="83"/>
      <c r="H484" s="83"/>
      <c r="I484" s="83"/>
      <c r="J484" s="83"/>
      <c r="K484" s="83"/>
    </row>
    <row r="485" ht="22.5" hidden="1" customHeight="1">
      <c r="A485" s="83"/>
      <c r="B485" s="83"/>
      <c r="C485" s="83"/>
      <c r="D485" s="83"/>
      <c r="E485" s="87"/>
      <c r="F485" s="83"/>
      <c r="G485" s="83"/>
      <c r="H485" s="83"/>
      <c r="I485" s="83"/>
      <c r="J485" s="83"/>
      <c r="K485" s="83"/>
    </row>
    <row r="486" ht="22.5" hidden="1" customHeight="1">
      <c r="A486" s="83"/>
      <c r="B486" s="83"/>
      <c r="C486" s="83"/>
      <c r="D486" s="83"/>
      <c r="E486" s="87"/>
      <c r="F486" s="83"/>
      <c r="G486" s="83"/>
      <c r="H486" s="83"/>
      <c r="I486" s="83"/>
      <c r="J486" s="83"/>
      <c r="K486" s="83"/>
    </row>
    <row r="487" ht="22.5" hidden="1" customHeight="1">
      <c r="A487" s="83"/>
      <c r="B487" s="83"/>
      <c r="C487" s="83"/>
      <c r="D487" s="83"/>
      <c r="E487" s="87"/>
      <c r="F487" s="83"/>
      <c r="G487" s="83"/>
      <c r="H487" s="83"/>
      <c r="I487" s="83"/>
      <c r="J487" s="83"/>
      <c r="K487" s="83"/>
    </row>
    <row r="488" ht="22.5" hidden="1" customHeight="1">
      <c r="A488" s="83"/>
      <c r="B488" s="83"/>
      <c r="C488" s="83"/>
      <c r="D488" s="83"/>
      <c r="E488" s="87"/>
      <c r="F488" s="83"/>
      <c r="G488" s="83"/>
      <c r="H488" s="83"/>
      <c r="I488" s="83"/>
      <c r="J488" s="83"/>
      <c r="K488" s="83"/>
    </row>
    <row r="489" ht="22.5" hidden="1" customHeight="1">
      <c r="A489" s="83"/>
      <c r="B489" s="83"/>
      <c r="C489" s="83"/>
      <c r="D489" s="83"/>
      <c r="E489" s="87"/>
      <c r="F489" s="83"/>
      <c r="G489" s="83"/>
      <c r="H489" s="83"/>
      <c r="I489" s="83"/>
      <c r="J489" s="83"/>
      <c r="K489" s="83"/>
    </row>
    <row r="490" ht="22.5" hidden="1" customHeight="1">
      <c r="A490" s="83"/>
      <c r="B490" s="83"/>
      <c r="C490" s="83"/>
      <c r="D490" s="83"/>
      <c r="E490" s="87"/>
      <c r="F490" s="83"/>
      <c r="G490" s="83"/>
      <c r="H490" s="83"/>
      <c r="I490" s="83"/>
      <c r="J490" s="83"/>
      <c r="K490" s="83"/>
    </row>
    <row r="491" ht="22.5" hidden="1" customHeight="1">
      <c r="A491" s="83"/>
      <c r="B491" s="83"/>
      <c r="C491" s="83"/>
      <c r="D491" s="83"/>
      <c r="E491" s="87"/>
      <c r="F491" s="83"/>
      <c r="G491" s="83"/>
      <c r="H491" s="83"/>
      <c r="I491" s="83"/>
      <c r="J491" s="83"/>
      <c r="K491" s="83"/>
    </row>
    <row r="492" ht="22.5" hidden="1" customHeight="1">
      <c r="A492" s="83"/>
      <c r="B492" s="83"/>
      <c r="C492" s="83"/>
      <c r="D492" s="83"/>
      <c r="E492" s="87"/>
      <c r="F492" s="83"/>
      <c r="G492" s="83"/>
      <c r="H492" s="83"/>
      <c r="I492" s="83"/>
      <c r="J492" s="83"/>
      <c r="K492" s="83"/>
    </row>
    <row r="493" ht="22.5" hidden="1" customHeight="1">
      <c r="A493" s="83"/>
      <c r="B493" s="83"/>
      <c r="C493" s="83"/>
      <c r="D493" s="83"/>
      <c r="E493" s="87"/>
      <c r="F493" s="83"/>
      <c r="G493" s="83"/>
      <c r="H493" s="83"/>
      <c r="I493" s="83"/>
      <c r="J493" s="83"/>
      <c r="K493" s="83"/>
    </row>
    <row r="494" ht="22.5" hidden="1" customHeight="1">
      <c r="A494" s="83"/>
      <c r="B494" s="83"/>
      <c r="C494" s="83"/>
      <c r="D494" s="83"/>
      <c r="E494" s="87"/>
      <c r="F494" s="83"/>
      <c r="G494" s="83"/>
      <c r="H494" s="83"/>
      <c r="I494" s="83"/>
      <c r="J494" s="83"/>
      <c r="K494" s="83"/>
    </row>
    <row r="495" ht="22.5" hidden="1" customHeight="1">
      <c r="A495" s="83"/>
      <c r="B495" s="83"/>
      <c r="C495" s="83"/>
      <c r="D495" s="83"/>
      <c r="E495" s="87"/>
      <c r="F495" s="83"/>
      <c r="G495" s="83"/>
      <c r="H495" s="83"/>
      <c r="I495" s="83"/>
      <c r="J495" s="83"/>
      <c r="K495" s="83"/>
    </row>
    <row r="496" ht="22.5" hidden="1" customHeight="1">
      <c r="A496" s="83"/>
      <c r="B496" s="83"/>
      <c r="C496" s="83"/>
      <c r="D496" s="83"/>
      <c r="E496" s="87"/>
      <c r="F496" s="83"/>
      <c r="G496" s="83"/>
      <c r="H496" s="83"/>
      <c r="I496" s="83"/>
      <c r="J496" s="83"/>
      <c r="K496" s="83"/>
    </row>
    <row r="497" ht="22.5" hidden="1" customHeight="1">
      <c r="A497" s="83"/>
      <c r="B497" s="83"/>
      <c r="C497" s="83"/>
      <c r="D497" s="83"/>
      <c r="E497" s="87"/>
      <c r="F497" s="83"/>
      <c r="G497" s="83"/>
      <c r="H497" s="83"/>
      <c r="I497" s="83"/>
      <c r="J497" s="83"/>
      <c r="K497" s="83"/>
    </row>
    <row r="498" ht="22.5" hidden="1" customHeight="1">
      <c r="A498" s="83"/>
      <c r="B498" s="83"/>
      <c r="C498" s="83"/>
      <c r="D498" s="83"/>
      <c r="E498" s="87"/>
      <c r="F498" s="83"/>
      <c r="G498" s="83"/>
      <c r="H498" s="83"/>
      <c r="I498" s="83"/>
      <c r="J498" s="83"/>
      <c r="K498" s="83"/>
    </row>
    <row r="499" ht="22.5" hidden="1" customHeight="1">
      <c r="A499" s="83"/>
      <c r="B499" s="83"/>
      <c r="C499" s="83"/>
      <c r="D499" s="83"/>
      <c r="E499" s="87"/>
      <c r="F499" s="83"/>
      <c r="G499" s="83"/>
      <c r="H499" s="83"/>
      <c r="I499" s="83"/>
      <c r="J499" s="83"/>
      <c r="K499" s="83"/>
    </row>
    <row r="500" ht="22.5" hidden="1" customHeight="1">
      <c r="A500" s="83"/>
      <c r="B500" s="83"/>
      <c r="C500" s="83"/>
      <c r="D500" s="83"/>
      <c r="E500" s="87"/>
      <c r="F500" s="83"/>
      <c r="G500" s="83"/>
      <c r="H500" s="83"/>
      <c r="I500" s="83"/>
      <c r="J500" s="83"/>
      <c r="K500" s="83"/>
    </row>
    <row r="501" ht="22.5" hidden="1" customHeight="1">
      <c r="A501" s="83"/>
      <c r="B501" s="83"/>
      <c r="C501" s="83"/>
      <c r="D501" s="83"/>
      <c r="E501" s="87"/>
      <c r="F501" s="83"/>
      <c r="G501" s="83"/>
      <c r="H501" s="83"/>
      <c r="I501" s="83"/>
      <c r="J501" s="83"/>
      <c r="K501" s="83"/>
    </row>
    <row r="502" ht="22.5" hidden="1" customHeight="1">
      <c r="A502" s="83"/>
      <c r="B502" s="83"/>
      <c r="C502" s="83"/>
      <c r="D502" s="83"/>
      <c r="E502" s="87"/>
      <c r="F502" s="83"/>
      <c r="G502" s="83"/>
      <c r="H502" s="83"/>
      <c r="I502" s="83"/>
      <c r="J502" s="83"/>
      <c r="K502" s="83"/>
    </row>
    <row r="503" ht="22.5" hidden="1" customHeight="1">
      <c r="A503" s="83"/>
      <c r="B503" s="83"/>
      <c r="C503" s="83"/>
      <c r="D503" s="83"/>
      <c r="E503" s="87"/>
      <c r="F503" s="83"/>
      <c r="G503" s="83"/>
      <c r="H503" s="83"/>
      <c r="I503" s="83"/>
      <c r="J503" s="83"/>
      <c r="K503" s="83"/>
    </row>
    <row r="504" ht="22.5" hidden="1" customHeight="1">
      <c r="A504" s="83"/>
      <c r="B504" s="83"/>
      <c r="C504" s="83"/>
      <c r="D504" s="83"/>
      <c r="E504" s="87"/>
      <c r="F504" s="83"/>
      <c r="G504" s="83"/>
      <c r="H504" s="83"/>
      <c r="I504" s="83"/>
      <c r="J504" s="83"/>
      <c r="K504" s="83"/>
    </row>
    <row r="505" ht="22.5" hidden="1" customHeight="1">
      <c r="A505" s="83"/>
      <c r="B505" s="83"/>
      <c r="C505" s="83"/>
      <c r="D505" s="83"/>
      <c r="E505" s="87"/>
      <c r="F505" s="83"/>
      <c r="G505" s="83"/>
      <c r="H505" s="83"/>
      <c r="I505" s="83"/>
      <c r="J505" s="83"/>
      <c r="K505" s="83"/>
    </row>
    <row r="506" ht="22.5" hidden="1" customHeight="1">
      <c r="A506" s="83"/>
      <c r="B506" s="83"/>
      <c r="C506" s="83"/>
      <c r="D506" s="83"/>
      <c r="E506" s="87"/>
      <c r="F506" s="83"/>
      <c r="G506" s="83"/>
      <c r="H506" s="83"/>
      <c r="I506" s="83"/>
      <c r="J506" s="83"/>
      <c r="K506" s="83"/>
    </row>
    <row r="507" ht="22.5" hidden="1" customHeight="1">
      <c r="A507" s="83"/>
      <c r="B507" s="83"/>
      <c r="C507" s="83"/>
      <c r="D507" s="83"/>
      <c r="E507" s="87"/>
      <c r="F507" s="83"/>
      <c r="G507" s="83"/>
      <c r="H507" s="83"/>
      <c r="I507" s="83"/>
      <c r="J507" s="83"/>
      <c r="K507" s="83"/>
    </row>
    <row r="508" ht="22.5" hidden="1" customHeight="1">
      <c r="A508" s="83"/>
      <c r="B508" s="83"/>
      <c r="C508" s="83"/>
      <c r="D508" s="83"/>
      <c r="E508" s="87"/>
      <c r="F508" s="83"/>
      <c r="G508" s="83"/>
      <c r="H508" s="83"/>
      <c r="I508" s="83"/>
      <c r="J508" s="83"/>
      <c r="K508" s="83"/>
    </row>
    <row r="509" ht="22.5" hidden="1" customHeight="1">
      <c r="A509" s="83"/>
      <c r="B509" s="83"/>
      <c r="C509" s="83"/>
      <c r="D509" s="83"/>
      <c r="E509" s="87"/>
      <c r="F509" s="83"/>
      <c r="G509" s="83"/>
      <c r="H509" s="83"/>
      <c r="I509" s="83"/>
      <c r="J509" s="83"/>
      <c r="K509" s="83"/>
    </row>
    <row r="510" ht="22.5" hidden="1" customHeight="1">
      <c r="A510" s="83"/>
      <c r="B510" s="83"/>
      <c r="C510" s="83"/>
      <c r="D510" s="83"/>
      <c r="E510" s="87"/>
      <c r="F510" s="83"/>
      <c r="G510" s="83"/>
      <c r="H510" s="83"/>
      <c r="I510" s="83"/>
      <c r="J510" s="83"/>
      <c r="K510" s="83"/>
    </row>
    <row r="511" ht="22.5" hidden="1" customHeight="1">
      <c r="A511" s="83"/>
      <c r="B511" s="83"/>
      <c r="C511" s="83"/>
      <c r="D511" s="83"/>
      <c r="E511" s="87"/>
      <c r="F511" s="83"/>
      <c r="G511" s="83"/>
      <c r="H511" s="83"/>
      <c r="I511" s="83"/>
      <c r="J511" s="83"/>
      <c r="K511" s="83"/>
    </row>
    <row r="512" ht="22.5" hidden="1" customHeight="1">
      <c r="A512" s="83"/>
      <c r="B512" s="83"/>
      <c r="C512" s="83"/>
      <c r="D512" s="83"/>
      <c r="E512" s="87"/>
      <c r="F512" s="83"/>
      <c r="G512" s="83"/>
      <c r="H512" s="83"/>
      <c r="I512" s="83"/>
      <c r="J512" s="83"/>
      <c r="K512" s="83"/>
    </row>
    <row r="513" ht="22.5" hidden="1" customHeight="1">
      <c r="A513" s="83"/>
      <c r="B513" s="83"/>
      <c r="C513" s="83"/>
      <c r="D513" s="83"/>
      <c r="E513" s="87"/>
      <c r="F513" s="83"/>
      <c r="G513" s="83"/>
      <c r="H513" s="83"/>
      <c r="I513" s="83"/>
      <c r="J513" s="83"/>
      <c r="K513" s="83"/>
    </row>
    <row r="514" ht="22.5" hidden="1" customHeight="1">
      <c r="A514" s="83"/>
      <c r="B514" s="83"/>
      <c r="C514" s="83"/>
      <c r="D514" s="83"/>
      <c r="E514" s="87"/>
      <c r="F514" s="83"/>
      <c r="G514" s="83"/>
      <c r="H514" s="83"/>
      <c r="I514" s="83"/>
      <c r="J514" s="83"/>
      <c r="K514" s="83"/>
    </row>
    <row r="515" ht="22.5" hidden="1" customHeight="1">
      <c r="A515" s="83"/>
      <c r="B515" s="83"/>
      <c r="C515" s="83"/>
      <c r="D515" s="83"/>
      <c r="E515" s="87"/>
      <c r="F515" s="83"/>
      <c r="G515" s="83"/>
      <c r="H515" s="83"/>
      <c r="I515" s="83"/>
      <c r="J515" s="83"/>
      <c r="K515" s="83"/>
    </row>
    <row r="516" ht="22.5" hidden="1" customHeight="1">
      <c r="A516" s="83"/>
      <c r="B516" s="83"/>
      <c r="C516" s="83"/>
      <c r="D516" s="83"/>
      <c r="E516" s="87"/>
      <c r="F516" s="83"/>
      <c r="G516" s="83"/>
      <c r="H516" s="83"/>
      <c r="I516" s="83"/>
      <c r="J516" s="83"/>
      <c r="K516" s="83"/>
    </row>
    <row r="517" ht="22.5" hidden="1" customHeight="1">
      <c r="A517" s="83"/>
      <c r="B517" s="83"/>
      <c r="C517" s="83"/>
      <c r="D517" s="83"/>
      <c r="E517" s="87"/>
      <c r="F517" s="83"/>
      <c r="G517" s="83"/>
      <c r="H517" s="83"/>
      <c r="I517" s="83"/>
      <c r="J517" s="83"/>
      <c r="K517" s="83"/>
    </row>
    <row r="518" ht="22.5" hidden="1" customHeight="1">
      <c r="A518" s="83"/>
      <c r="B518" s="83"/>
      <c r="C518" s="83"/>
      <c r="D518" s="83"/>
      <c r="E518" s="87"/>
      <c r="F518" s="83"/>
      <c r="G518" s="83"/>
      <c r="H518" s="83"/>
      <c r="I518" s="83"/>
      <c r="J518" s="83"/>
      <c r="K518" s="83"/>
    </row>
    <row r="519" ht="22.5" hidden="1" customHeight="1">
      <c r="A519" s="83"/>
      <c r="B519" s="83"/>
      <c r="C519" s="83"/>
      <c r="D519" s="83"/>
      <c r="E519" s="87"/>
      <c r="F519" s="83"/>
      <c r="G519" s="83"/>
      <c r="H519" s="83"/>
      <c r="I519" s="83"/>
      <c r="J519" s="83"/>
      <c r="K519" s="83"/>
    </row>
    <row r="520" ht="22.5" hidden="1" customHeight="1">
      <c r="A520" s="83"/>
      <c r="B520" s="83"/>
      <c r="C520" s="83"/>
      <c r="D520" s="83"/>
      <c r="E520" s="87"/>
      <c r="F520" s="83"/>
      <c r="G520" s="83"/>
      <c r="H520" s="83"/>
      <c r="I520" s="83"/>
      <c r="J520" s="83"/>
      <c r="K520" s="83"/>
    </row>
    <row r="521" ht="22.5" hidden="1" customHeight="1">
      <c r="A521" s="83"/>
      <c r="B521" s="83"/>
      <c r="C521" s="83"/>
      <c r="D521" s="83"/>
      <c r="E521" s="87"/>
      <c r="F521" s="83"/>
      <c r="G521" s="83"/>
      <c r="H521" s="83"/>
      <c r="I521" s="83"/>
      <c r="J521" s="83"/>
      <c r="K521" s="83"/>
    </row>
    <row r="522" ht="22.5" hidden="1" customHeight="1">
      <c r="A522" s="83"/>
      <c r="B522" s="83"/>
      <c r="C522" s="83"/>
      <c r="D522" s="83"/>
      <c r="E522" s="87"/>
      <c r="F522" s="83"/>
      <c r="G522" s="83"/>
      <c r="H522" s="83"/>
      <c r="I522" s="83"/>
      <c r="J522" s="83"/>
      <c r="K522" s="83"/>
    </row>
    <row r="523" ht="22.5" hidden="1" customHeight="1">
      <c r="A523" s="83"/>
      <c r="B523" s="83"/>
      <c r="C523" s="83"/>
      <c r="D523" s="83"/>
      <c r="E523" s="87"/>
      <c r="F523" s="83"/>
      <c r="G523" s="83"/>
      <c r="H523" s="83"/>
      <c r="I523" s="83"/>
      <c r="J523" s="83"/>
      <c r="K523" s="83"/>
    </row>
    <row r="524" ht="22.5" hidden="1" customHeight="1">
      <c r="A524" s="83"/>
      <c r="B524" s="83"/>
      <c r="C524" s="83"/>
      <c r="D524" s="83"/>
      <c r="E524" s="87"/>
      <c r="F524" s="83"/>
      <c r="G524" s="83"/>
      <c r="H524" s="83"/>
      <c r="I524" s="83"/>
      <c r="J524" s="83"/>
      <c r="K524" s="83"/>
    </row>
    <row r="525" ht="22.5" hidden="1" customHeight="1">
      <c r="A525" s="83"/>
      <c r="B525" s="83"/>
      <c r="C525" s="83"/>
      <c r="D525" s="83"/>
      <c r="E525" s="87"/>
      <c r="F525" s="83"/>
      <c r="G525" s="83"/>
      <c r="H525" s="83"/>
      <c r="I525" s="83"/>
      <c r="J525" s="83"/>
      <c r="K525" s="83"/>
    </row>
    <row r="526" ht="22.5" hidden="1" customHeight="1">
      <c r="A526" s="83"/>
      <c r="B526" s="83"/>
      <c r="C526" s="83"/>
      <c r="D526" s="83"/>
      <c r="E526" s="87"/>
      <c r="F526" s="83"/>
      <c r="G526" s="83"/>
      <c r="H526" s="83"/>
      <c r="I526" s="83"/>
      <c r="J526" s="83"/>
      <c r="K526" s="83"/>
    </row>
    <row r="527" ht="22.5" hidden="1" customHeight="1">
      <c r="A527" s="83"/>
      <c r="B527" s="83"/>
      <c r="C527" s="83"/>
      <c r="D527" s="83"/>
      <c r="E527" s="87"/>
      <c r="F527" s="83"/>
      <c r="G527" s="83"/>
      <c r="H527" s="83"/>
      <c r="I527" s="83"/>
      <c r="J527" s="83"/>
      <c r="K527" s="83"/>
    </row>
    <row r="528" ht="22.5" hidden="1" customHeight="1">
      <c r="A528" s="83"/>
      <c r="B528" s="83"/>
      <c r="C528" s="83"/>
      <c r="D528" s="83"/>
      <c r="E528" s="87"/>
      <c r="F528" s="83"/>
      <c r="G528" s="83"/>
      <c r="H528" s="83"/>
      <c r="I528" s="83"/>
      <c r="J528" s="83"/>
      <c r="K528" s="83"/>
    </row>
    <row r="529" ht="22.5" hidden="1" customHeight="1">
      <c r="A529" s="83"/>
      <c r="B529" s="83"/>
      <c r="C529" s="83"/>
      <c r="D529" s="83"/>
      <c r="E529" s="87"/>
      <c r="F529" s="83"/>
      <c r="G529" s="83"/>
      <c r="H529" s="83"/>
      <c r="I529" s="83"/>
      <c r="J529" s="83"/>
      <c r="K529" s="83"/>
    </row>
    <row r="530" ht="22.5" hidden="1" customHeight="1">
      <c r="A530" s="83"/>
      <c r="B530" s="83"/>
      <c r="C530" s="83"/>
      <c r="D530" s="83"/>
      <c r="E530" s="87"/>
      <c r="F530" s="83"/>
      <c r="G530" s="83"/>
      <c r="H530" s="83"/>
      <c r="I530" s="83"/>
      <c r="J530" s="83"/>
      <c r="K530" s="83"/>
    </row>
    <row r="531" ht="22.5" hidden="1" customHeight="1">
      <c r="A531" s="83"/>
      <c r="B531" s="83"/>
      <c r="C531" s="83"/>
      <c r="D531" s="83"/>
      <c r="E531" s="87"/>
      <c r="F531" s="83"/>
      <c r="G531" s="83"/>
      <c r="H531" s="83"/>
      <c r="I531" s="83"/>
      <c r="J531" s="83"/>
      <c r="K531" s="83"/>
    </row>
    <row r="532" ht="22.5" hidden="1" customHeight="1">
      <c r="A532" s="83"/>
      <c r="B532" s="83"/>
      <c r="C532" s="83"/>
      <c r="D532" s="83"/>
      <c r="E532" s="87"/>
      <c r="F532" s="83"/>
      <c r="G532" s="83"/>
      <c r="H532" s="83"/>
      <c r="I532" s="83"/>
      <c r="J532" s="83"/>
      <c r="K532" s="83"/>
    </row>
    <row r="533" ht="22.5" hidden="1" customHeight="1">
      <c r="A533" s="83"/>
      <c r="B533" s="83"/>
      <c r="C533" s="83"/>
      <c r="D533" s="83"/>
      <c r="E533" s="87"/>
      <c r="F533" s="83"/>
      <c r="G533" s="83"/>
      <c r="H533" s="83"/>
      <c r="I533" s="83"/>
      <c r="J533" s="83"/>
      <c r="K533" s="83"/>
    </row>
    <row r="534" ht="22.5" hidden="1" customHeight="1">
      <c r="A534" s="83"/>
      <c r="B534" s="83"/>
      <c r="C534" s="83"/>
      <c r="D534" s="83"/>
      <c r="E534" s="87"/>
      <c r="F534" s="83"/>
      <c r="G534" s="83"/>
      <c r="H534" s="83"/>
      <c r="I534" s="83"/>
      <c r="J534" s="83"/>
      <c r="K534" s="83"/>
    </row>
    <row r="535" ht="22.5" hidden="1" customHeight="1">
      <c r="A535" s="83"/>
      <c r="B535" s="83"/>
      <c r="C535" s="83"/>
      <c r="D535" s="83"/>
      <c r="E535" s="87"/>
      <c r="F535" s="83"/>
      <c r="G535" s="83"/>
      <c r="H535" s="83"/>
      <c r="I535" s="83"/>
      <c r="J535" s="83"/>
      <c r="K535" s="83"/>
    </row>
    <row r="536" ht="22.5" hidden="1" customHeight="1">
      <c r="A536" s="83"/>
      <c r="B536" s="83"/>
      <c r="C536" s="83"/>
      <c r="D536" s="83"/>
      <c r="E536" s="87"/>
      <c r="F536" s="83"/>
      <c r="G536" s="83"/>
      <c r="H536" s="83"/>
      <c r="I536" s="83"/>
      <c r="J536" s="83"/>
      <c r="K536" s="83"/>
    </row>
    <row r="537" ht="22.5" hidden="1" customHeight="1">
      <c r="A537" s="83"/>
      <c r="B537" s="83"/>
      <c r="C537" s="83"/>
      <c r="D537" s="83"/>
      <c r="E537" s="87"/>
      <c r="F537" s="83"/>
      <c r="G537" s="83"/>
      <c r="H537" s="83"/>
      <c r="I537" s="83"/>
      <c r="J537" s="83"/>
      <c r="K537" s="83"/>
    </row>
    <row r="538" ht="22.5" hidden="1" customHeight="1">
      <c r="A538" s="83"/>
      <c r="B538" s="83"/>
      <c r="C538" s="83"/>
      <c r="D538" s="83"/>
      <c r="E538" s="87"/>
      <c r="F538" s="83"/>
      <c r="G538" s="83"/>
      <c r="H538" s="83"/>
      <c r="I538" s="83"/>
      <c r="J538" s="83"/>
      <c r="K538" s="83"/>
    </row>
    <row r="539" ht="22.5" hidden="1" customHeight="1">
      <c r="A539" s="83"/>
      <c r="B539" s="83"/>
      <c r="C539" s="83"/>
      <c r="D539" s="83"/>
      <c r="E539" s="87"/>
      <c r="F539" s="83"/>
      <c r="G539" s="83"/>
      <c r="H539" s="83"/>
      <c r="I539" s="83"/>
      <c r="J539" s="83"/>
      <c r="K539" s="83"/>
    </row>
    <row r="540" ht="22.5" hidden="1" customHeight="1">
      <c r="A540" s="83"/>
      <c r="B540" s="83"/>
      <c r="C540" s="83"/>
      <c r="D540" s="83"/>
      <c r="E540" s="87"/>
      <c r="F540" s="83"/>
      <c r="G540" s="83"/>
      <c r="H540" s="83"/>
      <c r="I540" s="83"/>
      <c r="J540" s="83"/>
      <c r="K540" s="83"/>
    </row>
    <row r="541" ht="22.5" hidden="1" customHeight="1">
      <c r="A541" s="83"/>
      <c r="B541" s="83"/>
      <c r="C541" s="83"/>
      <c r="D541" s="83"/>
      <c r="E541" s="87"/>
      <c r="F541" s="83"/>
      <c r="G541" s="83"/>
      <c r="H541" s="83"/>
      <c r="I541" s="83"/>
      <c r="J541" s="83"/>
      <c r="K541" s="83"/>
    </row>
    <row r="542" ht="22.5" hidden="1" customHeight="1">
      <c r="A542" s="83"/>
      <c r="B542" s="83"/>
      <c r="C542" s="83"/>
      <c r="D542" s="83"/>
      <c r="E542" s="87"/>
      <c r="F542" s="83"/>
      <c r="G542" s="83"/>
      <c r="H542" s="83"/>
      <c r="I542" s="83"/>
      <c r="J542" s="83"/>
      <c r="K542" s="83"/>
    </row>
    <row r="543" ht="22.5" hidden="1" customHeight="1">
      <c r="A543" s="83"/>
      <c r="B543" s="83"/>
      <c r="C543" s="83"/>
      <c r="D543" s="83"/>
      <c r="E543" s="87"/>
      <c r="F543" s="83"/>
      <c r="G543" s="83"/>
      <c r="H543" s="83"/>
      <c r="I543" s="83"/>
      <c r="J543" s="83"/>
      <c r="K543" s="83"/>
    </row>
    <row r="544" ht="22.5" hidden="1" customHeight="1">
      <c r="A544" s="83"/>
      <c r="B544" s="83"/>
      <c r="C544" s="83"/>
      <c r="D544" s="83"/>
      <c r="E544" s="87"/>
      <c r="F544" s="83"/>
      <c r="G544" s="83"/>
      <c r="H544" s="83"/>
      <c r="I544" s="83"/>
      <c r="J544" s="83"/>
      <c r="K544" s="83"/>
    </row>
    <row r="545" ht="22.5" hidden="1" customHeight="1">
      <c r="A545" s="83"/>
      <c r="B545" s="83"/>
      <c r="C545" s="83"/>
      <c r="D545" s="83"/>
      <c r="E545" s="87"/>
      <c r="F545" s="83"/>
      <c r="G545" s="83"/>
      <c r="H545" s="83"/>
      <c r="I545" s="83"/>
      <c r="J545" s="83"/>
      <c r="K545" s="83"/>
    </row>
    <row r="546" ht="22.5" hidden="1" customHeight="1">
      <c r="A546" s="83"/>
      <c r="B546" s="83"/>
      <c r="C546" s="83"/>
      <c r="D546" s="83"/>
      <c r="E546" s="87"/>
      <c r="F546" s="83"/>
      <c r="G546" s="83"/>
      <c r="H546" s="83"/>
      <c r="I546" s="83"/>
      <c r="J546" s="83"/>
      <c r="K546" s="83"/>
    </row>
    <row r="547" ht="22.5" hidden="1" customHeight="1">
      <c r="A547" s="83"/>
      <c r="B547" s="83"/>
      <c r="C547" s="83"/>
      <c r="D547" s="83"/>
      <c r="E547" s="87"/>
      <c r="F547" s="83"/>
      <c r="G547" s="83"/>
      <c r="H547" s="83"/>
      <c r="I547" s="83"/>
      <c r="J547" s="83"/>
      <c r="K547" s="83"/>
    </row>
    <row r="548" ht="22.5" hidden="1" customHeight="1">
      <c r="A548" s="83"/>
      <c r="B548" s="83"/>
      <c r="C548" s="83"/>
      <c r="D548" s="83"/>
      <c r="E548" s="87"/>
      <c r="F548" s="83"/>
      <c r="G548" s="83"/>
      <c r="H548" s="83"/>
      <c r="I548" s="83"/>
      <c r="J548" s="83"/>
      <c r="K548" s="83"/>
    </row>
    <row r="549" ht="22.5" hidden="1" customHeight="1">
      <c r="A549" s="83"/>
      <c r="B549" s="83"/>
      <c r="C549" s="83"/>
      <c r="D549" s="83"/>
      <c r="E549" s="87"/>
      <c r="F549" s="83"/>
      <c r="G549" s="83"/>
      <c r="H549" s="83"/>
      <c r="I549" s="83"/>
      <c r="J549" s="83"/>
      <c r="K549" s="83"/>
    </row>
    <row r="550" ht="22.5" hidden="1" customHeight="1">
      <c r="A550" s="83"/>
      <c r="B550" s="83"/>
      <c r="C550" s="83"/>
      <c r="D550" s="83"/>
      <c r="E550" s="87"/>
      <c r="F550" s="83"/>
      <c r="G550" s="83"/>
      <c r="H550" s="83"/>
      <c r="I550" s="83"/>
      <c r="J550" s="83"/>
      <c r="K550" s="83"/>
    </row>
    <row r="551" ht="22.5" hidden="1" customHeight="1">
      <c r="A551" s="83"/>
      <c r="B551" s="83"/>
      <c r="C551" s="83"/>
      <c r="D551" s="83"/>
      <c r="E551" s="87"/>
      <c r="F551" s="83"/>
      <c r="G551" s="83"/>
      <c r="H551" s="83"/>
      <c r="I551" s="83"/>
      <c r="J551" s="83"/>
      <c r="K551" s="83"/>
    </row>
    <row r="552" ht="22.5" hidden="1" customHeight="1">
      <c r="A552" s="83"/>
      <c r="B552" s="83"/>
      <c r="C552" s="83"/>
      <c r="D552" s="83"/>
      <c r="E552" s="87"/>
      <c r="F552" s="83"/>
      <c r="G552" s="83"/>
      <c r="H552" s="83"/>
      <c r="I552" s="83"/>
      <c r="J552" s="83"/>
      <c r="K552" s="83"/>
    </row>
    <row r="553" ht="22.5" hidden="1" customHeight="1">
      <c r="A553" s="83"/>
      <c r="B553" s="83"/>
      <c r="C553" s="83"/>
      <c r="D553" s="83"/>
      <c r="E553" s="87"/>
      <c r="F553" s="83"/>
      <c r="G553" s="83"/>
      <c r="H553" s="83"/>
      <c r="I553" s="83"/>
      <c r="J553" s="83"/>
      <c r="K553" s="83"/>
    </row>
    <row r="554" ht="22.5" hidden="1" customHeight="1">
      <c r="A554" s="83"/>
      <c r="B554" s="83"/>
      <c r="C554" s="83"/>
      <c r="D554" s="83"/>
      <c r="E554" s="87"/>
      <c r="F554" s="83"/>
      <c r="G554" s="83"/>
      <c r="H554" s="83"/>
      <c r="I554" s="83"/>
      <c r="J554" s="83"/>
      <c r="K554" s="83"/>
    </row>
    <row r="555" ht="22.5" hidden="1" customHeight="1">
      <c r="A555" s="83"/>
      <c r="B555" s="83"/>
      <c r="C555" s="83"/>
      <c r="D555" s="83"/>
      <c r="E555" s="87"/>
      <c r="F555" s="83"/>
      <c r="G555" s="83"/>
      <c r="H555" s="83"/>
      <c r="I555" s="83"/>
      <c r="J555" s="83"/>
      <c r="K555" s="83"/>
    </row>
    <row r="556" ht="22.5" hidden="1" customHeight="1">
      <c r="A556" s="83"/>
      <c r="B556" s="83"/>
      <c r="C556" s="83"/>
      <c r="D556" s="83"/>
      <c r="E556" s="87"/>
      <c r="F556" s="83"/>
      <c r="G556" s="83"/>
      <c r="H556" s="83"/>
      <c r="I556" s="83"/>
      <c r="J556" s="83"/>
      <c r="K556" s="83"/>
    </row>
    <row r="557" ht="22.5" hidden="1" customHeight="1">
      <c r="A557" s="83"/>
      <c r="B557" s="83"/>
      <c r="C557" s="83"/>
      <c r="D557" s="83"/>
      <c r="E557" s="87"/>
      <c r="F557" s="83"/>
      <c r="G557" s="83"/>
      <c r="H557" s="83"/>
      <c r="I557" s="83"/>
      <c r="J557" s="83"/>
      <c r="K557" s="83"/>
    </row>
    <row r="558" ht="22.5" hidden="1" customHeight="1">
      <c r="A558" s="83"/>
      <c r="B558" s="83"/>
      <c r="C558" s="83"/>
      <c r="D558" s="83"/>
      <c r="E558" s="87"/>
      <c r="F558" s="83"/>
      <c r="G558" s="83"/>
      <c r="H558" s="83"/>
      <c r="I558" s="83"/>
      <c r="J558" s="83"/>
      <c r="K558" s="83"/>
    </row>
    <row r="559" ht="22.5" hidden="1" customHeight="1">
      <c r="A559" s="83"/>
      <c r="B559" s="83"/>
      <c r="C559" s="83"/>
      <c r="D559" s="83"/>
      <c r="E559" s="87"/>
      <c r="F559" s="83"/>
      <c r="G559" s="83"/>
      <c r="H559" s="83"/>
      <c r="I559" s="83"/>
      <c r="J559" s="83"/>
      <c r="K559" s="83"/>
    </row>
    <row r="560" ht="22.5" hidden="1" customHeight="1">
      <c r="A560" s="83"/>
      <c r="B560" s="83"/>
      <c r="C560" s="83"/>
      <c r="D560" s="83"/>
      <c r="E560" s="87"/>
      <c r="F560" s="83"/>
      <c r="G560" s="83"/>
      <c r="H560" s="83"/>
      <c r="I560" s="83"/>
      <c r="J560" s="83"/>
      <c r="K560" s="83"/>
    </row>
    <row r="561" ht="22.5" hidden="1" customHeight="1">
      <c r="A561" s="83"/>
      <c r="B561" s="83"/>
      <c r="C561" s="83"/>
      <c r="D561" s="83"/>
      <c r="E561" s="87"/>
      <c r="F561" s="83"/>
      <c r="G561" s="83"/>
      <c r="H561" s="83"/>
      <c r="I561" s="83"/>
      <c r="J561" s="83"/>
      <c r="K561" s="83"/>
    </row>
    <row r="562" ht="22.5" hidden="1" customHeight="1">
      <c r="A562" s="83"/>
      <c r="B562" s="83"/>
      <c r="C562" s="83"/>
      <c r="D562" s="83"/>
      <c r="E562" s="87"/>
      <c r="F562" s="83"/>
      <c r="G562" s="83"/>
      <c r="H562" s="83"/>
      <c r="I562" s="83"/>
      <c r="J562" s="83"/>
      <c r="K562" s="83"/>
    </row>
    <row r="563" ht="22.5" hidden="1" customHeight="1">
      <c r="A563" s="83"/>
      <c r="B563" s="83"/>
      <c r="C563" s="83"/>
      <c r="D563" s="83"/>
      <c r="E563" s="87"/>
      <c r="F563" s="83"/>
      <c r="G563" s="83"/>
      <c r="H563" s="83"/>
      <c r="I563" s="83"/>
      <c r="J563" s="83"/>
      <c r="K563" s="83"/>
    </row>
    <row r="564" ht="22.5" hidden="1" customHeight="1">
      <c r="A564" s="83"/>
      <c r="B564" s="83"/>
      <c r="C564" s="83"/>
      <c r="D564" s="83"/>
      <c r="E564" s="87"/>
      <c r="F564" s="83"/>
      <c r="G564" s="83"/>
      <c r="H564" s="83"/>
      <c r="I564" s="83"/>
      <c r="J564" s="83"/>
      <c r="K564" s="83"/>
    </row>
    <row r="565" ht="22.5" hidden="1" customHeight="1">
      <c r="A565" s="83"/>
      <c r="B565" s="83"/>
      <c r="C565" s="83"/>
      <c r="D565" s="83"/>
      <c r="E565" s="87"/>
      <c r="F565" s="83"/>
      <c r="G565" s="83"/>
      <c r="H565" s="83"/>
      <c r="I565" s="83"/>
      <c r="J565" s="83"/>
      <c r="K565" s="83"/>
    </row>
    <row r="566" ht="22.5" hidden="1" customHeight="1">
      <c r="A566" s="83"/>
      <c r="B566" s="83"/>
      <c r="C566" s="83"/>
      <c r="D566" s="83"/>
      <c r="E566" s="87"/>
      <c r="F566" s="83"/>
      <c r="G566" s="83"/>
      <c r="H566" s="83"/>
      <c r="I566" s="83"/>
      <c r="J566" s="83"/>
      <c r="K566" s="83"/>
    </row>
    <row r="567" ht="22.5" hidden="1" customHeight="1">
      <c r="A567" s="83"/>
      <c r="B567" s="83"/>
      <c r="C567" s="83"/>
      <c r="D567" s="83"/>
      <c r="E567" s="87"/>
      <c r="F567" s="83"/>
      <c r="G567" s="83"/>
      <c r="H567" s="83"/>
      <c r="I567" s="83"/>
      <c r="J567" s="83"/>
      <c r="K567" s="83"/>
    </row>
    <row r="568" ht="22.5" hidden="1" customHeight="1">
      <c r="A568" s="83"/>
      <c r="B568" s="83"/>
      <c r="C568" s="83"/>
      <c r="D568" s="83"/>
      <c r="E568" s="87"/>
      <c r="F568" s="83"/>
      <c r="G568" s="83"/>
      <c r="H568" s="83"/>
      <c r="I568" s="83"/>
      <c r="J568" s="83"/>
      <c r="K568" s="83"/>
    </row>
    <row r="569" ht="22.5" hidden="1" customHeight="1">
      <c r="A569" s="83"/>
      <c r="B569" s="83"/>
      <c r="C569" s="83"/>
      <c r="D569" s="83"/>
      <c r="E569" s="87"/>
      <c r="F569" s="83"/>
      <c r="G569" s="83"/>
      <c r="H569" s="83"/>
      <c r="I569" s="83"/>
      <c r="J569" s="83"/>
      <c r="K569" s="83"/>
    </row>
    <row r="570" ht="22.5" hidden="1" customHeight="1">
      <c r="A570" s="83"/>
      <c r="B570" s="83"/>
      <c r="C570" s="83"/>
      <c r="D570" s="83"/>
      <c r="E570" s="87"/>
      <c r="F570" s="83"/>
      <c r="G570" s="83"/>
      <c r="H570" s="83"/>
      <c r="I570" s="83"/>
      <c r="J570" s="83"/>
      <c r="K570" s="83"/>
    </row>
    <row r="571" ht="22.5" hidden="1" customHeight="1">
      <c r="A571" s="83"/>
      <c r="B571" s="83"/>
      <c r="C571" s="83"/>
      <c r="D571" s="83"/>
      <c r="E571" s="87"/>
      <c r="F571" s="83"/>
      <c r="G571" s="83"/>
      <c r="H571" s="83"/>
      <c r="I571" s="83"/>
      <c r="J571" s="83"/>
      <c r="K571" s="83"/>
    </row>
    <row r="572" ht="22.5" hidden="1" customHeight="1">
      <c r="A572" s="83"/>
      <c r="B572" s="83"/>
      <c r="C572" s="83"/>
      <c r="D572" s="83"/>
      <c r="E572" s="87"/>
      <c r="F572" s="83"/>
      <c r="G572" s="83"/>
      <c r="H572" s="83"/>
      <c r="I572" s="83"/>
      <c r="J572" s="83"/>
      <c r="K572" s="83"/>
    </row>
    <row r="573" ht="22.5" hidden="1" customHeight="1">
      <c r="A573" s="83"/>
      <c r="B573" s="83"/>
      <c r="C573" s="83"/>
      <c r="D573" s="83"/>
      <c r="E573" s="87"/>
      <c r="F573" s="83"/>
      <c r="G573" s="83"/>
      <c r="H573" s="83"/>
      <c r="I573" s="83"/>
      <c r="J573" s="83"/>
      <c r="K573" s="83"/>
    </row>
    <row r="574" ht="22.5" hidden="1" customHeight="1">
      <c r="A574" s="83"/>
      <c r="B574" s="83"/>
      <c r="C574" s="83"/>
      <c r="D574" s="83"/>
      <c r="E574" s="87"/>
      <c r="F574" s="83"/>
      <c r="G574" s="83"/>
      <c r="H574" s="83"/>
      <c r="I574" s="83"/>
      <c r="J574" s="83"/>
      <c r="K574" s="83"/>
    </row>
    <row r="575" ht="22.5" hidden="1" customHeight="1">
      <c r="A575" s="83"/>
      <c r="B575" s="83"/>
      <c r="C575" s="83"/>
      <c r="D575" s="83"/>
      <c r="E575" s="87"/>
      <c r="F575" s="83"/>
      <c r="G575" s="83"/>
      <c r="H575" s="83"/>
      <c r="I575" s="83"/>
      <c r="J575" s="83"/>
      <c r="K575" s="83"/>
    </row>
    <row r="576" ht="22.5" hidden="1" customHeight="1">
      <c r="A576" s="83"/>
      <c r="B576" s="83"/>
      <c r="C576" s="83"/>
      <c r="D576" s="83"/>
      <c r="E576" s="87"/>
      <c r="F576" s="83"/>
      <c r="G576" s="83"/>
      <c r="H576" s="83"/>
      <c r="I576" s="83"/>
      <c r="J576" s="83"/>
      <c r="K576" s="83"/>
    </row>
    <row r="577" ht="22.5" hidden="1" customHeight="1">
      <c r="A577" s="83"/>
      <c r="B577" s="83"/>
      <c r="C577" s="83"/>
      <c r="D577" s="83"/>
      <c r="E577" s="87"/>
      <c r="F577" s="83"/>
      <c r="G577" s="83"/>
      <c r="H577" s="83"/>
      <c r="I577" s="83"/>
      <c r="J577" s="83"/>
      <c r="K577" s="83"/>
    </row>
    <row r="578" ht="22.5" hidden="1" customHeight="1">
      <c r="A578" s="83"/>
      <c r="B578" s="83"/>
      <c r="C578" s="83"/>
      <c r="D578" s="83"/>
      <c r="E578" s="87"/>
      <c r="F578" s="83"/>
      <c r="G578" s="83"/>
      <c r="H578" s="83"/>
      <c r="I578" s="83"/>
      <c r="J578" s="83"/>
      <c r="K578" s="83"/>
    </row>
    <row r="579" ht="22.5" hidden="1" customHeight="1">
      <c r="A579" s="83"/>
      <c r="B579" s="83"/>
      <c r="C579" s="83"/>
      <c r="D579" s="83"/>
      <c r="E579" s="87"/>
      <c r="F579" s="83"/>
      <c r="G579" s="83"/>
      <c r="H579" s="83"/>
      <c r="I579" s="83"/>
      <c r="J579" s="83"/>
      <c r="K579" s="83"/>
    </row>
    <row r="580" ht="22.5" hidden="1" customHeight="1">
      <c r="A580" s="83"/>
      <c r="B580" s="83"/>
      <c r="C580" s="83"/>
      <c r="D580" s="83"/>
      <c r="E580" s="87"/>
      <c r="F580" s="83"/>
      <c r="G580" s="83"/>
      <c r="H580" s="83"/>
      <c r="I580" s="83"/>
      <c r="J580" s="83"/>
      <c r="K580" s="83"/>
    </row>
    <row r="581" ht="22.5" hidden="1" customHeight="1">
      <c r="A581" s="83"/>
      <c r="B581" s="83"/>
      <c r="C581" s="83"/>
      <c r="D581" s="83"/>
      <c r="E581" s="87"/>
      <c r="F581" s="83"/>
      <c r="G581" s="83"/>
      <c r="H581" s="83"/>
      <c r="I581" s="83"/>
      <c r="J581" s="83"/>
      <c r="K581" s="83"/>
    </row>
    <row r="582" ht="22.5" hidden="1" customHeight="1">
      <c r="A582" s="83"/>
      <c r="B582" s="83"/>
      <c r="C582" s="83"/>
      <c r="D582" s="83"/>
      <c r="E582" s="87"/>
      <c r="F582" s="83"/>
      <c r="G582" s="83"/>
      <c r="H582" s="83"/>
      <c r="I582" s="83"/>
      <c r="J582" s="83"/>
      <c r="K582" s="83"/>
    </row>
    <row r="583" ht="22.5" hidden="1" customHeight="1">
      <c r="A583" s="83"/>
      <c r="B583" s="83"/>
      <c r="C583" s="83"/>
      <c r="D583" s="83"/>
      <c r="E583" s="87"/>
      <c r="F583" s="83"/>
      <c r="G583" s="83"/>
      <c r="H583" s="83"/>
      <c r="I583" s="83"/>
      <c r="J583" s="83"/>
      <c r="K583" s="83"/>
    </row>
    <row r="584" ht="22.5" hidden="1" customHeight="1">
      <c r="A584" s="83"/>
      <c r="B584" s="83"/>
      <c r="C584" s="83"/>
      <c r="D584" s="83"/>
      <c r="E584" s="87"/>
      <c r="F584" s="83"/>
      <c r="G584" s="83"/>
      <c r="H584" s="83"/>
      <c r="I584" s="83"/>
      <c r="J584" s="83"/>
      <c r="K584" s="83"/>
    </row>
    <row r="585" ht="22.5" hidden="1" customHeight="1">
      <c r="A585" s="83"/>
      <c r="B585" s="83"/>
      <c r="C585" s="83"/>
      <c r="D585" s="83"/>
      <c r="E585" s="87"/>
      <c r="F585" s="83"/>
      <c r="G585" s="83"/>
      <c r="H585" s="83"/>
      <c r="I585" s="83"/>
      <c r="J585" s="83"/>
      <c r="K585" s="83"/>
    </row>
    <row r="586" ht="22.5" hidden="1" customHeight="1">
      <c r="A586" s="83"/>
      <c r="B586" s="83"/>
      <c r="C586" s="83"/>
      <c r="D586" s="83"/>
      <c r="E586" s="87"/>
      <c r="F586" s="83"/>
      <c r="G586" s="83"/>
      <c r="H586" s="83"/>
      <c r="I586" s="83"/>
      <c r="J586" s="83"/>
      <c r="K586" s="83"/>
    </row>
    <row r="587" ht="22.5" hidden="1" customHeight="1">
      <c r="A587" s="83"/>
      <c r="B587" s="83"/>
      <c r="C587" s="83"/>
      <c r="D587" s="83"/>
      <c r="E587" s="87"/>
      <c r="F587" s="83"/>
      <c r="G587" s="83"/>
      <c r="H587" s="83"/>
      <c r="I587" s="83"/>
      <c r="J587" s="83"/>
      <c r="K587" s="83"/>
    </row>
    <row r="588" ht="22.5" hidden="1" customHeight="1">
      <c r="A588" s="83"/>
      <c r="B588" s="83"/>
      <c r="C588" s="83"/>
      <c r="D588" s="83"/>
      <c r="E588" s="87"/>
      <c r="F588" s="83"/>
      <c r="G588" s="83"/>
      <c r="H588" s="83"/>
      <c r="I588" s="83"/>
      <c r="J588" s="83"/>
      <c r="K588" s="83"/>
    </row>
    <row r="589" ht="22.5" hidden="1" customHeight="1">
      <c r="A589" s="83"/>
      <c r="B589" s="83"/>
      <c r="C589" s="83"/>
      <c r="D589" s="83"/>
      <c r="E589" s="87"/>
      <c r="F589" s="83"/>
      <c r="G589" s="83"/>
      <c r="H589" s="83"/>
      <c r="I589" s="83"/>
      <c r="J589" s="83"/>
      <c r="K589" s="83"/>
    </row>
    <row r="590" ht="22.5" hidden="1" customHeight="1">
      <c r="A590" s="83"/>
      <c r="B590" s="83"/>
      <c r="C590" s="83"/>
      <c r="D590" s="83"/>
      <c r="E590" s="87"/>
      <c r="F590" s="83"/>
      <c r="G590" s="83"/>
      <c r="H590" s="83"/>
      <c r="I590" s="83"/>
      <c r="J590" s="83"/>
      <c r="K590" s="83"/>
    </row>
    <row r="591" ht="22.5" hidden="1" customHeight="1">
      <c r="A591" s="83"/>
      <c r="B591" s="83"/>
      <c r="C591" s="83"/>
      <c r="D591" s="83"/>
      <c r="E591" s="87"/>
      <c r="F591" s="83"/>
      <c r="G591" s="83"/>
      <c r="H591" s="83"/>
      <c r="I591" s="83"/>
      <c r="J591" s="83"/>
      <c r="K591" s="83"/>
    </row>
    <row r="592" ht="22.5" hidden="1" customHeight="1">
      <c r="A592" s="83"/>
      <c r="B592" s="83"/>
      <c r="C592" s="83"/>
      <c r="D592" s="83"/>
      <c r="E592" s="87"/>
      <c r="F592" s="83"/>
      <c r="G592" s="83"/>
      <c r="H592" s="83"/>
      <c r="I592" s="83"/>
      <c r="J592" s="83"/>
      <c r="K592" s="83"/>
    </row>
    <row r="593" ht="22.5" hidden="1" customHeight="1">
      <c r="A593" s="83"/>
      <c r="B593" s="83"/>
      <c r="C593" s="83"/>
      <c r="D593" s="83"/>
      <c r="E593" s="87"/>
      <c r="F593" s="83"/>
      <c r="G593" s="83"/>
      <c r="H593" s="83"/>
      <c r="I593" s="83"/>
      <c r="J593" s="83"/>
      <c r="K593" s="83"/>
    </row>
    <row r="594" ht="22.5" hidden="1" customHeight="1">
      <c r="A594" s="83"/>
      <c r="B594" s="83"/>
      <c r="C594" s="83"/>
      <c r="D594" s="83"/>
      <c r="E594" s="87"/>
      <c r="F594" s="83"/>
      <c r="G594" s="83"/>
      <c r="H594" s="83"/>
      <c r="I594" s="83"/>
      <c r="J594" s="83"/>
      <c r="K594" s="83"/>
    </row>
    <row r="595" ht="22.5" hidden="1" customHeight="1">
      <c r="A595" s="83"/>
      <c r="B595" s="83"/>
      <c r="C595" s="83"/>
      <c r="D595" s="83"/>
      <c r="E595" s="87"/>
      <c r="F595" s="83"/>
      <c r="G595" s="83"/>
      <c r="H595" s="83"/>
      <c r="I595" s="83"/>
      <c r="J595" s="83"/>
      <c r="K595" s="83"/>
    </row>
    <row r="596" ht="22.5" hidden="1" customHeight="1">
      <c r="A596" s="83"/>
      <c r="B596" s="83"/>
      <c r="C596" s="83"/>
      <c r="D596" s="83"/>
      <c r="E596" s="87"/>
      <c r="F596" s="83"/>
      <c r="G596" s="83"/>
      <c r="H596" s="83"/>
      <c r="I596" s="83"/>
      <c r="J596" s="83"/>
      <c r="K596" s="83"/>
    </row>
    <row r="597" ht="22.5" hidden="1" customHeight="1">
      <c r="A597" s="83"/>
      <c r="B597" s="83"/>
      <c r="C597" s="83"/>
      <c r="D597" s="83"/>
      <c r="E597" s="87"/>
      <c r="F597" s="83"/>
      <c r="G597" s="83"/>
      <c r="H597" s="83"/>
      <c r="I597" s="83"/>
      <c r="J597" s="83"/>
      <c r="K597" s="83"/>
    </row>
    <row r="598" ht="22.5" hidden="1" customHeight="1">
      <c r="A598" s="83"/>
      <c r="B598" s="83"/>
      <c r="C598" s="83"/>
      <c r="D598" s="83"/>
      <c r="E598" s="87"/>
      <c r="F598" s="83"/>
      <c r="G598" s="83"/>
      <c r="H598" s="83"/>
      <c r="I598" s="83"/>
      <c r="J598" s="83"/>
      <c r="K598" s="83"/>
    </row>
    <row r="599" ht="22.5" hidden="1" customHeight="1">
      <c r="A599" s="83"/>
      <c r="B599" s="83"/>
      <c r="C599" s="83"/>
      <c r="D599" s="83"/>
      <c r="E599" s="87"/>
      <c r="F599" s="83"/>
      <c r="G599" s="83"/>
      <c r="H599" s="83"/>
      <c r="I599" s="83"/>
      <c r="J599" s="83"/>
      <c r="K599" s="83"/>
    </row>
    <row r="600" ht="22.5" hidden="1" customHeight="1">
      <c r="A600" s="83"/>
      <c r="B600" s="83"/>
      <c r="C600" s="83"/>
      <c r="D600" s="83"/>
      <c r="E600" s="87"/>
      <c r="F600" s="83"/>
      <c r="G600" s="83"/>
      <c r="H600" s="83"/>
      <c r="I600" s="83"/>
      <c r="J600" s="83"/>
      <c r="K600" s="83"/>
    </row>
    <row r="601" ht="22.5" hidden="1" customHeight="1">
      <c r="A601" s="83"/>
      <c r="B601" s="83"/>
      <c r="C601" s="83"/>
      <c r="D601" s="83"/>
      <c r="E601" s="87"/>
      <c r="F601" s="83"/>
      <c r="G601" s="83"/>
      <c r="H601" s="83"/>
      <c r="I601" s="83"/>
      <c r="J601" s="83"/>
      <c r="K601" s="83"/>
    </row>
    <row r="602" ht="22.5" hidden="1" customHeight="1">
      <c r="A602" s="83"/>
      <c r="B602" s="83"/>
      <c r="C602" s="83"/>
      <c r="D602" s="83"/>
      <c r="E602" s="87"/>
      <c r="F602" s="83"/>
      <c r="G602" s="83"/>
      <c r="H602" s="83"/>
      <c r="I602" s="83"/>
      <c r="J602" s="83"/>
      <c r="K602" s="83"/>
    </row>
    <row r="603" ht="22.5" hidden="1" customHeight="1">
      <c r="A603" s="83"/>
      <c r="B603" s="83"/>
      <c r="C603" s="83"/>
      <c r="D603" s="83"/>
      <c r="E603" s="87"/>
      <c r="F603" s="83"/>
      <c r="G603" s="83"/>
      <c r="H603" s="83"/>
      <c r="I603" s="83"/>
      <c r="J603" s="83"/>
      <c r="K603" s="83"/>
    </row>
    <row r="604" ht="22.5" hidden="1" customHeight="1">
      <c r="A604" s="83"/>
      <c r="B604" s="83"/>
      <c r="C604" s="83"/>
      <c r="D604" s="83"/>
      <c r="E604" s="87"/>
      <c r="F604" s="83"/>
      <c r="G604" s="83"/>
      <c r="H604" s="83"/>
      <c r="I604" s="83"/>
      <c r="J604" s="83"/>
      <c r="K604" s="83"/>
    </row>
    <row r="605" ht="22.5" hidden="1" customHeight="1">
      <c r="A605" s="83"/>
      <c r="B605" s="83"/>
      <c r="C605" s="83"/>
      <c r="D605" s="83"/>
      <c r="E605" s="87"/>
      <c r="F605" s="83"/>
      <c r="G605" s="83"/>
      <c r="H605" s="83"/>
      <c r="I605" s="83"/>
      <c r="J605" s="83"/>
      <c r="K605" s="83"/>
    </row>
    <row r="606" ht="22.5" hidden="1" customHeight="1">
      <c r="A606" s="83"/>
      <c r="B606" s="83"/>
      <c r="C606" s="83"/>
      <c r="D606" s="83"/>
      <c r="E606" s="87"/>
      <c r="F606" s="83"/>
      <c r="G606" s="83"/>
      <c r="H606" s="83"/>
      <c r="I606" s="83"/>
      <c r="J606" s="83"/>
      <c r="K606" s="83"/>
    </row>
    <row r="607" ht="22.5" hidden="1" customHeight="1">
      <c r="A607" s="83"/>
      <c r="B607" s="83"/>
      <c r="C607" s="83"/>
      <c r="D607" s="83"/>
      <c r="E607" s="87"/>
      <c r="F607" s="83"/>
      <c r="G607" s="83"/>
      <c r="H607" s="83"/>
      <c r="I607" s="83"/>
      <c r="J607" s="83"/>
      <c r="K607" s="83"/>
    </row>
    <row r="608" ht="22.5" hidden="1" customHeight="1">
      <c r="A608" s="83"/>
      <c r="B608" s="83"/>
      <c r="C608" s="83"/>
      <c r="D608" s="83"/>
      <c r="E608" s="87"/>
      <c r="F608" s="83"/>
      <c r="G608" s="83"/>
      <c r="H608" s="83"/>
      <c r="I608" s="83"/>
      <c r="J608" s="83"/>
      <c r="K608" s="83"/>
    </row>
    <row r="609" ht="22.5" hidden="1" customHeight="1">
      <c r="A609" s="83"/>
      <c r="B609" s="83"/>
      <c r="C609" s="83"/>
      <c r="D609" s="83"/>
      <c r="E609" s="87"/>
      <c r="F609" s="83"/>
      <c r="G609" s="83"/>
      <c r="H609" s="83"/>
      <c r="I609" s="83"/>
      <c r="J609" s="83"/>
      <c r="K609" s="83"/>
    </row>
    <row r="610" ht="22.5" hidden="1" customHeight="1">
      <c r="A610" s="83"/>
      <c r="B610" s="83"/>
      <c r="C610" s="83"/>
      <c r="D610" s="83"/>
      <c r="E610" s="87"/>
      <c r="F610" s="83"/>
      <c r="G610" s="83"/>
      <c r="H610" s="83"/>
      <c r="I610" s="83"/>
      <c r="J610" s="83"/>
      <c r="K610" s="83"/>
    </row>
    <row r="611" ht="22.5" hidden="1" customHeight="1">
      <c r="A611" s="83"/>
      <c r="B611" s="83"/>
      <c r="C611" s="83"/>
      <c r="D611" s="83"/>
      <c r="E611" s="87"/>
      <c r="F611" s="83"/>
      <c r="G611" s="83"/>
      <c r="H611" s="83"/>
      <c r="I611" s="83"/>
      <c r="J611" s="83"/>
      <c r="K611" s="83"/>
    </row>
    <row r="612" ht="22.5" hidden="1" customHeight="1">
      <c r="A612" s="83"/>
      <c r="B612" s="83"/>
      <c r="C612" s="83"/>
      <c r="D612" s="83"/>
      <c r="E612" s="87"/>
      <c r="F612" s="83"/>
      <c r="G612" s="83"/>
      <c r="H612" s="83"/>
      <c r="I612" s="83"/>
      <c r="J612" s="83"/>
      <c r="K612" s="83"/>
    </row>
    <row r="613" ht="22.5" hidden="1" customHeight="1">
      <c r="A613" s="83"/>
      <c r="B613" s="83"/>
      <c r="C613" s="83"/>
      <c r="D613" s="83"/>
      <c r="E613" s="87"/>
      <c r="F613" s="83"/>
      <c r="G613" s="83"/>
      <c r="H613" s="83"/>
      <c r="I613" s="83"/>
      <c r="J613" s="83"/>
      <c r="K613" s="83"/>
    </row>
    <row r="614" ht="22.5" hidden="1" customHeight="1">
      <c r="A614" s="83"/>
      <c r="B614" s="83"/>
      <c r="C614" s="83"/>
      <c r="D614" s="83"/>
      <c r="E614" s="87"/>
      <c r="F614" s="83"/>
      <c r="G614" s="83"/>
      <c r="H614" s="83"/>
      <c r="I614" s="83"/>
      <c r="J614" s="83"/>
      <c r="K614" s="83"/>
    </row>
    <row r="615" ht="22.5" hidden="1" customHeight="1">
      <c r="A615" s="83"/>
      <c r="B615" s="83"/>
      <c r="C615" s="83"/>
      <c r="D615" s="83"/>
      <c r="E615" s="87"/>
      <c r="F615" s="83"/>
      <c r="G615" s="83"/>
      <c r="H615" s="83"/>
      <c r="I615" s="83"/>
      <c r="J615" s="83"/>
      <c r="K615" s="83"/>
    </row>
    <row r="616" ht="22.5" hidden="1" customHeight="1">
      <c r="A616" s="83"/>
      <c r="B616" s="83"/>
      <c r="C616" s="83"/>
      <c r="D616" s="83"/>
      <c r="E616" s="87"/>
      <c r="F616" s="83"/>
      <c r="G616" s="83"/>
      <c r="H616" s="83"/>
      <c r="I616" s="83"/>
      <c r="J616" s="83"/>
      <c r="K616" s="83"/>
    </row>
    <row r="617" ht="22.5" hidden="1" customHeight="1">
      <c r="A617" s="83"/>
      <c r="B617" s="83"/>
      <c r="C617" s="83"/>
      <c r="D617" s="83"/>
      <c r="E617" s="87"/>
      <c r="F617" s="83"/>
      <c r="G617" s="83"/>
      <c r="H617" s="83"/>
      <c r="I617" s="83"/>
      <c r="J617" s="83"/>
      <c r="K617" s="83"/>
    </row>
    <row r="618" ht="22.5" hidden="1" customHeight="1">
      <c r="A618" s="83"/>
      <c r="B618" s="83"/>
      <c r="C618" s="83"/>
      <c r="D618" s="83"/>
      <c r="E618" s="87"/>
      <c r="F618" s="83"/>
      <c r="G618" s="83"/>
      <c r="H618" s="83"/>
      <c r="I618" s="83"/>
      <c r="J618" s="83"/>
      <c r="K618" s="83"/>
    </row>
    <row r="619" ht="22.5" hidden="1" customHeight="1">
      <c r="A619" s="83"/>
      <c r="B619" s="83"/>
      <c r="C619" s="83"/>
      <c r="D619" s="83"/>
      <c r="E619" s="87"/>
      <c r="F619" s="83"/>
      <c r="G619" s="83"/>
      <c r="H619" s="83"/>
      <c r="I619" s="83"/>
      <c r="J619" s="83"/>
      <c r="K619" s="83"/>
    </row>
    <row r="620" ht="22.5" hidden="1" customHeight="1">
      <c r="A620" s="83"/>
      <c r="B620" s="83"/>
      <c r="C620" s="83"/>
      <c r="D620" s="83"/>
      <c r="E620" s="87"/>
      <c r="F620" s="83"/>
      <c r="G620" s="83"/>
      <c r="H620" s="83"/>
      <c r="I620" s="83"/>
      <c r="J620" s="83"/>
      <c r="K620" s="83"/>
    </row>
    <row r="621" ht="22.5" hidden="1" customHeight="1">
      <c r="A621" s="83"/>
      <c r="B621" s="83"/>
      <c r="C621" s="83"/>
      <c r="D621" s="83"/>
      <c r="E621" s="87"/>
      <c r="F621" s="83"/>
      <c r="G621" s="83"/>
      <c r="H621" s="83"/>
      <c r="I621" s="83"/>
      <c r="J621" s="83"/>
      <c r="K621" s="83"/>
    </row>
    <row r="622" ht="22.5" hidden="1" customHeight="1">
      <c r="A622" s="83"/>
      <c r="B622" s="83"/>
      <c r="C622" s="83"/>
      <c r="D622" s="83"/>
      <c r="E622" s="87"/>
      <c r="F622" s="83"/>
      <c r="G622" s="83"/>
      <c r="H622" s="83"/>
      <c r="I622" s="83"/>
      <c r="J622" s="83"/>
      <c r="K622" s="83"/>
    </row>
    <row r="623" ht="22.5" hidden="1" customHeight="1">
      <c r="A623" s="83"/>
      <c r="B623" s="83"/>
      <c r="C623" s="83"/>
      <c r="D623" s="83"/>
      <c r="E623" s="87"/>
      <c r="F623" s="83"/>
      <c r="G623" s="83"/>
      <c r="H623" s="83"/>
      <c r="I623" s="83"/>
      <c r="J623" s="83"/>
      <c r="K623" s="83"/>
    </row>
    <row r="624" ht="22.5" hidden="1" customHeight="1">
      <c r="A624" s="83"/>
      <c r="B624" s="83"/>
      <c r="C624" s="83"/>
      <c r="D624" s="83"/>
      <c r="E624" s="87"/>
      <c r="F624" s="83"/>
      <c r="G624" s="83"/>
      <c r="H624" s="83"/>
      <c r="I624" s="83"/>
      <c r="J624" s="83"/>
      <c r="K624" s="83"/>
    </row>
    <row r="625" ht="22.5" hidden="1" customHeight="1">
      <c r="A625" s="83"/>
      <c r="B625" s="83"/>
      <c r="C625" s="83"/>
      <c r="D625" s="83"/>
      <c r="E625" s="87"/>
      <c r="F625" s="83"/>
      <c r="G625" s="83"/>
      <c r="H625" s="83"/>
      <c r="I625" s="83"/>
      <c r="J625" s="83"/>
      <c r="K625" s="83"/>
    </row>
    <row r="626" ht="22.5" hidden="1" customHeight="1">
      <c r="A626" s="83"/>
      <c r="B626" s="83"/>
      <c r="C626" s="83"/>
      <c r="D626" s="83"/>
      <c r="E626" s="87"/>
      <c r="F626" s="83"/>
      <c r="G626" s="83"/>
      <c r="H626" s="83"/>
      <c r="I626" s="83"/>
      <c r="J626" s="83"/>
      <c r="K626" s="83"/>
    </row>
    <row r="627" ht="22.5" hidden="1" customHeight="1">
      <c r="A627" s="83"/>
      <c r="B627" s="83"/>
      <c r="C627" s="83"/>
      <c r="D627" s="83"/>
      <c r="E627" s="87"/>
      <c r="F627" s="83"/>
      <c r="G627" s="83"/>
      <c r="H627" s="83"/>
      <c r="I627" s="83"/>
      <c r="J627" s="83"/>
      <c r="K627" s="83"/>
    </row>
    <row r="628" ht="22.5" hidden="1" customHeight="1">
      <c r="A628" s="83"/>
      <c r="B628" s="83"/>
      <c r="C628" s="83"/>
      <c r="D628" s="83"/>
      <c r="E628" s="87"/>
      <c r="F628" s="83"/>
      <c r="G628" s="83"/>
      <c r="H628" s="83"/>
      <c r="I628" s="83"/>
      <c r="J628" s="83"/>
      <c r="K628" s="83"/>
    </row>
    <row r="629" ht="22.5" hidden="1" customHeight="1">
      <c r="A629" s="83"/>
      <c r="B629" s="83"/>
      <c r="C629" s="83"/>
      <c r="D629" s="83"/>
      <c r="E629" s="87"/>
      <c r="F629" s="83"/>
      <c r="G629" s="83"/>
      <c r="H629" s="83"/>
      <c r="I629" s="83"/>
      <c r="J629" s="83"/>
      <c r="K629" s="83"/>
    </row>
    <row r="630" ht="22.5" hidden="1" customHeight="1">
      <c r="A630" s="83"/>
      <c r="B630" s="83"/>
      <c r="C630" s="83"/>
      <c r="D630" s="83"/>
      <c r="E630" s="87"/>
      <c r="F630" s="83"/>
      <c r="G630" s="83"/>
      <c r="H630" s="83"/>
      <c r="I630" s="83"/>
      <c r="J630" s="83"/>
      <c r="K630" s="83"/>
    </row>
    <row r="631" ht="22.5" hidden="1" customHeight="1">
      <c r="A631" s="83"/>
      <c r="B631" s="83"/>
      <c r="C631" s="83"/>
      <c r="D631" s="83"/>
      <c r="E631" s="87"/>
      <c r="F631" s="83"/>
      <c r="G631" s="83"/>
      <c r="H631" s="83"/>
      <c r="I631" s="83"/>
      <c r="J631" s="83"/>
      <c r="K631" s="83"/>
    </row>
    <row r="632" ht="22.5" hidden="1" customHeight="1">
      <c r="A632" s="83"/>
      <c r="B632" s="83"/>
      <c r="C632" s="83"/>
      <c r="D632" s="83"/>
      <c r="E632" s="87"/>
      <c r="F632" s="83"/>
      <c r="G632" s="83"/>
      <c r="H632" s="83"/>
      <c r="I632" s="83"/>
      <c r="J632" s="83"/>
      <c r="K632" s="83"/>
    </row>
    <row r="633" ht="22.5" hidden="1" customHeight="1">
      <c r="A633" s="83"/>
      <c r="B633" s="83"/>
      <c r="C633" s="83"/>
      <c r="D633" s="83"/>
      <c r="E633" s="87"/>
      <c r="F633" s="83"/>
      <c r="G633" s="83"/>
      <c r="H633" s="83"/>
      <c r="I633" s="83"/>
      <c r="J633" s="83"/>
      <c r="K633" s="83"/>
    </row>
    <row r="634" ht="22.5" hidden="1" customHeight="1">
      <c r="A634" s="83"/>
      <c r="B634" s="83"/>
      <c r="C634" s="83"/>
      <c r="D634" s="83"/>
      <c r="E634" s="87"/>
      <c r="F634" s="83"/>
      <c r="G634" s="83"/>
      <c r="H634" s="83"/>
      <c r="I634" s="83"/>
      <c r="J634" s="83"/>
      <c r="K634" s="83"/>
    </row>
    <row r="635" ht="22.5" hidden="1" customHeight="1">
      <c r="A635" s="83"/>
      <c r="B635" s="83"/>
      <c r="C635" s="83"/>
      <c r="D635" s="83"/>
      <c r="E635" s="87"/>
      <c r="F635" s="83"/>
      <c r="G635" s="83"/>
      <c r="H635" s="83"/>
      <c r="I635" s="83"/>
      <c r="J635" s="83"/>
      <c r="K635" s="83"/>
    </row>
    <row r="636" ht="22.5" hidden="1" customHeight="1">
      <c r="A636" s="83"/>
      <c r="B636" s="83"/>
      <c r="C636" s="83"/>
      <c r="D636" s="83"/>
      <c r="E636" s="87"/>
      <c r="F636" s="83"/>
      <c r="G636" s="83"/>
      <c r="H636" s="83"/>
      <c r="I636" s="83"/>
      <c r="J636" s="83"/>
      <c r="K636" s="83"/>
    </row>
    <row r="637" ht="22.5" hidden="1" customHeight="1">
      <c r="A637" s="83"/>
      <c r="B637" s="83"/>
      <c r="C637" s="83"/>
      <c r="D637" s="83"/>
      <c r="E637" s="87"/>
      <c r="F637" s="83"/>
      <c r="G637" s="83"/>
      <c r="H637" s="83"/>
      <c r="I637" s="83"/>
      <c r="J637" s="83"/>
      <c r="K637" s="83"/>
    </row>
    <row r="638" ht="22.5" hidden="1" customHeight="1">
      <c r="A638" s="83"/>
      <c r="B638" s="83"/>
      <c r="C638" s="83"/>
      <c r="D638" s="83"/>
      <c r="E638" s="87"/>
      <c r="F638" s="83"/>
      <c r="G638" s="83"/>
      <c r="H638" s="83"/>
      <c r="I638" s="83"/>
      <c r="J638" s="83"/>
      <c r="K638" s="83"/>
    </row>
    <row r="639" ht="22.5" hidden="1" customHeight="1">
      <c r="A639" s="83"/>
      <c r="B639" s="83"/>
      <c r="C639" s="83"/>
      <c r="D639" s="83"/>
      <c r="E639" s="87"/>
      <c r="F639" s="83"/>
      <c r="G639" s="83"/>
      <c r="H639" s="83"/>
      <c r="I639" s="83"/>
      <c r="J639" s="83"/>
      <c r="K639" s="83"/>
    </row>
    <row r="640" ht="22.5" hidden="1" customHeight="1">
      <c r="A640" s="83"/>
      <c r="B640" s="83"/>
      <c r="C640" s="83"/>
      <c r="D640" s="83"/>
      <c r="E640" s="87"/>
      <c r="F640" s="83"/>
      <c r="G640" s="83"/>
      <c r="H640" s="83"/>
      <c r="I640" s="83"/>
      <c r="J640" s="83"/>
      <c r="K640" s="83"/>
    </row>
    <row r="641" ht="22.5" hidden="1" customHeight="1">
      <c r="A641" s="83"/>
      <c r="B641" s="83"/>
      <c r="C641" s="83"/>
      <c r="D641" s="83"/>
      <c r="E641" s="87"/>
      <c r="F641" s="83"/>
      <c r="G641" s="83"/>
      <c r="H641" s="83"/>
      <c r="I641" s="83"/>
      <c r="J641" s="83"/>
      <c r="K641" s="83"/>
    </row>
    <row r="642" ht="22.5" hidden="1" customHeight="1">
      <c r="A642" s="83"/>
      <c r="B642" s="83"/>
      <c r="C642" s="83"/>
      <c r="D642" s="83"/>
      <c r="E642" s="87"/>
      <c r="F642" s="83"/>
      <c r="G642" s="83"/>
      <c r="H642" s="83"/>
      <c r="I642" s="83"/>
      <c r="J642" s="83"/>
      <c r="K642" s="83"/>
    </row>
    <row r="643" ht="22.5" hidden="1" customHeight="1">
      <c r="A643" s="83"/>
      <c r="B643" s="83"/>
      <c r="C643" s="83"/>
      <c r="D643" s="83"/>
      <c r="E643" s="87"/>
      <c r="F643" s="83"/>
      <c r="G643" s="83"/>
      <c r="H643" s="83"/>
      <c r="I643" s="83"/>
      <c r="J643" s="83"/>
      <c r="K643" s="83"/>
    </row>
    <row r="644" ht="22.5" hidden="1" customHeight="1">
      <c r="A644" s="83"/>
      <c r="B644" s="83"/>
      <c r="C644" s="83"/>
      <c r="D644" s="83"/>
      <c r="E644" s="87"/>
      <c r="F644" s="83"/>
      <c r="G644" s="83"/>
      <c r="H644" s="83"/>
      <c r="I644" s="83"/>
      <c r="J644" s="83"/>
      <c r="K644" s="83"/>
    </row>
    <row r="645" ht="22.5" hidden="1" customHeight="1">
      <c r="A645" s="83"/>
      <c r="B645" s="83"/>
      <c r="C645" s="83"/>
      <c r="D645" s="83"/>
      <c r="E645" s="87"/>
      <c r="F645" s="83"/>
      <c r="G645" s="83"/>
      <c r="H645" s="83"/>
      <c r="I645" s="83"/>
      <c r="J645" s="83"/>
      <c r="K645" s="83"/>
    </row>
    <row r="646" ht="22.5" hidden="1" customHeight="1">
      <c r="A646" s="83"/>
      <c r="B646" s="83"/>
      <c r="C646" s="83"/>
      <c r="D646" s="83"/>
      <c r="E646" s="87"/>
      <c r="F646" s="83"/>
      <c r="G646" s="83"/>
      <c r="H646" s="83"/>
      <c r="I646" s="83"/>
      <c r="J646" s="83"/>
      <c r="K646" s="83"/>
    </row>
    <row r="647" ht="22.5" hidden="1" customHeight="1">
      <c r="A647" s="83"/>
      <c r="B647" s="83"/>
      <c r="C647" s="83"/>
      <c r="D647" s="83"/>
      <c r="E647" s="87"/>
      <c r="F647" s="83"/>
      <c r="G647" s="83"/>
      <c r="H647" s="83"/>
      <c r="I647" s="83"/>
      <c r="J647" s="83"/>
      <c r="K647" s="83"/>
    </row>
    <row r="648" ht="22.5" hidden="1" customHeight="1">
      <c r="A648" s="83"/>
      <c r="B648" s="83"/>
      <c r="C648" s="83"/>
      <c r="D648" s="83"/>
      <c r="E648" s="87"/>
      <c r="F648" s="83"/>
      <c r="G648" s="83"/>
      <c r="H648" s="83"/>
      <c r="I648" s="83"/>
      <c r="J648" s="83"/>
      <c r="K648" s="83"/>
    </row>
    <row r="649" ht="22.5" hidden="1" customHeight="1">
      <c r="A649" s="83"/>
      <c r="B649" s="83"/>
      <c r="C649" s="83"/>
      <c r="D649" s="83"/>
      <c r="E649" s="87"/>
      <c r="F649" s="83"/>
      <c r="G649" s="83"/>
      <c r="H649" s="83"/>
      <c r="I649" s="83"/>
      <c r="J649" s="83"/>
      <c r="K649" s="83"/>
    </row>
    <row r="650" ht="22.5" hidden="1" customHeight="1">
      <c r="A650" s="83"/>
      <c r="B650" s="83"/>
      <c r="C650" s="83"/>
      <c r="D650" s="83"/>
      <c r="E650" s="87"/>
      <c r="F650" s="83"/>
      <c r="G650" s="83"/>
      <c r="H650" s="83"/>
      <c r="I650" s="83"/>
      <c r="J650" s="83"/>
      <c r="K650" s="83"/>
    </row>
    <row r="651" ht="22.5" hidden="1" customHeight="1">
      <c r="A651" s="83"/>
      <c r="B651" s="83"/>
      <c r="C651" s="83"/>
      <c r="D651" s="83"/>
      <c r="E651" s="87"/>
      <c r="F651" s="83"/>
      <c r="G651" s="83"/>
      <c r="H651" s="83"/>
      <c r="I651" s="83"/>
      <c r="J651" s="83"/>
      <c r="K651" s="83"/>
    </row>
    <row r="652" ht="22.5" hidden="1" customHeight="1">
      <c r="A652" s="83"/>
      <c r="B652" s="83"/>
      <c r="C652" s="83"/>
      <c r="D652" s="83"/>
      <c r="E652" s="87"/>
      <c r="F652" s="83"/>
      <c r="G652" s="83"/>
      <c r="H652" s="83"/>
      <c r="I652" s="83"/>
      <c r="J652" s="83"/>
      <c r="K652" s="83"/>
    </row>
    <row r="653" ht="22.5" hidden="1" customHeight="1">
      <c r="A653" s="83"/>
      <c r="B653" s="83"/>
      <c r="C653" s="83"/>
      <c r="D653" s="83"/>
      <c r="E653" s="87"/>
      <c r="F653" s="83"/>
      <c r="G653" s="83"/>
      <c r="H653" s="83"/>
      <c r="I653" s="83"/>
      <c r="J653" s="83"/>
      <c r="K653" s="83"/>
    </row>
    <row r="654" ht="22.5" hidden="1" customHeight="1">
      <c r="A654" s="83"/>
      <c r="B654" s="83"/>
      <c r="C654" s="83"/>
      <c r="D654" s="83"/>
      <c r="E654" s="87"/>
      <c r="F654" s="83"/>
      <c r="G654" s="83"/>
      <c r="H654" s="83"/>
      <c r="I654" s="83"/>
      <c r="J654" s="83"/>
      <c r="K654" s="83"/>
    </row>
    <row r="655" ht="22.5" hidden="1" customHeight="1">
      <c r="A655" s="83"/>
      <c r="B655" s="83"/>
      <c r="C655" s="83"/>
      <c r="D655" s="83"/>
      <c r="E655" s="87"/>
      <c r="F655" s="83"/>
      <c r="G655" s="83"/>
      <c r="H655" s="83"/>
      <c r="I655" s="83"/>
      <c r="J655" s="83"/>
      <c r="K655" s="83"/>
    </row>
    <row r="656" ht="22.5" hidden="1" customHeight="1">
      <c r="A656" s="83"/>
      <c r="B656" s="83"/>
      <c r="C656" s="83"/>
      <c r="D656" s="83"/>
      <c r="E656" s="87"/>
      <c r="F656" s="83"/>
      <c r="G656" s="83"/>
      <c r="H656" s="83"/>
      <c r="I656" s="83"/>
      <c r="J656" s="83"/>
      <c r="K656" s="83"/>
    </row>
    <row r="657" ht="22.5" hidden="1" customHeight="1">
      <c r="A657" s="83"/>
      <c r="B657" s="83"/>
      <c r="C657" s="83"/>
      <c r="D657" s="83"/>
      <c r="E657" s="87"/>
      <c r="F657" s="83"/>
      <c r="G657" s="83"/>
      <c r="H657" s="83"/>
      <c r="I657" s="83"/>
      <c r="J657" s="83"/>
      <c r="K657" s="83"/>
    </row>
    <row r="658" ht="22.5" hidden="1" customHeight="1">
      <c r="A658" s="83"/>
      <c r="B658" s="83"/>
      <c r="C658" s="83"/>
      <c r="D658" s="83"/>
      <c r="E658" s="87"/>
      <c r="F658" s="83"/>
      <c r="G658" s="83"/>
      <c r="H658" s="83"/>
      <c r="I658" s="83"/>
      <c r="J658" s="83"/>
      <c r="K658" s="83"/>
    </row>
    <row r="659" ht="22.5" hidden="1" customHeight="1">
      <c r="A659" s="83"/>
      <c r="B659" s="83"/>
      <c r="C659" s="83"/>
      <c r="D659" s="83"/>
      <c r="E659" s="87"/>
      <c r="F659" s="83"/>
      <c r="G659" s="83"/>
      <c r="H659" s="83"/>
      <c r="I659" s="83"/>
      <c r="J659" s="83"/>
      <c r="K659" s="83"/>
    </row>
    <row r="660" ht="22.5" hidden="1" customHeight="1">
      <c r="A660" s="83"/>
      <c r="B660" s="83"/>
      <c r="C660" s="83"/>
      <c r="D660" s="83"/>
      <c r="E660" s="87"/>
      <c r="F660" s="83"/>
      <c r="G660" s="83"/>
      <c r="H660" s="83"/>
      <c r="I660" s="83"/>
      <c r="J660" s="83"/>
      <c r="K660" s="83"/>
    </row>
    <row r="661" ht="22.5" hidden="1" customHeight="1">
      <c r="A661" s="83"/>
      <c r="B661" s="83"/>
      <c r="C661" s="83"/>
      <c r="D661" s="83"/>
      <c r="E661" s="87"/>
      <c r="F661" s="83"/>
      <c r="G661" s="83"/>
      <c r="H661" s="83"/>
      <c r="I661" s="83"/>
      <c r="J661" s="83"/>
      <c r="K661" s="83"/>
    </row>
    <row r="662" ht="22.5" hidden="1" customHeight="1">
      <c r="A662" s="83"/>
      <c r="B662" s="83"/>
      <c r="C662" s="83"/>
      <c r="D662" s="83"/>
      <c r="E662" s="87"/>
      <c r="F662" s="83"/>
      <c r="G662" s="83"/>
      <c r="H662" s="83"/>
      <c r="I662" s="83"/>
      <c r="J662" s="83"/>
      <c r="K662" s="83"/>
    </row>
    <row r="663" ht="22.5" hidden="1" customHeight="1">
      <c r="A663" s="83"/>
      <c r="B663" s="83"/>
      <c r="C663" s="83"/>
      <c r="D663" s="83"/>
      <c r="E663" s="87"/>
      <c r="F663" s="83"/>
      <c r="G663" s="83"/>
      <c r="H663" s="83"/>
      <c r="I663" s="83"/>
      <c r="J663" s="83"/>
      <c r="K663" s="83"/>
    </row>
    <row r="664" ht="22.5" hidden="1" customHeight="1">
      <c r="A664" s="83"/>
      <c r="B664" s="83"/>
      <c r="C664" s="83"/>
      <c r="D664" s="83"/>
      <c r="E664" s="87"/>
      <c r="F664" s="83"/>
      <c r="G664" s="83"/>
      <c r="H664" s="83"/>
      <c r="I664" s="83"/>
      <c r="J664" s="83"/>
      <c r="K664" s="83"/>
    </row>
    <row r="665" ht="22.5" hidden="1" customHeight="1">
      <c r="A665" s="83"/>
      <c r="B665" s="83"/>
      <c r="C665" s="83"/>
      <c r="D665" s="83"/>
      <c r="E665" s="87"/>
      <c r="F665" s="83"/>
      <c r="G665" s="83"/>
      <c r="H665" s="83"/>
      <c r="I665" s="83"/>
      <c r="J665" s="83"/>
      <c r="K665" s="83"/>
    </row>
    <row r="666" ht="22.5" hidden="1" customHeight="1">
      <c r="A666" s="83"/>
      <c r="B666" s="83"/>
      <c r="C666" s="83"/>
      <c r="D666" s="83"/>
      <c r="E666" s="87"/>
      <c r="F666" s="83"/>
      <c r="G666" s="83"/>
      <c r="H666" s="83"/>
      <c r="I666" s="83"/>
      <c r="J666" s="83"/>
      <c r="K666" s="83"/>
    </row>
    <row r="667" ht="22.5" hidden="1" customHeight="1">
      <c r="A667" s="83"/>
      <c r="B667" s="83"/>
      <c r="C667" s="83"/>
      <c r="D667" s="83"/>
      <c r="E667" s="87"/>
      <c r="F667" s="83"/>
      <c r="G667" s="83"/>
      <c r="H667" s="83"/>
      <c r="I667" s="83"/>
      <c r="J667" s="83"/>
      <c r="K667" s="83"/>
    </row>
    <row r="668" ht="22.5" hidden="1" customHeight="1">
      <c r="A668" s="83"/>
      <c r="B668" s="83"/>
      <c r="C668" s="83"/>
      <c r="D668" s="83"/>
      <c r="E668" s="87"/>
      <c r="F668" s="83"/>
      <c r="G668" s="83"/>
      <c r="H668" s="83"/>
      <c r="I668" s="83"/>
      <c r="J668" s="83"/>
      <c r="K668" s="83"/>
    </row>
    <row r="669" ht="22.5" hidden="1" customHeight="1">
      <c r="A669" s="83"/>
      <c r="B669" s="83"/>
      <c r="C669" s="83"/>
      <c r="D669" s="83"/>
      <c r="E669" s="87"/>
      <c r="F669" s="83"/>
      <c r="G669" s="83"/>
      <c r="H669" s="83"/>
      <c r="I669" s="83"/>
      <c r="J669" s="83"/>
      <c r="K669" s="83"/>
    </row>
    <row r="670" ht="22.5" hidden="1" customHeight="1">
      <c r="A670" s="83"/>
      <c r="B670" s="83"/>
      <c r="C670" s="83"/>
      <c r="D670" s="83"/>
      <c r="E670" s="87"/>
      <c r="F670" s="83"/>
      <c r="G670" s="83"/>
      <c r="H670" s="83"/>
      <c r="I670" s="83"/>
      <c r="J670" s="83"/>
      <c r="K670" s="83"/>
    </row>
    <row r="671" ht="22.5" hidden="1" customHeight="1">
      <c r="A671" s="83"/>
      <c r="B671" s="83"/>
      <c r="C671" s="83"/>
      <c r="D671" s="83"/>
      <c r="E671" s="87"/>
      <c r="F671" s="83"/>
      <c r="G671" s="83"/>
      <c r="H671" s="83"/>
      <c r="I671" s="83"/>
      <c r="J671" s="83"/>
      <c r="K671" s="83"/>
    </row>
    <row r="672" ht="22.5" hidden="1" customHeight="1">
      <c r="A672" s="83"/>
      <c r="B672" s="83"/>
      <c r="C672" s="83"/>
      <c r="D672" s="83"/>
      <c r="E672" s="87"/>
      <c r="F672" s="83"/>
      <c r="G672" s="83"/>
      <c r="H672" s="83"/>
      <c r="I672" s="83"/>
      <c r="J672" s="83"/>
      <c r="K672" s="83"/>
    </row>
    <row r="673" ht="22.5" hidden="1" customHeight="1">
      <c r="A673" s="83"/>
      <c r="B673" s="83"/>
      <c r="C673" s="83"/>
      <c r="D673" s="83"/>
      <c r="E673" s="87"/>
      <c r="F673" s="83"/>
      <c r="G673" s="83"/>
      <c r="H673" s="83"/>
      <c r="I673" s="83"/>
      <c r="J673" s="83"/>
      <c r="K673" s="83"/>
    </row>
    <row r="674" ht="22.5" hidden="1" customHeight="1">
      <c r="A674" s="83"/>
      <c r="B674" s="83"/>
      <c r="C674" s="83"/>
      <c r="D674" s="83"/>
      <c r="E674" s="87"/>
      <c r="F674" s="83"/>
      <c r="G674" s="83"/>
      <c r="H674" s="83"/>
      <c r="I674" s="83"/>
      <c r="J674" s="83"/>
      <c r="K674" s="83"/>
    </row>
    <row r="675" ht="22.5" hidden="1" customHeight="1">
      <c r="A675" s="83"/>
      <c r="B675" s="83"/>
      <c r="C675" s="83"/>
      <c r="D675" s="83"/>
      <c r="E675" s="87"/>
      <c r="F675" s="83"/>
      <c r="G675" s="83"/>
      <c r="H675" s="83"/>
      <c r="I675" s="83"/>
      <c r="J675" s="83"/>
      <c r="K675" s="83"/>
    </row>
    <row r="676" ht="22.5" hidden="1" customHeight="1">
      <c r="A676" s="83"/>
      <c r="B676" s="83"/>
      <c r="C676" s="83"/>
      <c r="D676" s="83"/>
      <c r="E676" s="87"/>
      <c r="F676" s="83"/>
      <c r="G676" s="83"/>
      <c r="H676" s="83"/>
      <c r="I676" s="83"/>
      <c r="J676" s="83"/>
      <c r="K676" s="83"/>
    </row>
    <row r="677" ht="22.5" hidden="1" customHeight="1">
      <c r="A677" s="83"/>
      <c r="B677" s="83"/>
      <c r="C677" s="83"/>
      <c r="D677" s="83"/>
      <c r="E677" s="87"/>
      <c r="F677" s="83"/>
      <c r="G677" s="83"/>
      <c r="H677" s="83"/>
      <c r="I677" s="83"/>
      <c r="J677" s="83"/>
      <c r="K677" s="83"/>
    </row>
    <row r="678" ht="22.5" hidden="1" customHeight="1">
      <c r="A678" s="83"/>
      <c r="B678" s="83"/>
      <c r="C678" s="83"/>
      <c r="D678" s="83"/>
      <c r="E678" s="87"/>
      <c r="F678" s="83"/>
      <c r="G678" s="83"/>
      <c r="H678" s="83"/>
      <c r="I678" s="83"/>
      <c r="J678" s="83"/>
      <c r="K678" s="83"/>
    </row>
    <row r="679" ht="22.5" hidden="1" customHeight="1">
      <c r="A679" s="83"/>
      <c r="B679" s="83"/>
      <c r="C679" s="83"/>
      <c r="D679" s="83"/>
      <c r="E679" s="87"/>
      <c r="F679" s="83"/>
      <c r="G679" s="83"/>
      <c r="H679" s="83"/>
      <c r="I679" s="83"/>
      <c r="J679" s="83"/>
      <c r="K679" s="83"/>
    </row>
    <row r="680" ht="22.5" hidden="1" customHeight="1">
      <c r="A680" s="83"/>
      <c r="B680" s="83"/>
      <c r="C680" s="83"/>
      <c r="D680" s="83"/>
      <c r="E680" s="87"/>
      <c r="F680" s="83"/>
      <c r="G680" s="83"/>
      <c r="H680" s="83"/>
      <c r="I680" s="83"/>
      <c r="J680" s="83"/>
      <c r="K680" s="83"/>
    </row>
    <row r="681" ht="22.5" hidden="1" customHeight="1">
      <c r="A681" s="83"/>
      <c r="B681" s="83"/>
      <c r="C681" s="83"/>
      <c r="D681" s="83"/>
      <c r="E681" s="87"/>
      <c r="F681" s="83"/>
      <c r="G681" s="83"/>
      <c r="H681" s="83"/>
      <c r="I681" s="83"/>
      <c r="J681" s="83"/>
      <c r="K681" s="83"/>
    </row>
    <row r="682" ht="22.5" hidden="1" customHeight="1">
      <c r="A682" s="83"/>
      <c r="B682" s="83"/>
      <c r="C682" s="83"/>
      <c r="D682" s="83"/>
      <c r="E682" s="87"/>
      <c r="F682" s="83"/>
      <c r="G682" s="83"/>
      <c r="H682" s="83"/>
      <c r="I682" s="83"/>
      <c r="J682" s="83"/>
      <c r="K682" s="83"/>
    </row>
    <row r="683" ht="22.5" hidden="1" customHeight="1">
      <c r="A683" s="83"/>
      <c r="B683" s="83"/>
      <c r="C683" s="83"/>
      <c r="D683" s="83"/>
      <c r="E683" s="87"/>
      <c r="F683" s="83"/>
      <c r="G683" s="83"/>
      <c r="H683" s="83"/>
      <c r="I683" s="83"/>
      <c r="J683" s="83"/>
      <c r="K683" s="83"/>
    </row>
    <row r="684" ht="22.5" hidden="1" customHeight="1">
      <c r="A684" s="83"/>
      <c r="B684" s="83"/>
      <c r="C684" s="83"/>
      <c r="D684" s="83"/>
      <c r="E684" s="87"/>
      <c r="F684" s="83"/>
      <c r="G684" s="83"/>
      <c r="H684" s="83"/>
      <c r="I684" s="83"/>
      <c r="J684" s="83"/>
      <c r="K684" s="83"/>
    </row>
    <row r="685" ht="22.5" hidden="1" customHeight="1">
      <c r="A685" s="83"/>
      <c r="B685" s="83"/>
      <c r="C685" s="83"/>
      <c r="D685" s="83"/>
      <c r="E685" s="87"/>
      <c r="F685" s="83"/>
      <c r="G685" s="83"/>
      <c r="H685" s="83"/>
      <c r="I685" s="83"/>
      <c r="J685" s="83"/>
      <c r="K685" s="83"/>
    </row>
    <row r="686" ht="22.5" hidden="1" customHeight="1">
      <c r="A686" s="83"/>
      <c r="B686" s="83"/>
      <c r="C686" s="83"/>
      <c r="D686" s="83"/>
      <c r="E686" s="87"/>
      <c r="F686" s="83"/>
      <c r="G686" s="83"/>
      <c r="H686" s="83"/>
      <c r="I686" s="83"/>
      <c r="J686" s="83"/>
      <c r="K686" s="83"/>
    </row>
    <row r="687" ht="22.5" hidden="1" customHeight="1">
      <c r="A687" s="83"/>
      <c r="B687" s="83"/>
      <c r="C687" s="83"/>
      <c r="D687" s="83"/>
      <c r="E687" s="87"/>
      <c r="F687" s="83"/>
      <c r="G687" s="83"/>
      <c r="H687" s="83"/>
      <c r="I687" s="83"/>
      <c r="J687" s="83"/>
      <c r="K687" s="83"/>
    </row>
    <row r="688" ht="22.5" hidden="1" customHeight="1">
      <c r="A688" s="83"/>
      <c r="B688" s="83"/>
      <c r="C688" s="83"/>
      <c r="D688" s="83"/>
      <c r="E688" s="87"/>
      <c r="F688" s="83"/>
      <c r="G688" s="83"/>
      <c r="H688" s="83"/>
      <c r="I688" s="83"/>
      <c r="J688" s="83"/>
      <c r="K688" s="83"/>
    </row>
    <row r="689" ht="22.5" hidden="1" customHeight="1">
      <c r="A689" s="83"/>
      <c r="B689" s="83"/>
      <c r="C689" s="83"/>
      <c r="D689" s="83"/>
      <c r="E689" s="87"/>
      <c r="F689" s="83"/>
      <c r="G689" s="83"/>
      <c r="H689" s="83"/>
      <c r="I689" s="83"/>
      <c r="J689" s="83"/>
      <c r="K689" s="83"/>
    </row>
    <row r="690" ht="22.5" hidden="1" customHeight="1">
      <c r="A690" s="83"/>
      <c r="B690" s="83"/>
      <c r="C690" s="83"/>
      <c r="D690" s="83"/>
      <c r="E690" s="87"/>
      <c r="F690" s="83"/>
      <c r="G690" s="83"/>
      <c r="H690" s="83"/>
      <c r="I690" s="83"/>
      <c r="J690" s="83"/>
      <c r="K690" s="83"/>
    </row>
    <row r="691" ht="22.5" hidden="1" customHeight="1">
      <c r="A691" s="83"/>
      <c r="B691" s="83"/>
      <c r="C691" s="83"/>
      <c r="D691" s="83"/>
      <c r="E691" s="87"/>
      <c r="F691" s="83"/>
      <c r="G691" s="83"/>
      <c r="H691" s="83"/>
      <c r="I691" s="83"/>
      <c r="J691" s="83"/>
      <c r="K691" s="83"/>
    </row>
    <row r="692" ht="22.5" hidden="1" customHeight="1">
      <c r="A692" s="83"/>
      <c r="B692" s="83"/>
      <c r="C692" s="83"/>
      <c r="D692" s="83"/>
      <c r="E692" s="87"/>
      <c r="F692" s="83"/>
      <c r="G692" s="83"/>
      <c r="H692" s="83"/>
      <c r="I692" s="83"/>
      <c r="J692" s="83"/>
      <c r="K692" s="83"/>
    </row>
    <row r="693" ht="22.5" hidden="1" customHeight="1">
      <c r="A693" s="83"/>
      <c r="B693" s="83"/>
      <c r="C693" s="83"/>
      <c r="D693" s="83"/>
      <c r="E693" s="87"/>
      <c r="F693" s="83"/>
      <c r="G693" s="83"/>
      <c r="H693" s="83"/>
      <c r="I693" s="83"/>
      <c r="J693" s="83"/>
      <c r="K693" s="83"/>
    </row>
    <row r="694" ht="22.5" hidden="1" customHeight="1">
      <c r="A694" s="83"/>
      <c r="B694" s="83"/>
      <c r="C694" s="83"/>
      <c r="D694" s="83"/>
      <c r="E694" s="87"/>
      <c r="F694" s="83"/>
      <c r="G694" s="83"/>
      <c r="H694" s="83"/>
      <c r="I694" s="83"/>
      <c r="J694" s="83"/>
      <c r="K694" s="83"/>
    </row>
    <row r="695" ht="22.5" hidden="1" customHeight="1">
      <c r="A695" s="83"/>
      <c r="B695" s="83"/>
      <c r="C695" s="83"/>
      <c r="D695" s="83"/>
      <c r="E695" s="87"/>
      <c r="F695" s="83"/>
      <c r="G695" s="83"/>
      <c r="H695" s="83"/>
      <c r="I695" s="83"/>
      <c r="J695" s="83"/>
      <c r="K695" s="83"/>
    </row>
    <row r="696" ht="22.5" hidden="1" customHeight="1">
      <c r="A696" s="83"/>
      <c r="B696" s="83"/>
      <c r="C696" s="83"/>
      <c r="D696" s="83"/>
      <c r="E696" s="87"/>
      <c r="F696" s="83"/>
      <c r="G696" s="83"/>
      <c r="H696" s="83"/>
      <c r="I696" s="83"/>
      <c r="J696" s="83"/>
      <c r="K696" s="83"/>
    </row>
    <row r="697" ht="22.5" hidden="1" customHeight="1">
      <c r="A697" s="83"/>
      <c r="B697" s="83"/>
      <c r="C697" s="83"/>
      <c r="D697" s="83"/>
      <c r="E697" s="87"/>
      <c r="F697" s="83"/>
      <c r="G697" s="83"/>
      <c r="H697" s="83"/>
      <c r="I697" s="83"/>
      <c r="J697" s="83"/>
      <c r="K697" s="83"/>
    </row>
    <row r="698" ht="22.5" hidden="1" customHeight="1">
      <c r="A698" s="83"/>
      <c r="B698" s="83"/>
      <c r="C698" s="83"/>
      <c r="D698" s="83"/>
      <c r="E698" s="87"/>
      <c r="F698" s="83"/>
      <c r="G698" s="83"/>
      <c r="H698" s="83"/>
      <c r="I698" s="83"/>
      <c r="J698" s="83"/>
      <c r="K698" s="83"/>
    </row>
    <row r="699" ht="22.5" hidden="1" customHeight="1">
      <c r="A699" s="83"/>
      <c r="B699" s="83"/>
      <c r="C699" s="83"/>
      <c r="D699" s="83"/>
      <c r="E699" s="87"/>
      <c r="F699" s="83"/>
      <c r="G699" s="83"/>
      <c r="H699" s="83"/>
      <c r="I699" s="83"/>
      <c r="J699" s="83"/>
      <c r="K699" s="83"/>
    </row>
    <row r="700" ht="22.5" hidden="1" customHeight="1">
      <c r="A700" s="83"/>
      <c r="B700" s="83"/>
      <c r="C700" s="83"/>
      <c r="D700" s="83"/>
      <c r="E700" s="87"/>
      <c r="F700" s="83"/>
      <c r="G700" s="83"/>
      <c r="H700" s="83"/>
      <c r="I700" s="83"/>
      <c r="J700" s="83"/>
      <c r="K700" s="83"/>
    </row>
    <row r="701" ht="22.5" hidden="1" customHeight="1">
      <c r="A701" s="83"/>
      <c r="B701" s="83"/>
      <c r="C701" s="83"/>
      <c r="D701" s="83"/>
      <c r="E701" s="87"/>
      <c r="F701" s="83"/>
      <c r="G701" s="83"/>
      <c r="H701" s="83"/>
      <c r="I701" s="83"/>
      <c r="J701" s="83"/>
      <c r="K701" s="83"/>
    </row>
    <row r="702" ht="22.5" hidden="1" customHeight="1">
      <c r="A702" s="83"/>
      <c r="B702" s="83"/>
      <c r="C702" s="83"/>
      <c r="D702" s="83"/>
      <c r="E702" s="87"/>
      <c r="F702" s="83"/>
      <c r="G702" s="83"/>
      <c r="H702" s="83"/>
      <c r="I702" s="83"/>
      <c r="J702" s="83"/>
      <c r="K702" s="83"/>
    </row>
    <row r="703" ht="22.5" hidden="1" customHeight="1">
      <c r="A703" s="83"/>
      <c r="B703" s="83"/>
      <c r="C703" s="83"/>
      <c r="D703" s="83"/>
      <c r="E703" s="87"/>
      <c r="F703" s="83"/>
      <c r="G703" s="83"/>
      <c r="H703" s="83"/>
      <c r="I703" s="83"/>
      <c r="J703" s="83"/>
      <c r="K703" s="83"/>
    </row>
    <row r="704" ht="22.5" hidden="1" customHeight="1">
      <c r="A704" s="83"/>
      <c r="B704" s="83"/>
      <c r="C704" s="83"/>
      <c r="D704" s="83"/>
      <c r="E704" s="87"/>
      <c r="F704" s="83"/>
      <c r="G704" s="83"/>
      <c r="H704" s="83"/>
      <c r="I704" s="83"/>
      <c r="J704" s="83"/>
      <c r="K704" s="83"/>
    </row>
    <row r="705" ht="22.5" hidden="1" customHeight="1">
      <c r="A705" s="83"/>
      <c r="B705" s="83"/>
      <c r="C705" s="83"/>
      <c r="D705" s="83"/>
      <c r="E705" s="87"/>
      <c r="F705" s="83"/>
      <c r="G705" s="83"/>
      <c r="H705" s="83"/>
      <c r="I705" s="83"/>
      <c r="J705" s="83"/>
      <c r="K705" s="83"/>
    </row>
    <row r="706" ht="22.5" hidden="1" customHeight="1">
      <c r="A706" s="83"/>
      <c r="B706" s="83"/>
      <c r="C706" s="83"/>
      <c r="D706" s="83"/>
      <c r="E706" s="87"/>
      <c r="F706" s="83"/>
      <c r="G706" s="83"/>
      <c r="H706" s="83"/>
      <c r="I706" s="83"/>
      <c r="J706" s="83"/>
      <c r="K706" s="83"/>
    </row>
    <row r="707" ht="22.5" hidden="1" customHeight="1">
      <c r="A707" s="83"/>
      <c r="B707" s="83"/>
      <c r="C707" s="83"/>
      <c r="D707" s="83"/>
      <c r="E707" s="87"/>
      <c r="F707" s="83"/>
      <c r="G707" s="83"/>
      <c r="H707" s="83"/>
      <c r="I707" s="83"/>
      <c r="J707" s="83"/>
      <c r="K707" s="83"/>
    </row>
    <row r="708" ht="22.5" hidden="1" customHeight="1">
      <c r="A708" s="83"/>
      <c r="B708" s="83"/>
      <c r="C708" s="83"/>
      <c r="D708" s="83"/>
      <c r="E708" s="87"/>
      <c r="F708" s="83"/>
      <c r="G708" s="83"/>
      <c r="H708" s="83"/>
      <c r="I708" s="83"/>
      <c r="J708" s="83"/>
      <c r="K708" s="83"/>
    </row>
    <row r="709" ht="22.5" hidden="1" customHeight="1">
      <c r="A709" s="83"/>
      <c r="B709" s="83"/>
      <c r="C709" s="83"/>
      <c r="D709" s="83"/>
      <c r="E709" s="87"/>
      <c r="F709" s="83"/>
      <c r="G709" s="83"/>
      <c r="H709" s="83"/>
      <c r="I709" s="83"/>
      <c r="J709" s="83"/>
      <c r="K709" s="83"/>
    </row>
    <row r="710" ht="22.5" hidden="1" customHeight="1">
      <c r="A710" s="83"/>
      <c r="B710" s="83"/>
      <c r="C710" s="83"/>
      <c r="D710" s="83"/>
      <c r="E710" s="87"/>
      <c r="F710" s="83"/>
      <c r="G710" s="83"/>
      <c r="H710" s="83"/>
      <c r="I710" s="83"/>
      <c r="J710" s="83"/>
      <c r="K710" s="83"/>
    </row>
    <row r="711" ht="22.5" hidden="1" customHeight="1">
      <c r="A711" s="83"/>
      <c r="B711" s="83"/>
      <c r="C711" s="83"/>
      <c r="D711" s="83"/>
      <c r="E711" s="87"/>
      <c r="F711" s="83"/>
      <c r="G711" s="83"/>
      <c r="H711" s="83"/>
      <c r="I711" s="83"/>
      <c r="J711" s="83"/>
      <c r="K711" s="83"/>
    </row>
    <row r="712" ht="22.5" hidden="1" customHeight="1">
      <c r="A712" s="83"/>
      <c r="B712" s="83"/>
      <c r="C712" s="83"/>
      <c r="D712" s="83"/>
      <c r="E712" s="87"/>
      <c r="F712" s="83"/>
      <c r="G712" s="83"/>
      <c r="H712" s="83"/>
      <c r="I712" s="83"/>
      <c r="J712" s="83"/>
      <c r="K712" s="83"/>
    </row>
    <row r="713" ht="22.5" hidden="1" customHeight="1">
      <c r="A713" s="83"/>
      <c r="B713" s="83"/>
      <c r="C713" s="83"/>
      <c r="D713" s="83"/>
      <c r="E713" s="87"/>
      <c r="F713" s="83"/>
      <c r="G713" s="83"/>
      <c r="H713" s="83"/>
      <c r="I713" s="83"/>
      <c r="J713" s="83"/>
      <c r="K713" s="83"/>
    </row>
    <row r="714" ht="22.5" hidden="1" customHeight="1">
      <c r="A714" s="83"/>
      <c r="B714" s="83"/>
      <c r="C714" s="83"/>
      <c r="D714" s="83"/>
      <c r="E714" s="87"/>
      <c r="F714" s="83"/>
      <c r="G714" s="83"/>
      <c r="H714" s="83"/>
      <c r="I714" s="83"/>
      <c r="J714" s="83"/>
      <c r="K714" s="83"/>
    </row>
    <row r="715" ht="22.5" hidden="1" customHeight="1">
      <c r="A715" s="83"/>
      <c r="B715" s="83"/>
      <c r="C715" s="83"/>
      <c r="D715" s="83"/>
      <c r="E715" s="87"/>
      <c r="F715" s="83"/>
      <c r="G715" s="83"/>
      <c r="H715" s="83"/>
      <c r="I715" s="83"/>
      <c r="J715" s="83"/>
      <c r="K715" s="83"/>
    </row>
    <row r="716" ht="22.5" hidden="1" customHeight="1">
      <c r="A716" s="83"/>
      <c r="B716" s="83"/>
      <c r="C716" s="83"/>
      <c r="D716" s="83"/>
      <c r="E716" s="87"/>
      <c r="F716" s="83"/>
      <c r="G716" s="83"/>
      <c r="H716" s="83"/>
      <c r="I716" s="83"/>
      <c r="J716" s="83"/>
      <c r="K716" s="83"/>
    </row>
    <row r="717" ht="22.5" hidden="1" customHeight="1">
      <c r="A717" s="83"/>
      <c r="B717" s="83"/>
      <c r="C717" s="83"/>
      <c r="D717" s="83"/>
      <c r="E717" s="87"/>
      <c r="F717" s="83"/>
      <c r="G717" s="83"/>
      <c r="H717" s="83"/>
      <c r="I717" s="83"/>
      <c r="J717" s="83"/>
      <c r="K717" s="83"/>
    </row>
    <row r="718" ht="22.5" hidden="1" customHeight="1">
      <c r="A718" s="83"/>
      <c r="B718" s="83"/>
      <c r="C718" s="83"/>
      <c r="D718" s="83"/>
      <c r="E718" s="87"/>
      <c r="F718" s="83"/>
      <c r="G718" s="83"/>
      <c r="H718" s="83"/>
      <c r="I718" s="83"/>
      <c r="J718" s="83"/>
      <c r="K718" s="83"/>
    </row>
    <row r="719" ht="22.5" hidden="1" customHeight="1">
      <c r="A719" s="83"/>
      <c r="B719" s="83"/>
      <c r="C719" s="83"/>
      <c r="D719" s="83"/>
      <c r="E719" s="87"/>
      <c r="F719" s="83"/>
      <c r="G719" s="83"/>
      <c r="H719" s="83"/>
      <c r="I719" s="83"/>
      <c r="J719" s="83"/>
      <c r="K719" s="83"/>
    </row>
    <row r="720" ht="22.5" hidden="1" customHeight="1">
      <c r="A720" s="83"/>
      <c r="B720" s="83"/>
      <c r="C720" s="83"/>
      <c r="D720" s="83"/>
      <c r="E720" s="87"/>
      <c r="F720" s="83"/>
      <c r="G720" s="83"/>
      <c r="H720" s="83"/>
      <c r="I720" s="83"/>
      <c r="J720" s="83"/>
      <c r="K720" s="83"/>
    </row>
    <row r="721" ht="22.5" hidden="1" customHeight="1">
      <c r="A721" s="83"/>
      <c r="B721" s="83"/>
      <c r="C721" s="83"/>
      <c r="D721" s="83"/>
      <c r="E721" s="87"/>
      <c r="F721" s="83"/>
      <c r="G721" s="83"/>
      <c r="H721" s="83"/>
      <c r="I721" s="83"/>
      <c r="J721" s="83"/>
      <c r="K721" s="83"/>
    </row>
    <row r="722" ht="22.5" hidden="1" customHeight="1">
      <c r="A722" s="83"/>
      <c r="B722" s="83"/>
      <c r="C722" s="83"/>
      <c r="D722" s="83"/>
      <c r="E722" s="87"/>
      <c r="F722" s="83"/>
      <c r="G722" s="83"/>
      <c r="H722" s="83"/>
      <c r="I722" s="83"/>
      <c r="J722" s="83"/>
      <c r="K722" s="83"/>
    </row>
    <row r="723" ht="22.5" hidden="1" customHeight="1">
      <c r="A723" s="83"/>
      <c r="B723" s="83"/>
      <c r="C723" s="83"/>
      <c r="D723" s="83"/>
      <c r="E723" s="87"/>
      <c r="F723" s="83"/>
      <c r="G723" s="83"/>
      <c r="H723" s="83"/>
      <c r="I723" s="83"/>
      <c r="J723" s="83"/>
      <c r="K723" s="83"/>
    </row>
    <row r="724" ht="22.5" hidden="1" customHeight="1">
      <c r="A724" s="83"/>
      <c r="B724" s="83"/>
      <c r="C724" s="83"/>
      <c r="D724" s="83"/>
      <c r="E724" s="87"/>
      <c r="F724" s="83"/>
      <c r="G724" s="83"/>
      <c r="H724" s="83"/>
      <c r="I724" s="83"/>
      <c r="J724" s="83"/>
      <c r="K724" s="83"/>
    </row>
    <row r="725" ht="22.5" hidden="1" customHeight="1">
      <c r="A725" s="83"/>
      <c r="B725" s="83"/>
      <c r="C725" s="83"/>
      <c r="D725" s="83"/>
      <c r="E725" s="87"/>
      <c r="F725" s="83"/>
      <c r="G725" s="83"/>
      <c r="H725" s="83"/>
      <c r="I725" s="83"/>
      <c r="J725" s="83"/>
      <c r="K725" s="83"/>
    </row>
    <row r="726" ht="22.5" hidden="1" customHeight="1">
      <c r="A726" s="83"/>
      <c r="B726" s="83"/>
      <c r="C726" s="83"/>
      <c r="D726" s="83"/>
      <c r="E726" s="87"/>
      <c r="F726" s="83"/>
      <c r="G726" s="83"/>
      <c r="H726" s="83"/>
      <c r="I726" s="83"/>
      <c r="J726" s="83"/>
      <c r="K726" s="83"/>
    </row>
    <row r="727" ht="22.5" hidden="1" customHeight="1">
      <c r="A727" s="83"/>
      <c r="B727" s="83"/>
      <c r="C727" s="83"/>
      <c r="D727" s="83"/>
      <c r="E727" s="87"/>
      <c r="F727" s="83"/>
      <c r="G727" s="83"/>
      <c r="H727" s="83"/>
      <c r="I727" s="83"/>
      <c r="J727" s="83"/>
      <c r="K727" s="83"/>
    </row>
    <row r="728" ht="22.5" hidden="1" customHeight="1">
      <c r="A728" s="83"/>
      <c r="B728" s="83"/>
      <c r="C728" s="83"/>
      <c r="D728" s="83"/>
      <c r="E728" s="87"/>
      <c r="F728" s="83"/>
      <c r="G728" s="83"/>
      <c r="H728" s="83"/>
      <c r="I728" s="83"/>
      <c r="J728" s="83"/>
      <c r="K728" s="83"/>
    </row>
    <row r="729" ht="22.5" hidden="1" customHeight="1">
      <c r="A729" s="83"/>
      <c r="B729" s="83"/>
      <c r="C729" s="83"/>
      <c r="D729" s="83"/>
      <c r="E729" s="87"/>
      <c r="F729" s="83"/>
      <c r="G729" s="83"/>
      <c r="H729" s="83"/>
      <c r="I729" s="83"/>
      <c r="J729" s="83"/>
      <c r="K729" s="83"/>
    </row>
    <row r="730" ht="22.5" hidden="1" customHeight="1">
      <c r="A730" s="83"/>
      <c r="B730" s="83"/>
      <c r="C730" s="83"/>
      <c r="D730" s="83"/>
      <c r="E730" s="87"/>
      <c r="F730" s="83"/>
      <c r="G730" s="83"/>
      <c r="H730" s="83"/>
      <c r="I730" s="83"/>
      <c r="J730" s="83"/>
      <c r="K730" s="83"/>
    </row>
    <row r="731" ht="22.5" hidden="1" customHeight="1">
      <c r="A731" s="83"/>
      <c r="B731" s="83"/>
      <c r="C731" s="83"/>
      <c r="D731" s="83"/>
      <c r="E731" s="87"/>
      <c r="F731" s="83"/>
      <c r="G731" s="83"/>
      <c r="H731" s="83"/>
      <c r="I731" s="83"/>
      <c r="J731" s="83"/>
      <c r="K731" s="83"/>
    </row>
    <row r="732" ht="22.5" hidden="1" customHeight="1">
      <c r="A732" s="83"/>
      <c r="B732" s="83"/>
      <c r="C732" s="83"/>
      <c r="D732" s="83"/>
      <c r="E732" s="87"/>
      <c r="F732" s="83"/>
      <c r="G732" s="83"/>
      <c r="H732" s="83"/>
      <c r="I732" s="83"/>
      <c r="J732" s="83"/>
      <c r="K732" s="83"/>
    </row>
    <row r="733" ht="22.5" hidden="1" customHeight="1">
      <c r="A733" s="83"/>
      <c r="B733" s="83"/>
      <c r="C733" s="83"/>
      <c r="D733" s="83"/>
      <c r="E733" s="87"/>
      <c r="F733" s="83"/>
      <c r="G733" s="83"/>
      <c r="H733" s="83"/>
      <c r="I733" s="83"/>
      <c r="J733" s="83"/>
      <c r="K733" s="83"/>
    </row>
    <row r="734" ht="22.5" hidden="1" customHeight="1">
      <c r="A734" s="83"/>
      <c r="B734" s="83"/>
      <c r="C734" s="83"/>
      <c r="D734" s="83"/>
      <c r="E734" s="87"/>
      <c r="F734" s="83"/>
      <c r="G734" s="83"/>
      <c r="H734" s="83"/>
      <c r="I734" s="83"/>
      <c r="J734" s="83"/>
      <c r="K734" s="83"/>
    </row>
    <row r="735" ht="22.5" hidden="1" customHeight="1">
      <c r="A735" s="83"/>
      <c r="B735" s="83"/>
      <c r="C735" s="83"/>
      <c r="D735" s="83"/>
      <c r="E735" s="87"/>
      <c r="F735" s="83"/>
      <c r="G735" s="83"/>
      <c r="H735" s="83"/>
      <c r="I735" s="83"/>
      <c r="J735" s="83"/>
      <c r="K735" s="83"/>
    </row>
    <row r="736" ht="22.5" hidden="1" customHeight="1">
      <c r="A736" s="83"/>
      <c r="B736" s="83"/>
      <c r="C736" s="83"/>
      <c r="D736" s="83"/>
      <c r="E736" s="87"/>
      <c r="F736" s="83"/>
      <c r="G736" s="83"/>
      <c r="H736" s="83"/>
      <c r="I736" s="83"/>
      <c r="J736" s="83"/>
      <c r="K736" s="83"/>
    </row>
    <row r="737" ht="22.5" hidden="1" customHeight="1">
      <c r="A737" s="83"/>
      <c r="B737" s="83"/>
      <c r="C737" s="83"/>
      <c r="D737" s="83"/>
      <c r="E737" s="87"/>
      <c r="F737" s="83"/>
      <c r="G737" s="83"/>
      <c r="H737" s="83"/>
      <c r="I737" s="83"/>
      <c r="J737" s="83"/>
      <c r="K737" s="83"/>
    </row>
    <row r="738" ht="22.5" hidden="1" customHeight="1">
      <c r="A738" s="83"/>
      <c r="B738" s="83"/>
      <c r="C738" s="83"/>
      <c r="D738" s="83"/>
      <c r="E738" s="87"/>
      <c r="F738" s="83"/>
      <c r="G738" s="83"/>
      <c r="H738" s="83"/>
      <c r="I738" s="83"/>
      <c r="J738" s="83"/>
      <c r="K738" s="83"/>
    </row>
    <row r="739" ht="22.5" hidden="1" customHeight="1">
      <c r="A739" s="83"/>
      <c r="B739" s="83"/>
      <c r="C739" s="83"/>
      <c r="D739" s="83"/>
      <c r="E739" s="87"/>
      <c r="F739" s="83"/>
      <c r="G739" s="83"/>
      <c r="H739" s="83"/>
      <c r="I739" s="83"/>
      <c r="J739" s="83"/>
      <c r="K739" s="83"/>
    </row>
    <row r="740" ht="22.5" hidden="1" customHeight="1">
      <c r="A740" s="83"/>
      <c r="B740" s="83"/>
      <c r="C740" s="83"/>
      <c r="D740" s="83"/>
      <c r="E740" s="87"/>
      <c r="F740" s="83"/>
      <c r="G740" s="83"/>
      <c r="H740" s="83"/>
      <c r="I740" s="83"/>
      <c r="J740" s="83"/>
      <c r="K740" s="83"/>
    </row>
    <row r="741" ht="22.5" hidden="1" customHeight="1">
      <c r="A741" s="83"/>
      <c r="B741" s="83"/>
      <c r="C741" s="83"/>
      <c r="D741" s="83"/>
      <c r="E741" s="87"/>
      <c r="F741" s="83"/>
      <c r="G741" s="83"/>
      <c r="H741" s="83"/>
      <c r="I741" s="83"/>
      <c r="J741" s="83"/>
      <c r="K741" s="83"/>
    </row>
    <row r="742" ht="22.5" hidden="1" customHeight="1">
      <c r="A742" s="83"/>
      <c r="B742" s="83"/>
      <c r="C742" s="83"/>
      <c r="D742" s="83"/>
      <c r="E742" s="87"/>
      <c r="F742" s="83"/>
      <c r="G742" s="83"/>
      <c r="H742" s="83"/>
      <c r="I742" s="83"/>
      <c r="J742" s="83"/>
      <c r="K742" s="83"/>
    </row>
    <row r="743" ht="22.5" hidden="1" customHeight="1">
      <c r="A743" s="83"/>
      <c r="B743" s="83"/>
      <c r="C743" s="83"/>
      <c r="D743" s="83"/>
      <c r="E743" s="87"/>
      <c r="F743" s="83"/>
      <c r="G743" s="83"/>
      <c r="H743" s="83"/>
      <c r="I743" s="83"/>
      <c r="J743" s="83"/>
      <c r="K743" s="83"/>
    </row>
    <row r="744" ht="22.5" hidden="1" customHeight="1">
      <c r="A744" s="83"/>
      <c r="B744" s="83"/>
      <c r="C744" s="83"/>
      <c r="D744" s="83"/>
      <c r="E744" s="87"/>
      <c r="F744" s="83"/>
      <c r="G744" s="83"/>
      <c r="H744" s="83"/>
      <c r="I744" s="83"/>
      <c r="J744" s="83"/>
      <c r="K744" s="83"/>
    </row>
    <row r="745" ht="22.5" hidden="1" customHeight="1">
      <c r="A745" s="83"/>
      <c r="B745" s="83"/>
      <c r="C745" s="83"/>
      <c r="D745" s="83"/>
      <c r="E745" s="87"/>
      <c r="F745" s="83"/>
      <c r="G745" s="83"/>
      <c r="H745" s="83"/>
      <c r="I745" s="83"/>
      <c r="J745" s="83"/>
      <c r="K745" s="83"/>
    </row>
    <row r="746" ht="22.5" hidden="1" customHeight="1">
      <c r="A746" s="83"/>
      <c r="B746" s="83"/>
      <c r="C746" s="83"/>
      <c r="D746" s="83"/>
      <c r="E746" s="87"/>
      <c r="F746" s="83"/>
      <c r="G746" s="83"/>
      <c r="H746" s="83"/>
      <c r="I746" s="83"/>
      <c r="J746" s="83"/>
      <c r="K746" s="83"/>
    </row>
    <row r="747" ht="22.5" hidden="1" customHeight="1">
      <c r="A747" s="83"/>
      <c r="B747" s="83"/>
      <c r="C747" s="83"/>
      <c r="D747" s="83"/>
      <c r="E747" s="87"/>
      <c r="F747" s="83"/>
      <c r="G747" s="83"/>
      <c r="H747" s="83"/>
      <c r="I747" s="83"/>
      <c r="J747" s="83"/>
      <c r="K747" s="83"/>
    </row>
    <row r="748" ht="22.5" hidden="1" customHeight="1">
      <c r="A748" s="83"/>
      <c r="B748" s="83"/>
      <c r="C748" s="83"/>
      <c r="D748" s="83"/>
      <c r="E748" s="87"/>
      <c r="F748" s="83"/>
      <c r="G748" s="83"/>
      <c r="H748" s="83"/>
      <c r="I748" s="83"/>
      <c r="J748" s="83"/>
      <c r="K748" s="83"/>
    </row>
    <row r="749" ht="22.5" hidden="1" customHeight="1">
      <c r="A749" s="83"/>
      <c r="B749" s="83"/>
      <c r="C749" s="83"/>
      <c r="D749" s="83"/>
      <c r="E749" s="87"/>
      <c r="F749" s="83"/>
      <c r="G749" s="83"/>
      <c r="H749" s="83"/>
      <c r="I749" s="83"/>
      <c r="J749" s="83"/>
      <c r="K749" s="83"/>
    </row>
    <row r="750" ht="22.5" hidden="1" customHeight="1">
      <c r="A750" s="83"/>
      <c r="B750" s="83"/>
      <c r="C750" s="83"/>
      <c r="D750" s="83"/>
      <c r="E750" s="87"/>
      <c r="F750" s="83"/>
      <c r="G750" s="83"/>
      <c r="H750" s="83"/>
      <c r="I750" s="83"/>
      <c r="J750" s="83"/>
      <c r="K750" s="83"/>
    </row>
    <row r="751" ht="22.5" hidden="1" customHeight="1">
      <c r="A751" s="83"/>
      <c r="B751" s="83"/>
      <c r="C751" s="83"/>
      <c r="D751" s="83"/>
      <c r="E751" s="87"/>
      <c r="F751" s="83"/>
      <c r="G751" s="83"/>
      <c r="H751" s="83"/>
      <c r="I751" s="83"/>
      <c r="J751" s="83"/>
      <c r="K751" s="83"/>
    </row>
    <row r="752" ht="22.5" hidden="1" customHeight="1">
      <c r="A752" s="83"/>
      <c r="B752" s="83"/>
      <c r="C752" s="83"/>
      <c r="D752" s="83"/>
      <c r="E752" s="87"/>
      <c r="F752" s="83"/>
      <c r="G752" s="83"/>
      <c r="H752" s="83"/>
      <c r="I752" s="83"/>
      <c r="J752" s="83"/>
      <c r="K752" s="83"/>
    </row>
    <row r="753" ht="22.5" hidden="1" customHeight="1">
      <c r="A753" s="83"/>
      <c r="B753" s="83"/>
      <c r="C753" s="83"/>
      <c r="D753" s="83"/>
      <c r="E753" s="87"/>
      <c r="F753" s="83"/>
      <c r="G753" s="83"/>
      <c r="H753" s="83"/>
      <c r="I753" s="83"/>
      <c r="J753" s="83"/>
      <c r="K753" s="83"/>
    </row>
    <row r="754" ht="22.5" hidden="1" customHeight="1">
      <c r="A754" s="83"/>
      <c r="B754" s="83"/>
      <c r="C754" s="83"/>
      <c r="D754" s="83"/>
      <c r="E754" s="87"/>
      <c r="F754" s="83"/>
      <c r="G754" s="83"/>
      <c r="H754" s="83"/>
      <c r="I754" s="83"/>
      <c r="J754" s="83"/>
      <c r="K754" s="83"/>
    </row>
    <row r="755" ht="22.5" hidden="1" customHeight="1">
      <c r="A755" s="83"/>
      <c r="B755" s="83"/>
      <c r="C755" s="83"/>
      <c r="D755" s="83"/>
      <c r="E755" s="87"/>
      <c r="F755" s="83"/>
      <c r="G755" s="83"/>
      <c r="H755" s="83"/>
      <c r="I755" s="83"/>
      <c r="J755" s="83"/>
      <c r="K755" s="83"/>
    </row>
    <row r="756" ht="22.5" hidden="1" customHeight="1">
      <c r="A756" s="83"/>
      <c r="B756" s="83"/>
      <c r="C756" s="83"/>
      <c r="D756" s="83"/>
      <c r="E756" s="87"/>
      <c r="F756" s="83"/>
      <c r="G756" s="83"/>
      <c r="H756" s="83"/>
      <c r="I756" s="83"/>
      <c r="J756" s="83"/>
      <c r="K756" s="83"/>
    </row>
    <row r="757" ht="22.5" hidden="1" customHeight="1">
      <c r="A757" s="83"/>
      <c r="B757" s="83"/>
      <c r="C757" s="83"/>
      <c r="D757" s="83"/>
      <c r="E757" s="87"/>
      <c r="F757" s="83"/>
      <c r="G757" s="83"/>
      <c r="H757" s="83"/>
      <c r="I757" s="83"/>
      <c r="J757" s="83"/>
      <c r="K757" s="83"/>
    </row>
    <row r="758" ht="22.5" hidden="1" customHeight="1">
      <c r="A758" s="83"/>
      <c r="B758" s="83"/>
      <c r="C758" s="83"/>
      <c r="D758" s="83"/>
      <c r="E758" s="87"/>
      <c r="F758" s="83"/>
      <c r="G758" s="83"/>
      <c r="H758" s="83"/>
      <c r="I758" s="83"/>
      <c r="J758" s="83"/>
      <c r="K758" s="83"/>
    </row>
    <row r="759" ht="22.5" hidden="1" customHeight="1">
      <c r="A759" s="83"/>
      <c r="B759" s="83"/>
      <c r="C759" s="83"/>
      <c r="D759" s="83"/>
      <c r="E759" s="87"/>
      <c r="F759" s="83"/>
      <c r="G759" s="83"/>
      <c r="H759" s="83"/>
      <c r="I759" s="83"/>
      <c r="J759" s="83"/>
      <c r="K759" s="83"/>
    </row>
    <row r="760" ht="22.5" hidden="1" customHeight="1">
      <c r="A760" s="83"/>
      <c r="B760" s="83"/>
      <c r="C760" s="83"/>
      <c r="D760" s="83"/>
      <c r="E760" s="87"/>
      <c r="F760" s="83"/>
      <c r="G760" s="83"/>
      <c r="H760" s="83"/>
      <c r="I760" s="83"/>
      <c r="J760" s="83"/>
      <c r="K760" s="83"/>
    </row>
    <row r="761" ht="22.5" hidden="1" customHeight="1">
      <c r="A761" s="83"/>
      <c r="B761" s="83"/>
      <c r="C761" s="83"/>
      <c r="D761" s="83"/>
      <c r="E761" s="87"/>
      <c r="F761" s="83"/>
      <c r="G761" s="83"/>
      <c r="H761" s="83"/>
      <c r="I761" s="83"/>
      <c r="J761" s="83"/>
      <c r="K761" s="83"/>
    </row>
    <row r="762" ht="22.5" hidden="1" customHeight="1">
      <c r="A762" s="83"/>
      <c r="B762" s="83"/>
      <c r="C762" s="83"/>
      <c r="D762" s="83"/>
      <c r="E762" s="87"/>
      <c r="F762" s="83"/>
      <c r="G762" s="83"/>
      <c r="H762" s="83"/>
      <c r="I762" s="83"/>
      <c r="J762" s="83"/>
      <c r="K762" s="83"/>
    </row>
    <row r="763" ht="22.5" hidden="1" customHeight="1">
      <c r="A763" s="83"/>
      <c r="B763" s="83"/>
      <c r="C763" s="83"/>
      <c r="D763" s="83"/>
      <c r="E763" s="87"/>
      <c r="F763" s="83"/>
      <c r="G763" s="83"/>
      <c r="H763" s="83"/>
      <c r="I763" s="83"/>
      <c r="J763" s="83"/>
      <c r="K763" s="83"/>
    </row>
    <row r="764" ht="22.5" hidden="1" customHeight="1">
      <c r="A764" s="83"/>
      <c r="B764" s="83"/>
      <c r="C764" s="83"/>
      <c r="D764" s="83"/>
      <c r="E764" s="87"/>
      <c r="F764" s="83"/>
      <c r="G764" s="83"/>
      <c r="H764" s="83"/>
      <c r="I764" s="83"/>
      <c r="J764" s="83"/>
      <c r="K764" s="83"/>
    </row>
    <row r="765" ht="22.5" hidden="1" customHeight="1">
      <c r="A765" s="83"/>
      <c r="B765" s="83"/>
      <c r="C765" s="83"/>
      <c r="D765" s="83"/>
      <c r="E765" s="87"/>
      <c r="F765" s="83"/>
      <c r="G765" s="83"/>
      <c r="H765" s="83"/>
      <c r="I765" s="83"/>
      <c r="J765" s="83"/>
      <c r="K765" s="83"/>
    </row>
    <row r="766" ht="22.5" hidden="1" customHeight="1">
      <c r="A766" s="83"/>
      <c r="B766" s="83"/>
      <c r="C766" s="83"/>
      <c r="D766" s="83"/>
      <c r="E766" s="87"/>
      <c r="F766" s="83"/>
      <c r="G766" s="83"/>
      <c r="H766" s="83"/>
      <c r="I766" s="83"/>
      <c r="J766" s="83"/>
      <c r="K766" s="83"/>
    </row>
    <row r="767" ht="22.5" hidden="1" customHeight="1">
      <c r="A767" s="83"/>
      <c r="B767" s="83"/>
      <c r="C767" s="83"/>
      <c r="D767" s="83"/>
      <c r="E767" s="87"/>
      <c r="F767" s="83"/>
      <c r="G767" s="83"/>
      <c r="H767" s="83"/>
      <c r="I767" s="83"/>
      <c r="J767" s="83"/>
      <c r="K767" s="83"/>
    </row>
    <row r="768" ht="22.5" hidden="1" customHeight="1">
      <c r="A768" s="83"/>
      <c r="B768" s="83"/>
      <c r="C768" s="83"/>
      <c r="D768" s="83"/>
      <c r="E768" s="87"/>
      <c r="F768" s="83"/>
      <c r="G768" s="83"/>
      <c r="H768" s="83"/>
      <c r="I768" s="83"/>
      <c r="J768" s="83"/>
      <c r="K768" s="83"/>
    </row>
    <row r="769" ht="22.5" hidden="1" customHeight="1">
      <c r="A769" s="83"/>
      <c r="B769" s="83"/>
      <c r="C769" s="83"/>
      <c r="D769" s="83"/>
      <c r="E769" s="87"/>
      <c r="F769" s="83"/>
      <c r="G769" s="83"/>
      <c r="H769" s="83"/>
      <c r="I769" s="83"/>
      <c r="J769" s="83"/>
      <c r="K769" s="83"/>
    </row>
    <row r="770" ht="22.5" hidden="1" customHeight="1">
      <c r="A770" s="83"/>
      <c r="B770" s="83"/>
      <c r="C770" s="83"/>
      <c r="D770" s="83"/>
      <c r="E770" s="87"/>
      <c r="F770" s="83"/>
      <c r="G770" s="83"/>
      <c r="H770" s="83"/>
      <c r="I770" s="83"/>
      <c r="J770" s="83"/>
      <c r="K770" s="83"/>
    </row>
    <row r="771" ht="22.5" hidden="1" customHeight="1">
      <c r="A771" s="83"/>
      <c r="B771" s="83"/>
      <c r="C771" s="83"/>
      <c r="D771" s="83"/>
      <c r="E771" s="87"/>
      <c r="F771" s="83"/>
      <c r="G771" s="83"/>
      <c r="H771" s="83"/>
      <c r="I771" s="83"/>
      <c r="J771" s="83"/>
      <c r="K771" s="83"/>
    </row>
    <row r="772" ht="22.5" hidden="1" customHeight="1">
      <c r="A772" s="83"/>
      <c r="B772" s="83"/>
      <c r="C772" s="83"/>
      <c r="D772" s="83"/>
      <c r="E772" s="87"/>
      <c r="F772" s="83"/>
      <c r="G772" s="83"/>
      <c r="H772" s="83"/>
      <c r="I772" s="83"/>
      <c r="J772" s="83"/>
      <c r="K772" s="83"/>
    </row>
    <row r="773" ht="22.5" hidden="1" customHeight="1">
      <c r="A773" s="83"/>
      <c r="B773" s="83"/>
      <c r="C773" s="83"/>
      <c r="D773" s="83"/>
      <c r="E773" s="87"/>
      <c r="F773" s="83"/>
      <c r="G773" s="83"/>
      <c r="H773" s="83"/>
      <c r="I773" s="83"/>
      <c r="J773" s="83"/>
      <c r="K773" s="83"/>
    </row>
    <row r="774" ht="22.5" hidden="1" customHeight="1">
      <c r="A774" s="83"/>
      <c r="B774" s="83"/>
      <c r="C774" s="83"/>
      <c r="D774" s="83"/>
      <c r="E774" s="87"/>
      <c r="F774" s="83"/>
      <c r="G774" s="83"/>
      <c r="H774" s="83"/>
      <c r="I774" s="83"/>
      <c r="J774" s="83"/>
      <c r="K774" s="83"/>
    </row>
    <row r="775" ht="22.5" hidden="1" customHeight="1">
      <c r="A775" s="83"/>
      <c r="B775" s="83"/>
      <c r="C775" s="83"/>
      <c r="D775" s="83"/>
      <c r="E775" s="87"/>
      <c r="F775" s="83"/>
      <c r="G775" s="83"/>
      <c r="H775" s="83"/>
      <c r="I775" s="83"/>
      <c r="J775" s="83"/>
      <c r="K775" s="83"/>
    </row>
    <row r="776" ht="22.5" hidden="1" customHeight="1">
      <c r="A776" s="83"/>
      <c r="B776" s="83"/>
      <c r="C776" s="83"/>
      <c r="D776" s="83"/>
      <c r="E776" s="87"/>
      <c r="F776" s="83"/>
      <c r="G776" s="83"/>
      <c r="H776" s="83"/>
      <c r="I776" s="83"/>
      <c r="J776" s="83"/>
      <c r="K776" s="83"/>
    </row>
    <row r="777" ht="22.5" hidden="1" customHeight="1">
      <c r="A777" s="83"/>
      <c r="B777" s="83"/>
      <c r="C777" s="83"/>
      <c r="D777" s="83"/>
      <c r="E777" s="87"/>
      <c r="F777" s="83"/>
      <c r="G777" s="83"/>
      <c r="H777" s="83"/>
      <c r="I777" s="83"/>
      <c r="J777" s="83"/>
      <c r="K777" s="83"/>
    </row>
    <row r="778" ht="22.5" hidden="1" customHeight="1">
      <c r="A778" s="83"/>
      <c r="B778" s="83"/>
      <c r="C778" s="83"/>
      <c r="D778" s="83"/>
      <c r="E778" s="87"/>
      <c r="F778" s="83"/>
      <c r="G778" s="83"/>
      <c r="H778" s="83"/>
      <c r="I778" s="83"/>
      <c r="J778" s="83"/>
      <c r="K778" s="83"/>
    </row>
    <row r="779" ht="22.5" hidden="1" customHeight="1">
      <c r="A779" s="83"/>
      <c r="B779" s="83"/>
      <c r="C779" s="83"/>
      <c r="D779" s="83"/>
      <c r="E779" s="87"/>
      <c r="F779" s="83"/>
      <c r="G779" s="83"/>
      <c r="H779" s="83"/>
      <c r="I779" s="83"/>
      <c r="J779" s="83"/>
      <c r="K779" s="83"/>
    </row>
    <row r="780" ht="22.5" hidden="1" customHeight="1">
      <c r="A780" s="83"/>
      <c r="B780" s="83"/>
      <c r="C780" s="83"/>
      <c r="D780" s="83"/>
      <c r="E780" s="87"/>
      <c r="F780" s="83"/>
      <c r="G780" s="83"/>
      <c r="H780" s="83"/>
      <c r="I780" s="83"/>
      <c r="J780" s="83"/>
      <c r="K780" s="83"/>
    </row>
    <row r="781" ht="22.5" hidden="1" customHeight="1">
      <c r="A781" s="83"/>
      <c r="B781" s="83"/>
      <c r="C781" s="83"/>
      <c r="D781" s="83"/>
      <c r="E781" s="87"/>
      <c r="F781" s="83"/>
      <c r="G781" s="83"/>
      <c r="H781" s="83"/>
      <c r="I781" s="83"/>
      <c r="J781" s="83"/>
      <c r="K781" s="83"/>
    </row>
    <row r="782" ht="22.5" hidden="1" customHeight="1">
      <c r="A782" s="83"/>
      <c r="B782" s="83"/>
      <c r="C782" s="83"/>
      <c r="D782" s="83"/>
      <c r="E782" s="87"/>
      <c r="F782" s="83"/>
      <c r="G782" s="83"/>
      <c r="H782" s="83"/>
      <c r="I782" s="83"/>
      <c r="J782" s="83"/>
      <c r="K782" s="83"/>
    </row>
    <row r="783" ht="22.5" hidden="1" customHeight="1">
      <c r="A783" s="83"/>
      <c r="B783" s="83"/>
      <c r="C783" s="83"/>
      <c r="D783" s="83"/>
      <c r="E783" s="87"/>
      <c r="F783" s="83"/>
      <c r="G783" s="83"/>
      <c r="H783" s="83"/>
      <c r="I783" s="83"/>
      <c r="J783" s="83"/>
      <c r="K783" s="83"/>
    </row>
    <row r="784" ht="22.5" hidden="1" customHeight="1">
      <c r="A784" s="83"/>
      <c r="B784" s="83"/>
      <c r="C784" s="83"/>
      <c r="D784" s="83"/>
      <c r="E784" s="87"/>
      <c r="F784" s="83"/>
      <c r="G784" s="83"/>
      <c r="H784" s="83"/>
      <c r="I784" s="83"/>
      <c r="J784" s="83"/>
      <c r="K784" s="83"/>
    </row>
    <row r="785" ht="22.5" hidden="1" customHeight="1">
      <c r="A785" s="83"/>
      <c r="B785" s="83"/>
      <c r="C785" s="83"/>
      <c r="D785" s="83"/>
      <c r="E785" s="87"/>
      <c r="F785" s="83"/>
      <c r="G785" s="83"/>
      <c r="H785" s="83"/>
      <c r="I785" s="83"/>
      <c r="J785" s="83"/>
      <c r="K785" s="83"/>
    </row>
    <row r="786" ht="22.5" hidden="1" customHeight="1">
      <c r="A786" s="83"/>
      <c r="B786" s="83"/>
      <c r="C786" s="83"/>
      <c r="D786" s="83"/>
      <c r="E786" s="87"/>
      <c r="F786" s="83"/>
      <c r="G786" s="83"/>
      <c r="H786" s="83"/>
      <c r="I786" s="83"/>
      <c r="J786" s="83"/>
      <c r="K786" s="83"/>
    </row>
    <row r="787" ht="22.5" hidden="1" customHeight="1">
      <c r="A787" s="83"/>
      <c r="B787" s="83"/>
      <c r="C787" s="83"/>
      <c r="D787" s="83"/>
      <c r="E787" s="87"/>
      <c r="F787" s="83"/>
      <c r="G787" s="83"/>
      <c r="H787" s="83"/>
      <c r="I787" s="83"/>
      <c r="J787" s="83"/>
      <c r="K787" s="83"/>
    </row>
    <row r="788" ht="22.5" hidden="1" customHeight="1">
      <c r="A788" s="83"/>
      <c r="B788" s="83"/>
      <c r="C788" s="83"/>
      <c r="D788" s="83"/>
      <c r="E788" s="87"/>
      <c r="F788" s="83"/>
      <c r="G788" s="83"/>
      <c r="H788" s="83"/>
      <c r="I788" s="83"/>
      <c r="J788" s="83"/>
      <c r="K788" s="83"/>
    </row>
    <row r="789" ht="22.5" hidden="1" customHeight="1">
      <c r="A789" s="83"/>
      <c r="B789" s="83"/>
      <c r="C789" s="83"/>
      <c r="D789" s="83"/>
      <c r="E789" s="87"/>
      <c r="F789" s="83"/>
      <c r="G789" s="83"/>
      <c r="H789" s="83"/>
      <c r="I789" s="83"/>
      <c r="J789" s="83"/>
      <c r="K789" s="83"/>
    </row>
    <row r="790" ht="22.5" hidden="1" customHeight="1">
      <c r="A790" s="83"/>
      <c r="B790" s="83"/>
      <c r="C790" s="83"/>
      <c r="D790" s="83"/>
      <c r="E790" s="87"/>
      <c r="F790" s="83"/>
      <c r="G790" s="83"/>
      <c r="H790" s="83"/>
      <c r="I790" s="83"/>
      <c r="J790" s="83"/>
      <c r="K790" s="83"/>
    </row>
    <row r="791" ht="22.5" hidden="1" customHeight="1">
      <c r="A791" s="83"/>
      <c r="B791" s="83"/>
      <c r="C791" s="83"/>
      <c r="D791" s="83"/>
      <c r="E791" s="87"/>
      <c r="F791" s="83"/>
      <c r="G791" s="83"/>
      <c r="H791" s="83"/>
      <c r="I791" s="83"/>
      <c r="J791" s="83"/>
      <c r="K791" s="83"/>
    </row>
    <row r="792" ht="22.5" hidden="1" customHeight="1">
      <c r="A792" s="83"/>
      <c r="B792" s="83"/>
      <c r="C792" s="83"/>
      <c r="D792" s="83"/>
      <c r="E792" s="87"/>
      <c r="F792" s="83"/>
      <c r="G792" s="83"/>
      <c r="H792" s="83"/>
      <c r="I792" s="83"/>
      <c r="J792" s="83"/>
      <c r="K792" s="83"/>
    </row>
    <row r="793" ht="22.5" hidden="1" customHeight="1">
      <c r="A793" s="83"/>
      <c r="B793" s="83"/>
      <c r="C793" s="83"/>
      <c r="D793" s="83"/>
      <c r="E793" s="87"/>
      <c r="F793" s="83"/>
      <c r="G793" s="83"/>
      <c r="H793" s="83"/>
      <c r="I793" s="83"/>
      <c r="J793" s="83"/>
      <c r="K793" s="83"/>
    </row>
    <row r="794" ht="22.5" hidden="1" customHeight="1">
      <c r="A794" s="83"/>
      <c r="B794" s="83"/>
      <c r="C794" s="83"/>
      <c r="D794" s="83"/>
      <c r="E794" s="87"/>
      <c r="F794" s="83"/>
      <c r="G794" s="83"/>
      <c r="H794" s="83"/>
      <c r="I794" s="83"/>
      <c r="J794" s="83"/>
      <c r="K794" s="83"/>
    </row>
    <row r="795" ht="22.5" hidden="1" customHeight="1">
      <c r="A795" s="83"/>
      <c r="B795" s="83"/>
      <c r="C795" s="83"/>
      <c r="D795" s="83"/>
      <c r="E795" s="87"/>
      <c r="F795" s="83"/>
      <c r="G795" s="83"/>
      <c r="H795" s="83"/>
      <c r="I795" s="83"/>
      <c r="J795" s="83"/>
      <c r="K795" s="83"/>
    </row>
    <row r="796" ht="22.5" hidden="1" customHeight="1">
      <c r="A796" s="83"/>
      <c r="B796" s="83"/>
      <c r="C796" s="83"/>
      <c r="D796" s="83"/>
      <c r="E796" s="87"/>
      <c r="F796" s="83"/>
      <c r="G796" s="83"/>
      <c r="H796" s="83"/>
      <c r="I796" s="83"/>
      <c r="J796" s="83"/>
      <c r="K796" s="83"/>
    </row>
    <row r="797" ht="22.5" hidden="1" customHeight="1">
      <c r="A797" s="83"/>
      <c r="B797" s="83"/>
      <c r="C797" s="83"/>
      <c r="D797" s="83"/>
      <c r="E797" s="87"/>
      <c r="F797" s="83"/>
      <c r="G797" s="83"/>
      <c r="H797" s="83"/>
      <c r="I797" s="83"/>
      <c r="J797" s="83"/>
      <c r="K797" s="83"/>
    </row>
    <row r="798" ht="22.5" hidden="1" customHeight="1">
      <c r="A798" s="83"/>
      <c r="B798" s="83"/>
      <c r="C798" s="83"/>
      <c r="D798" s="83"/>
      <c r="E798" s="87"/>
      <c r="F798" s="83"/>
      <c r="G798" s="83"/>
      <c r="H798" s="83"/>
      <c r="I798" s="83"/>
      <c r="J798" s="83"/>
      <c r="K798" s="83"/>
    </row>
    <row r="799" ht="22.5" hidden="1" customHeight="1">
      <c r="A799" s="83"/>
      <c r="B799" s="83"/>
      <c r="C799" s="83"/>
      <c r="D799" s="83"/>
      <c r="E799" s="87"/>
      <c r="F799" s="83"/>
      <c r="G799" s="83"/>
      <c r="H799" s="83"/>
      <c r="I799" s="83"/>
      <c r="J799" s="83"/>
      <c r="K799" s="83"/>
    </row>
    <row r="800" ht="22.5" hidden="1" customHeight="1">
      <c r="A800" s="83"/>
      <c r="B800" s="83"/>
      <c r="C800" s="83"/>
      <c r="D800" s="83"/>
      <c r="E800" s="87"/>
      <c r="F800" s="83"/>
      <c r="G800" s="83"/>
      <c r="H800" s="83"/>
      <c r="I800" s="83"/>
      <c r="J800" s="83"/>
      <c r="K800" s="83"/>
    </row>
    <row r="801" ht="22.5" hidden="1" customHeight="1">
      <c r="A801" s="83"/>
      <c r="B801" s="83"/>
      <c r="C801" s="83"/>
      <c r="D801" s="83"/>
      <c r="E801" s="87"/>
      <c r="F801" s="83"/>
      <c r="G801" s="83"/>
      <c r="H801" s="83"/>
      <c r="I801" s="83"/>
      <c r="J801" s="83"/>
      <c r="K801" s="83"/>
    </row>
    <row r="802" ht="22.5" hidden="1" customHeight="1">
      <c r="A802" s="83"/>
      <c r="B802" s="83"/>
      <c r="C802" s="83"/>
      <c r="D802" s="83"/>
      <c r="E802" s="87"/>
      <c r="F802" s="83"/>
      <c r="G802" s="83"/>
      <c r="H802" s="83"/>
      <c r="I802" s="83"/>
      <c r="J802" s="83"/>
      <c r="K802" s="83"/>
    </row>
    <row r="803" ht="22.5" hidden="1" customHeight="1">
      <c r="A803" s="83"/>
      <c r="B803" s="83"/>
      <c r="C803" s="83"/>
      <c r="D803" s="83"/>
      <c r="E803" s="87"/>
      <c r="F803" s="83"/>
      <c r="G803" s="83"/>
      <c r="H803" s="83"/>
      <c r="I803" s="83"/>
      <c r="J803" s="83"/>
      <c r="K803" s="83"/>
    </row>
    <row r="804" ht="22.5" hidden="1" customHeight="1">
      <c r="A804" s="83"/>
      <c r="B804" s="83"/>
      <c r="C804" s="83"/>
      <c r="D804" s="83"/>
      <c r="E804" s="87"/>
      <c r="F804" s="83"/>
      <c r="G804" s="83"/>
      <c r="H804" s="83"/>
      <c r="I804" s="83"/>
      <c r="J804" s="83"/>
      <c r="K804" s="83"/>
    </row>
    <row r="805" ht="22.5" hidden="1" customHeight="1">
      <c r="A805" s="83"/>
      <c r="B805" s="83"/>
      <c r="C805" s="83"/>
      <c r="D805" s="83"/>
      <c r="E805" s="87"/>
      <c r="F805" s="83"/>
      <c r="G805" s="83"/>
      <c r="H805" s="83"/>
      <c r="I805" s="83"/>
      <c r="J805" s="83"/>
      <c r="K805" s="83"/>
    </row>
    <row r="806" ht="22.5" hidden="1" customHeight="1">
      <c r="A806" s="83"/>
      <c r="B806" s="83"/>
      <c r="C806" s="83"/>
      <c r="D806" s="83"/>
      <c r="E806" s="87"/>
      <c r="F806" s="83"/>
      <c r="G806" s="83"/>
      <c r="H806" s="83"/>
      <c r="I806" s="83"/>
      <c r="J806" s="83"/>
      <c r="K806" s="83"/>
    </row>
    <row r="807" ht="22.5" hidden="1" customHeight="1">
      <c r="A807" s="83"/>
      <c r="B807" s="83"/>
      <c r="C807" s="83"/>
      <c r="D807" s="83"/>
      <c r="E807" s="87"/>
      <c r="F807" s="83"/>
      <c r="G807" s="83"/>
      <c r="H807" s="83"/>
      <c r="I807" s="83"/>
      <c r="J807" s="83"/>
      <c r="K807" s="83"/>
    </row>
    <row r="808" ht="22.5" hidden="1" customHeight="1">
      <c r="A808" s="83"/>
      <c r="B808" s="83"/>
      <c r="C808" s="83"/>
      <c r="D808" s="83"/>
      <c r="E808" s="87"/>
      <c r="F808" s="83"/>
      <c r="G808" s="83"/>
      <c r="H808" s="83"/>
      <c r="I808" s="83"/>
      <c r="J808" s="83"/>
      <c r="K808" s="83"/>
    </row>
    <row r="809" ht="22.5" hidden="1" customHeight="1">
      <c r="A809" s="83"/>
      <c r="B809" s="83"/>
      <c r="C809" s="83"/>
      <c r="D809" s="83"/>
      <c r="E809" s="87"/>
      <c r="F809" s="83"/>
      <c r="G809" s="83"/>
      <c r="H809" s="83"/>
      <c r="I809" s="83"/>
      <c r="J809" s="83"/>
      <c r="K809" s="83"/>
    </row>
    <row r="810" ht="22.5" hidden="1" customHeight="1">
      <c r="A810" s="83"/>
      <c r="B810" s="83"/>
      <c r="C810" s="83"/>
      <c r="D810" s="83"/>
      <c r="E810" s="87"/>
      <c r="F810" s="83"/>
      <c r="G810" s="83"/>
      <c r="H810" s="83"/>
      <c r="I810" s="83"/>
      <c r="J810" s="83"/>
      <c r="K810" s="83"/>
    </row>
    <row r="811" ht="22.5" hidden="1" customHeight="1">
      <c r="A811" s="83"/>
      <c r="B811" s="83"/>
      <c r="C811" s="83"/>
      <c r="D811" s="83"/>
      <c r="E811" s="87"/>
      <c r="F811" s="83"/>
      <c r="G811" s="83"/>
      <c r="H811" s="83"/>
      <c r="I811" s="83"/>
      <c r="J811" s="83"/>
      <c r="K811" s="83"/>
    </row>
    <row r="812" ht="22.5" hidden="1" customHeight="1">
      <c r="A812" s="83"/>
      <c r="B812" s="83"/>
      <c r="C812" s="83"/>
      <c r="D812" s="83"/>
      <c r="E812" s="87"/>
      <c r="F812" s="83"/>
      <c r="G812" s="83"/>
      <c r="H812" s="83"/>
      <c r="I812" s="83"/>
      <c r="J812" s="83"/>
      <c r="K812" s="83"/>
    </row>
    <row r="813" ht="22.5" hidden="1" customHeight="1">
      <c r="A813" s="83"/>
      <c r="B813" s="83"/>
      <c r="C813" s="83"/>
      <c r="D813" s="83"/>
      <c r="E813" s="87"/>
      <c r="F813" s="83"/>
      <c r="G813" s="83"/>
      <c r="H813" s="83"/>
      <c r="I813" s="83"/>
      <c r="J813" s="83"/>
      <c r="K813" s="83"/>
    </row>
    <row r="814" ht="22.5" hidden="1" customHeight="1">
      <c r="A814" s="83"/>
      <c r="B814" s="83"/>
      <c r="C814" s="83"/>
      <c r="D814" s="83"/>
      <c r="E814" s="87"/>
      <c r="F814" s="83"/>
      <c r="G814" s="83"/>
      <c r="H814" s="83"/>
      <c r="I814" s="83"/>
      <c r="J814" s="83"/>
      <c r="K814" s="83"/>
    </row>
    <row r="815" ht="22.5" hidden="1" customHeight="1">
      <c r="A815" s="83"/>
      <c r="B815" s="83"/>
      <c r="C815" s="83"/>
      <c r="D815" s="83"/>
      <c r="E815" s="87"/>
      <c r="F815" s="83"/>
      <c r="G815" s="83"/>
      <c r="H815" s="83"/>
      <c r="I815" s="83"/>
      <c r="J815" s="83"/>
      <c r="K815" s="83"/>
    </row>
    <row r="816" ht="22.5" hidden="1" customHeight="1">
      <c r="A816" s="83"/>
      <c r="B816" s="83"/>
      <c r="C816" s="83"/>
      <c r="D816" s="83"/>
      <c r="E816" s="87"/>
      <c r="F816" s="83"/>
      <c r="G816" s="83"/>
      <c r="H816" s="83"/>
      <c r="I816" s="83"/>
      <c r="J816" s="83"/>
      <c r="K816" s="83"/>
    </row>
    <row r="817" ht="22.5" hidden="1" customHeight="1">
      <c r="A817" s="83"/>
      <c r="B817" s="83"/>
      <c r="C817" s="83"/>
      <c r="D817" s="83"/>
      <c r="E817" s="87"/>
      <c r="F817" s="83"/>
      <c r="G817" s="83"/>
      <c r="H817" s="83"/>
      <c r="I817" s="83"/>
      <c r="J817" s="83"/>
      <c r="K817" s="83"/>
    </row>
    <row r="818" ht="22.5" hidden="1" customHeight="1">
      <c r="A818" s="83"/>
      <c r="B818" s="83"/>
      <c r="C818" s="83"/>
      <c r="D818" s="83"/>
      <c r="E818" s="87"/>
      <c r="F818" s="83"/>
      <c r="G818" s="83"/>
      <c r="H818" s="83"/>
      <c r="I818" s="83"/>
      <c r="J818" s="83"/>
      <c r="K818" s="83"/>
    </row>
    <row r="819" ht="22.5" hidden="1" customHeight="1">
      <c r="A819" s="83"/>
      <c r="B819" s="83"/>
      <c r="C819" s="83"/>
      <c r="D819" s="83"/>
      <c r="E819" s="87"/>
      <c r="F819" s="83"/>
      <c r="G819" s="83"/>
      <c r="H819" s="83"/>
      <c r="I819" s="83"/>
      <c r="J819" s="83"/>
      <c r="K819" s="83"/>
    </row>
    <row r="820" ht="22.5" hidden="1" customHeight="1">
      <c r="A820" s="83"/>
      <c r="B820" s="83"/>
      <c r="C820" s="83"/>
      <c r="D820" s="83"/>
      <c r="E820" s="87"/>
      <c r="F820" s="83"/>
      <c r="G820" s="83"/>
      <c r="H820" s="83"/>
      <c r="I820" s="83"/>
      <c r="J820" s="83"/>
      <c r="K820" s="83"/>
    </row>
    <row r="821" ht="22.5" hidden="1" customHeight="1">
      <c r="A821" s="83"/>
      <c r="B821" s="83"/>
      <c r="C821" s="83"/>
      <c r="D821" s="83"/>
      <c r="E821" s="87"/>
      <c r="F821" s="83"/>
      <c r="G821" s="83"/>
      <c r="H821" s="83"/>
      <c r="I821" s="83"/>
      <c r="J821" s="83"/>
      <c r="K821" s="83"/>
    </row>
    <row r="822" ht="22.5" hidden="1" customHeight="1">
      <c r="A822" s="83"/>
      <c r="B822" s="83"/>
      <c r="C822" s="83"/>
      <c r="D822" s="83"/>
      <c r="E822" s="87"/>
      <c r="F822" s="83"/>
      <c r="G822" s="83"/>
      <c r="H822" s="83"/>
      <c r="I822" s="83"/>
      <c r="J822" s="83"/>
      <c r="K822" s="83"/>
    </row>
    <row r="823" ht="22.5" hidden="1" customHeight="1">
      <c r="A823" s="83"/>
      <c r="B823" s="83"/>
      <c r="C823" s="83"/>
      <c r="D823" s="83"/>
      <c r="E823" s="87"/>
      <c r="F823" s="83"/>
      <c r="G823" s="83"/>
      <c r="H823" s="83"/>
      <c r="I823" s="83"/>
      <c r="J823" s="83"/>
      <c r="K823" s="83"/>
    </row>
    <row r="824" ht="22.5" hidden="1" customHeight="1">
      <c r="A824" s="83"/>
      <c r="B824" s="83"/>
      <c r="C824" s="83"/>
      <c r="D824" s="83"/>
      <c r="E824" s="87"/>
      <c r="F824" s="83"/>
      <c r="G824" s="83"/>
      <c r="H824" s="83"/>
      <c r="I824" s="83"/>
      <c r="J824" s="83"/>
      <c r="K824" s="83"/>
    </row>
    <row r="825" ht="22.5" hidden="1" customHeight="1">
      <c r="A825" s="83"/>
      <c r="B825" s="83"/>
      <c r="C825" s="83"/>
      <c r="D825" s="83"/>
      <c r="E825" s="87"/>
      <c r="F825" s="83"/>
      <c r="G825" s="83"/>
      <c r="H825" s="83"/>
      <c r="I825" s="83"/>
      <c r="J825" s="83"/>
      <c r="K825" s="83"/>
    </row>
    <row r="826" ht="22.5" hidden="1" customHeight="1">
      <c r="A826" s="83"/>
      <c r="B826" s="83"/>
      <c r="C826" s="83"/>
      <c r="D826" s="83"/>
      <c r="E826" s="87"/>
      <c r="F826" s="83"/>
      <c r="G826" s="83"/>
      <c r="H826" s="83"/>
      <c r="I826" s="83"/>
      <c r="J826" s="83"/>
      <c r="K826" s="83"/>
    </row>
    <row r="827" ht="22.5" hidden="1" customHeight="1">
      <c r="A827" s="83"/>
      <c r="B827" s="83"/>
      <c r="C827" s="83"/>
      <c r="D827" s="83"/>
      <c r="E827" s="87"/>
      <c r="F827" s="83"/>
      <c r="G827" s="83"/>
      <c r="H827" s="83"/>
      <c r="I827" s="83"/>
      <c r="J827" s="83"/>
      <c r="K827" s="83"/>
    </row>
    <row r="828" ht="22.5" hidden="1" customHeight="1">
      <c r="A828" s="83"/>
      <c r="B828" s="83"/>
      <c r="C828" s="83"/>
      <c r="D828" s="83"/>
      <c r="E828" s="87"/>
      <c r="F828" s="83"/>
      <c r="G828" s="83"/>
      <c r="H828" s="83"/>
      <c r="I828" s="83"/>
      <c r="J828" s="83"/>
      <c r="K828" s="83"/>
    </row>
    <row r="829" ht="22.5" hidden="1" customHeight="1">
      <c r="A829" s="83"/>
      <c r="B829" s="83"/>
      <c r="C829" s="83"/>
      <c r="D829" s="83"/>
      <c r="E829" s="87"/>
      <c r="F829" s="83"/>
      <c r="G829" s="83"/>
      <c r="H829" s="83"/>
      <c r="I829" s="83"/>
      <c r="J829" s="83"/>
      <c r="K829" s="83"/>
    </row>
    <row r="830" ht="22.5" hidden="1" customHeight="1">
      <c r="A830" s="83"/>
      <c r="B830" s="83"/>
      <c r="C830" s="83"/>
      <c r="D830" s="83"/>
      <c r="E830" s="87"/>
      <c r="F830" s="83"/>
      <c r="G830" s="83"/>
      <c r="H830" s="83"/>
      <c r="I830" s="83"/>
      <c r="J830" s="83"/>
      <c r="K830" s="83"/>
    </row>
    <row r="831" ht="22.5" hidden="1" customHeight="1">
      <c r="A831" s="83"/>
      <c r="B831" s="83"/>
      <c r="C831" s="83"/>
      <c r="D831" s="83"/>
      <c r="E831" s="87"/>
      <c r="F831" s="83"/>
      <c r="G831" s="83"/>
      <c r="H831" s="83"/>
      <c r="I831" s="83"/>
      <c r="J831" s="83"/>
      <c r="K831" s="83"/>
    </row>
    <row r="832" ht="22.5" hidden="1" customHeight="1">
      <c r="A832" s="83"/>
      <c r="B832" s="83"/>
      <c r="C832" s="83"/>
      <c r="D832" s="83"/>
      <c r="E832" s="87"/>
      <c r="F832" s="83"/>
      <c r="G832" s="83"/>
      <c r="H832" s="83"/>
      <c r="I832" s="83"/>
      <c r="J832" s="83"/>
      <c r="K832" s="83"/>
    </row>
    <row r="833" ht="22.5" hidden="1" customHeight="1">
      <c r="A833" s="83"/>
      <c r="B833" s="83"/>
      <c r="C833" s="83"/>
      <c r="D833" s="83"/>
      <c r="E833" s="87"/>
      <c r="F833" s="83"/>
      <c r="G833" s="83"/>
      <c r="H833" s="83"/>
      <c r="I833" s="83"/>
      <c r="J833" s="83"/>
      <c r="K833" s="83"/>
    </row>
    <row r="834" ht="22.5" hidden="1" customHeight="1">
      <c r="A834" s="83"/>
      <c r="B834" s="83"/>
      <c r="C834" s="83"/>
      <c r="D834" s="83"/>
      <c r="E834" s="87"/>
      <c r="F834" s="83"/>
      <c r="G834" s="83"/>
      <c r="H834" s="83"/>
      <c r="I834" s="83"/>
      <c r="J834" s="83"/>
      <c r="K834" s="83"/>
    </row>
    <row r="835" ht="22.5" hidden="1" customHeight="1">
      <c r="A835" s="83"/>
      <c r="B835" s="83"/>
      <c r="C835" s="83"/>
      <c r="D835" s="83"/>
      <c r="E835" s="87"/>
      <c r="F835" s="83"/>
      <c r="G835" s="83"/>
      <c r="H835" s="83"/>
      <c r="I835" s="83"/>
      <c r="J835" s="83"/>
      <c r="K835" s="83"/>
    </row>
    <row r="836" ht="22.5" hidden="1" customHeight="1">
      <c r="A836" s="83"/>
      <c r="B836" s="83"/>
      <c r="C836" s="83"/>
      <c r="D836" s="83"/>
      <c r="E836" s="87"/>
      <c r="F836" s="83"/>
      <c r="G836" s="83"/>
      <c r="H836" s="83"/>
      <c r="I836" s="83"/>
      <c r="J836" s="83"/>
      <c r="K836" s="83"/>
    </row>
    <row r="837" ht="22.5" hidden="1" customHeight="1">
      <c r="A837" s="83"/>
      <c r="B837" s="83"/>
      <c r="C837" s="83"/>
      <c r="D837" s="83"/>
      <c r="E837" s="87"/>
      <c r="F837" s="83"/>
      <c r="G837" s="83"/>
      <c r="H837" s="83"/>
      <c r="I837" s="83"/>
      <c r="J837" s="83"/>
      <c r="K837" s="83"/>
    </row>
    <row r="838" ht="22.5" hidden="1" customHeight="1">
      <c r="A838" s="83"/>
      <c r="B838" s="83"/>
      <c r="C838" s="83"/>
      <c r="D838" s="83"/>
      <c r="E838" s="87"/>
      <c r="F838" s="83"/>
      <c r="G838" s="83"/>
      <c r="H838" s="83"/>
      <c r="I838" s="83"/>
      <c r="J838" s="83"/>
      <c r="K838" s="83"/>
    </row>
    <row r="839" ht="22.5" hidden="1" customHeight="1">
      <c r="A839" s="83"/>
      <c r="B839" s="83"/>
      <c r="C839" s="83"/>
      <c r="D839" s="83"/>
      <c r="E839" s="87"/>
      <c r="F839" s="83"/>
      <c r="G839" s="83"/>
      <c r="H839" s="83"/>
      <c r="I839" s="83"/>
      <c r="J839" s="83"/>
      <c r="K839" s="83"/>
    </row>
    <row r="840" ht="22.5" hidden="1" customHeight="1">
      <c r="A840" s="83"/>
      <c r="B840" s="83"/>
      <c r="C840" s="83"/>
      <c r="D840" s="83"/>
      <c r="E840" s="87"/>
      <c r="F840" s="83"/>
      <c r="G840" s="83"/>
      <c r="H840" s="83"/>
      <c r="I840" s="83"/>
      <c r="J840" s="83"/>
      <c r="K840" s="83"/>
    </row>
    <row r="841" ht="22.5" hidden="1" customHeight="1">
      <c r="A841" s="83"/>
      <c r="B841" s="83"/>
      <c r="C841" s="83"/>
      <c r="D841" s="83"/>
      <c r="E841" s="87"/>
      <c r="F841" s="83"/>
      <c r="G841" s="83"/>
      <c r="H841" s="83"/>
      <c r="I841" s="83"/>
      <c r="J841" s="83"/>
      <c r="K841" s="83"/>
    </row>
    <row r="842" ht="22.5" hidden="1" customHeight="1">
      <c r="A842" s="83"/>
      <c r="B842" s="83"/>
      <c r="C842" s="83"/>
      <c r="D842" s="83"/>
      <c r="E842" s="87"/>
      <c r="F842" s="83"/>
      <c r="G842" s="83"/>
      <c r="H842" s="83"/>
      <c r="I842" s="83"/>
      <c r="J842" s="83"/>
      <c r="K842" s="83"/>
    </row>
    <row r="843" ht="22.5" hidden="1" customHeight="1">
      <c r="A843" s="83"/>
      <c r="B843" s="83"/>
      <c r="C843" s="83"/>
      <c r="D843" s="83"/>
      <c r="E843" s="87"/>
      <c r="F843" s="83"/>
      <c r="G843" s="83"/>
      <c r="H843" s="83"/>
      <c r="I843" s="83"/>
      <c r="J843" s="83"/>
      <c r="K843" s="83"/>
    </row>
    <row r="844" ht="22.5" hidden="1" customHeight="1">
      <c r="A844" s="83"/>
      <c r="B844" s="83"/>
      <c r="C844" s="83"/>
      <c r="D844" s="83"/>
      <c r="E844" s="87"/>
      <c r="F844" s="83"/>
      <c r="G844" s="83"/>
      <c r="H844" s="83"/>
      <c r="I844" s="83"/>
      <c r="J844" s="83"/>
      <c r="K844" s="83"/>
    </row>
    <row r="845" ht="22.5" hidden="1" customHeight="1">
      <c r="A845" s="83"/>
      <c r="B845" s="83"/>
      <c r="C845" s="83"/>
      <c r="D845" s="83"/>
      <c r="E845" s="87"/>
      <c r="F845" s="83"/>
      <c r="G845" s="83"/>
      <c r="H845" s="83"/>
      <c r="I845" s="83"/>
      <c r="J845" s="83"/>
      <c r="K845" s="83"/>
    </row>
    <row r="846" ht="22.5" hidden="1" customHeight="1">
      <c r="A846" s="83"/>
      <c r="B846" s="83"/>
      <c r="C846" s="83"/>
      <c r="D846" s="83"/>
      <c r="E846" s="87"/>
      <c r="F846" s="83"/>
      <c r="G846" s="83"/>
      <c r="H846" s="83"/>
      <c r="I846" s="83"/>
      <c r="J846" s="83"/>
      <c r="K846" s="83"/>
    </row>
    <row r="847" ht="22.5" hidden="1" customHeight="1">
      <c r="A847" s="83"/>
      <c r="B847" s="83"/>
      <c r="C847" s="83"/>
      <c r="D847" s="83"/>
      <c r="E847" s="87"/>
      <c r="F847" s="83"/>
      <c r="G847" s="83"/>
      <c r="H847" s="83"/>
      <c r="I847" s="83"/>
      <c r="J847" s="83"/>
      <c r="K847" s="83"/>
    </row>
    <row r="848" ht="22.5" hidden="1" customHeight="1">
      <c r="A848" s="83"/>
      <c r="B848" s="83"/>
      <c r="C848" s="83"/>
      <c r="D848" s="83"/>
      <c r="E848" s="87"/>
      <c r="F848" s="83"/>
      <c r="G848" s="83"/>
      <c r="H848" s="83"/>
      <c r="I848" s="83"/>
      <c r="J848" s="83"/>
      <c r="K848" s="83"/>
    </row>
    <row r="849" ht="22.5" hidden="1" customHeight="1">
      <c r="A849" s="83"/>
      <c r="B849" s="83"/>
      <c r="C849" s="83"/>
      <c r="D849" s="83"/>
      <c r="E849" s="87"/>
      <c r="F849" s="83"/>
      <c r="G849" s="83"/>
      <c r="H849" s="83"/>
      <c r="I849" s="83"/>
      <c r="J849" s="83"/>
      <c r="K849" s="83"/>
    </row>
    <row r="850" ht="22.5" hidden="1" customHeight="1">
      <c r="A850" s="83"/>
      <c r="B850" s="83"/>
      <c r="C850" s="83"/>
      <c r="D850" s="83"/>
      <c r="E850" s="87"/>
      <c r="F850" s="83"/>
      <c r="G850" s="83"/>
      <c r="H850" s="83"/>
      <c r="I850" s="83"/>
      <c r="J850" s="83"/>
      <c r="K850" s="83"/>
    </row>
    <row r="851" ht="22.5" hidden="1" customHeight="1">
      <c r="A851" s="83"/>
      <c r="B851" s="83"/>
      <c r="C851" s="83"/>
      <c r="D851" s="83"/>
      <c r="E851" s="87"/>
      <c r="F851" s="83"/>
      <c r="G851" s="83"/>
      <c r="H851" s="83"/>
      <c r="I851" s="83"/>
      <c r="J851" s="83"/>
      <c r="K851" s="83"/>
    </row>
    <row r="852" ht="22.5" hidden="1" customHeight="1">
      <c r="A852" s="83"/>
      <c r="B852" s="83"/>
      <c r="C852" s="83"/>
      <c r="D852" s="83"/>
      <c r="E852" s="87"/>
      <c r="F852" s="83"/>
      <c r="G852" s="83"/>
      <c r="H852" s="83"/>
      <c r="I852" s="83"/>
      <c r="J852" s="83"/>
      <c r="K852" s="83"/>
    </row>
    <row r="853" ht="22.5" hidden="1" customHeight="1">
      <c r="A853" s="83"/>
      <c r="B853" s="83"/>
      <c r="C853" s="83"/>
      <c r="D853" s="83"/>
      <c r="E853" s="87"/>
      <c r="F853" s="83"/>
      <c r="G853" s="83"/>
      <c r="H853" s="83"/>
      <c r="I853" s="83"/>
      <c r="J853" s="83"/>
      <c r="K853" s="83"/>
    </row>
    <row r="854" ht="22.5" hidden="1" customHeight="1">
      <c r="A854" s="83"/>
      <c r="B854" s="83"/>
      <c r="C854" s="83"/>
      <c r="D854" s="83"/>
      <c r="E854" s="87"/>
      <c r="F854" s="83"/>
      <c r="G854" s="83"/>
      <c r="H854" s="83"/>
      <c r="I854" s="83"/>
      <c r="J854" s="83"/>
      <c r="K854" s="83"/>
    </row>
    <row r="855" ht="22.5" hidden="1" customHeight="1">
      <c r="A855" s="83"/>
      <c r="B855" s="83"/>
      <c r="C855" s="83"/>
      <c r="D855" s="83"/>
      <c r="E855" s="87"/>
      <c r="F855" s="83"/>
      <c r="G855" s="83"/>
      <c r="H855" s="83"/>
      <c r="I855" s="83"/>
      <c r="J855" s="83"/>
      <c r="K855" s="83"/>
    </row>
    <row r="856" ht="22.5" hidden="1" customHeight="1">
      <c r="A856" s="83"/>
      <c r="B856" s="83"/>
      <c r="C856" s="83"/>
      <c r="D856" s="83"/>
      <c r="E856" s="87"/>
      <c r="F856" s="83"/>
      <c r="G856" s="83"/>
      <c r="H856" s="83"/>
      <c r="I856" s="83"/>
      <c r="J856" s="83"/>
      <c r="K856" s="83"/>
    </row>
    <row r="857" ht="22.5" hidden="1" customHeight="1">
      <c r="A857" s="83"/>
      <c r="B857" s="83"/>
      <c r="C857" s="83"/>
      <c r="D857" s="83"/>
      <c r="E857" s="87"/>
      <c r="F857" s="83"/>
      <c r="G857" s="83"/>
      <c r="H857" s="83"/>
      <c r="I857" s="83"/>
      <c r="J857" s="83"/>
      <c r="K857" s="83"/>
    </row>
    <row r="858" ht="22.5" hidden="1" customHeight="1">
      <c r="A858" s="83"/>
      <c r="B858" s="83"/>
      <c r="C858" s="83"/>
      <c r="D858" s="83"/>
      <c r="E858" s="87"/>
      <c r="F858" s="83"/>
      <c r="G858" s="83"/>
      <c r="H858" s="83"/>
      <c r="I858" s="83"/>
      <c r="J858" s="83"/>
      <c r="K858" s="83"/>
    </row>
    <row r="859" ht="22.5" hidden="1" customHeight="1">
      <c r="A859" s="83"/>
      <c r="B859" s="83"/>
      <c r="C859" s="83"/>
      <c r="D859" s="83"/>
      <c r="E859" s="87"/>
      <c r="F859" s="83"/>
      <c r="G859" s="83"/>
      <c r="H859" s="83"/>
      <c r="I859" s="83"/>
      <c r="J859" s="83"/>
      <c r="K859" s="83"/>
    </row>
    <row r="860" ht="22.5" hidden="1" customHeight="1">
      <c r="A860" s="83"/>
      <c r="B860" s="83"/>
      <c r="C860" s="83"/>
      <c r="D860" s="83"/>
      <c r="E860" s="87"/>
      <c r="F860" s="83"/>
      <c r="G860" s="83"/>
      <c r="H860" s="83"/>
      <c r="I860" s="83"/>
      <c r="J860" s="83"/>
      <c r="K860" s="83"/>
    </row>
    <row r="861" ht="22.5" hidden="1" customHeight="1">
      <c r="A861" s="83"/>
      <c r="B861" s="83"/>
      <c r="C861" s="83"/>
      <c r="D861" s="83"/>
      <c r="E861" s="87"/>
      <c r="F861" s="83"/>
      <c r="G861" s="83"/>
      <c r="H861" s="83"/>
      <c r="I861" s="83"/>
      <c r="J861" s="83"/>
      <c r="K861" s="83"/>
    </row>
    <row r="862" ht="22.5" hidden="1" customHeight="1">
      <c r="A862" s="83"/>
      <c r="B862" s="83"/>
      <c r="C862" s="83"/>
      <c r="D862" s="83"/>
      <c r="E862" s="87"/>
      <c r="F862" s="83"/>
      <c r="G862" s="83"/>
      <c r="H862" s="83"/>
      <c r="I862" s="83"/>
      <c r="J862" s="83"/>
      <c r="K862" s="83"/>
    </row>
    <row r="863" ht="22.5" hidden="1" customHeight="1">
      <c r="A863" s="83"/>
      <c r="B863" s="83"/>
      <c r="C863" s="83"/>
      <c r="D863" s="83"/>
      <c r="E863" s="87"/>
      <c r="F863" s="83"/>
      <c r="G863" s="83"/>
      <c r="H863" s="83"/>
      <c r="I863" s="83"/>
      <c r="J863" s="83"/>
      <c r="K863" s="83"/>
    </row>
    <row r="864" ht="22.5" hidden="1" customHeight="1">
      <c r="A864" s="83"/>
      <c r="B864" s="83"/>
      <c r="C864" s="83"/>
      <c r="D864" s="83"/>
      <c r="E864" s="87"/>
      <c r="F864" s="83"/>
      <c r="G864" s="83"/>
      <c r="H864" s="83"/>
      <c r="I864" s="83"/>
      <c r="J864" s="83"/>
      <c r="K864" s="83"/>
    </row>
    <row r="865" ht="22.5" hidden="1" customHeight="1">
      <c r="A865" s="83"/>
      <c r="B865" s="83"/>
      <c r="C865" s="83"/>
      <c r="D865" s="83"/>
      <c r="E865" s="87"/>
      <c r="F865" s="83"/>
      <c r="G865" s="83"/>
      <c r="H865" s="83"/>
      <c r="I865" s="83"/>
      <c r="J865" s="83"/>
      <c r="K865" s="83"/>
    </row>
    <row r="866" ht="22.5" hidden="1" customHeight="1">
      <c r="A866" s="83"/>
      <c r="B866" s="83"/>
      <c r="C866" s="83"/>
      <c r="D866" s="83"/>
      <c r="E866" s="87"/>
      <c r="F866" s="83"/>
      <c r="G866" s="83"/>
      <c r="H866" s="83"/>
      <c r="I866" s="83"/>
      <c r="J866" s="83"/>
      <c r="K866" s="83"/>
    </row>
    <row r="867" ht="22.5" hidden="1" customHeight="1">
      <c r="A867" s="83"/>
      <c r="B867" s="83"/>
      <c r="C867" s="83"/>
      <c r="D867" s="83"/>
      <c r="E867" s="87"/>
      <c r="F867" s="83"/>
      <c r="G867" s="83"/>
      <c r="H867" s="83"/>
      <c r="I867" s="83"/>
      <c r="J867" s="83"/>
      <c r="K867" s="83"/>
    </row>
    <row r="868" ht="22.5" hidden="1" customHeight="1">
      <c r="A868" s="83"/>
      <c r="B868" s="83"/>
      <c r="C868" s="83"/>
      <c r="D868" s="83"/>
      <c r="E868" s="87"/>
      <c r="F868" s="83"/>
      <c r="G868" s="83"/>
      <c r="H868" s="83"/>
      <c r="I868" s="83"/>
      <c r="J868" s="83"/>
      <c r="K868" s="83"/>
    </row>
    <row r="869" ht="22.5" hidden="1" customHeight="1">
      <c r="A869" s="83"/>
      <c r="B869" s="83"/>
      <c r="C869" s="83"/>
      <c r="D869" s="83"/>
      <c r="E869" s="87"/>
      <c r="F869" s="83"/>
      <c r="G869" s="83"/>
      <c r="H869" s="83"/>
      <c r="I869" s="83"/>
      <c r="J869" s="83"/>
      <c r="K869" s="83"/>
    </row>
    <row r="870" ht="22.5" hidden="1" customHeight="1">
      <c r="A870" s="83"/>
      <c r="B870" s="83"/>
      <c r="C870" s="83"/>
      <c r="D870" s="83"/>
      <c r="E870" s="87"/>
      <c r="F870" s="83"/>
      <c r="G870" s="83"/>
      <c r="H870" s="83"/>
      <c r="I870" s="83"/>
      <c r="J870" s="83"/>
      <c r="K870" s="83"/>
    </row>
    <row r="871" ht="22.5" hidden="1" customHeight="1">
      <c r="A871" s="83"/>
      <c r="B871" s="83"/>
      <c r="C871" s="83"/>
      <c r="D871" s="83"/>
      <c r="E871" s="87"/>
      <c r="F871" s="83"/>
      <c r="G871" s="83"/>
      <c r="H871" s="83"/>
      <c r="I871" s="83"/>
      <c r="J871" s="83"/>
      <c r="K871" s="83"/>
    </row>
    <row r="872" ht="22.5" hidden="1" customHeight="1">
      <c r="A872" s="83"/>
      <c r="B872" s="83"/>
      <c r="C872" s="83"/>
      <c r="D872" s="83"/>
      <c r="E872" s="87"/>
      <c r="F872" s="83"/>
      <c r="G872" s="83"/>
      <c r="H872" s="83"/>
      <c r="I872" s="83"/>
      <c r="J872" s="83"/>
      <c r="K872" s="83"/>
    </row>
    <row r="873" ht="22.5" hidden="1" customHeight="1">
      <c r="A873" s="83"/>
      <c r="B873" s="83"/>
      <c r="C873" s="83"/>
      <c r="D873" s="83"/>
      <c r="E873" s="87"/>
      <c r="F873" s="83"/>
      <c r="G873" s="83"/>
      <c r="H873" s="83"/>
      <c r="I873" s="83"/>
      <c r="J873" s="83"/>
      <c r="K873" s="83"/>
    </row>
    <row r="874" ht="22.5" hidden="1" customHeight="1">
      <c r="A874" s="83"/>
      <c r="B874" s="83"/>
      <c r="C874" s="83"/>
      <c r="D874" s="83"/>
      <c r="E874" s="87"/>
      <c r="F874" s="83"/>
      <c r="G874" s="83"/>
      <c r="H874" s="83"/>
      <c r="I874" s="83"/>
      <c r="J874" s="83"/>
      <c r="K874" s="83"/>
    </row>
    <row r="875" ht="22.5" hidden="1" customHeight="1">
      <c r="A875" s="83"/>
      <c r="B875" s="83"/>
      <c r="C875" s="83"/>
      <c r="D875" s="83"/>
      <c r="E875" s="87"/>
      <c r="F875" s="83"/>
      <c r="G875" s="83"/>
      <c r="H875" s="83"/>
      <c r="I875" s="83"/>
      <c r="J875" s="83"/>
      <c r="K875" s="83"/>
    </row>
    <row r="876" ht="22.5" hidden="1" customHeight="1">
      <c r="A876" s="83"/>
      <c r="B876" s="83"/>
      <c r="C876" s="83"/>
      <c r="D876" s="83"/>
      <c r="E876" s="87"/>
      <c r="F876" s="83"/>
      <c r="G876" s="83"/>
      <c r="H876" s="83"/>
      <c r="I876" s="83"/>
      <c r="J876" s="83"/>
      <c r="K876" s="83"/>
    </row>
    <row r="877" ht="22.5" hidden="1" customHeight="1">
      <c r="A877" s="83"/>
      <c r="B877" s="83"/>
      <c r="C877" s="83"/>
      <c r="D877" s="83"/>
      <c r="E877" s="87"/>
      <c r="F877" s="83"/>
      <c r="G877" s="83"/>
      <c r="H877" s="83"/>
      <c r="I877" s="83"/>
      <c r="J877" s="83"/>
      <c r="K877" s="83"/>
    </row>
    <row r="878" ht="22.5" hidden="1" customHeight="1">
      <c r="A878" s="83"/>
      <c r="B878" s="83"/>
      <c r="C878" s="83"/>
      <c r="D878" s="83"/>
      <c r="E878" s="87"/>
      <c r="F878" s="83"/>
      <c r="G878" s="83"/>
      <c r="H878" s="83"/>
      <c r="I878" s="83"/>
      <c r="J878" s="83"/>
      <c r="K878" s="83"/>
    </row>
    <row r="879" ht="22.5" hidden="1" customHeight="1">
      <c r="A879" s="83"/>
      <c r="B879" s="83"/>
      <c r="C879" s="83"/>
      <c r="D879" s="83"/>
      <c r="E879" s="87"/>
      <c r="F879" s="83"/>
      <c r="G879" s="83"/>
      <c r="H879" s="83"/>
      <c r="I879" s="83"/>
      <c r="J879" s="83"/>
      <c r="K879" s="83"/>
    </row>
    <row r="880" ht="22.5" hidden="1" customHeight="1">
      <c r="A880" s="83"/>
      <c r="B880" s="83"/>
      <c r="C880" s="83"/>
      <c r="D880" s="83"/>
      <c r="E880" s="87"/>
      <c r="F880" s="83"/>
      <c r="G880" s="83"/>
      <c r="H880" s="83"/>
      <c r="I880" s="83"/>
      <c r="J880" s="83"/>
      <c r="K880" s="83"/>
    </row>
    <row r="881" ht="22.5" hidden="1" customHeight="1">
      <c r="A881" s="83"/>
      <c r="B881" s="83"/>
      <c r="C881" s="83"/>
      <c r="D881" s="83"/>
      <c r="E881" s="87"/>
      <c r="F881" s="83"/>
      <c r="G881" s="83"/>
      <c r="H881" s="83"/>
      <c r="I881" s="83"/>
      <c r="J881" s="83"/>
      <c r="K881" s="83"/>
    </row>
    <row r="882" ht="22.5" hidden="1" customHeight="1">
      <c r="A882" s="83"/>
      <c r="B882" s="83"/>
      <c r="C882" s="83"/>
      <c r="D882" s="83"/>
      <c r="E882" s="87"/>
      <c r="F882" s="83"/>
      <c r="G882" s="83"/>
      <c r="H882" s="83"/>
      <c r="I882" s="83"/>
      <c r="J882" s="83"/>
      <c r="K882" s="83"/>
    </row>
    <row r="883" ht="22.5" hidden="1" customHeight="1">
      <c r="A883" s="83"/>
      <c r="B883" s="83"/>
      <c r="C883" s="83"/>
      <c r="D883" s="83"/>
      <c r="E883" s="87"/>
      <c r="F883" s="83"/>
      <c r="G883" s="83"/>
      <c r="H883" s="83"/>
      <c r="I883" s="83"/>
      <c r="J883" s="83"/>
      <c r="K883" s="83"/>
    </row>
    <row r="884" ht="22.5" hidden="1" customHeight="1">
      <c r="A884" s="83"/>
      <c r="B884" s="83"/>
      <c r="C884" s="83"/>
      <c r="D884" s="83"/>
      <c r="E884" s="87"/>
      <c r="F884" s="83"/>
      <c r="G884" s="83"/>
      <c r="H884" s="83"/>
      <c r="I884" s="83"/>
      <c r="J884" s="83"/>
      <c r="K884" s="83"/>
    </row>
    <row r="885" ht="22.5" hidden="1" customHeight="1">
      <c r="A885" s="83"/>
      <c r="B885" s="83"/>
      <c r="C885" s="83"/>
      <c r="D885" s="83"/>
      <c r="E885" s="87"/>
      <c r="F885" s="83"/>
      <c r="G885" s="83"/>
      <c r="H885" s="83"/>
      <c r="I885" s="83"/>
      <c r="J885" s="83"/>
      <c r="K885" s="83"/>
    </row>
    <row r="886" ht="22.5" hidden="1" customHeight="1">
      <c r="A886" s="83"/>
      <c r="B886" s="83"/>
      <c r="C886" s="83"/>
      <c r="D886" s="83"/>
      <c r="E886" s="87"/>
      <c r="F886" s="83"/>
      <c r="G886" s="83"/>
      <c r="H886" s="83"/>
      <c r="I886" s="83"/>
      <c r="J886" s="83"/>
      <c r="K886" s="83"/>
    </row>
    <row r="887" ht="22.5" hidden="1" customHeight="1">
      <c r="A887" s="83"/>
      <c r="B887" s="83"/>
      <c r="C887" s="83"/>
      <c r="D887" s="83"/>
      <c r="E887" s="87"/>
      <c r="F887" s="83"/>
      <c r="G887" s="83"/>
      <c r="H887" s="83"/>
      <c r="I887" s="83"/>
      <c r="J887" s="83"/>
      <c r="K887" s="83"/>
    </row>
    <row r="888" ht="22.5" hidden="1" customHeight="1">
      <c r="A888" s="83"/>
      <c r="B888" s="83"/>
      <c r="C888" s="83"/>
      <c r="D888" s="83"/>
      <c r="E888" s="87"/>
      <c r="F888" s="83"/>
      <c r="G888" s="83"/>
      <c r="H888" s="83"/>
      <c r="I888" s="83"/>
      <c r="J888" s="83"/>
      <c r="K888" s="83"/>
    </row>
    <row r="889" ht="22.5" hidden="1" customHeight="1">
      <c r="A889" s="83"/>
      <c r="B889" s="83"/>
      <c r="C889" s="83"/>
      <c r="D889" s="83"/>
      <c r="E889" s="87"/>
      <c r="F889" s="83"/>
      <c r="G889" s="83"/>
      <c r="H889" s="83"/>
      <c r="I889" s="83"/>
      <c r="J889" s="83"/>
      <c r="K889" s="83"/>
    </row>
    <row r="890" ht="22.5" hidden="1" customHeight="1">
      <c r="A890" s="83"/>
      <c r="B890" s="83"/>
      <c r="C890" s="83"/>
      <c r="D890" s="83"/>
      <c r="E890" s="87"/>
      <c r="F890" s="83"/>
      <c r="G890" s="83"/>
      <c r="H890" s="83"/>
      <c r="I890" s="83"/>
      <c r="J890" s="83"/>
      <c r="K890" s="83"/>
    </row>
    <row r="891" ht="22.5" hidden="1" customHeight="1">
      <c r="A891" s="83"/>
      <c r="B891" s="83"/>
      <c r="C891" s="83"/>
      <c r="D891" s="83"/>
      <c r="E891" s="87"/>
      <c r="F891" s="83"/>
      <c r="G891" s="83"/>
      <c r="H891" s="83"/>
      <c r="I891" s="83"/>
      <c r="J891" s="83"/>
      <c r="K891" s="83"/>
    </row>
    <row r="892" ht="22.5" hidden="1" customHeight="1">
      <c r="A892" s="83"/>
      <c r="B892" s="83"/>
      <c r="C892" s="83"/>
      <c r="D892" s="83"/>
      <c r="E892" s="87"/>
      <c r="F892" s="83"/>
      <c r="G892" s="83"/>
      <c r="H892" s="83"/>
      <c r="I892" s="83"/>
      <c r="J892" s="83"/>
      <c r="K892" s="83"/>
    </row>
    <row r="893" ht="22.5" hidden="1" customHeight="1">
      <c r="A893" s="83"/>
      <c r="B893" s="83"/>
      <c r="C893" s="83"/>
      <c r="D893" s="83"/>
      <c r="E893" s="87"/>
      <c r="F893" s="83"/>
      <c r="G893" s="83"/>
      <c r="H893" s="83"/>
      <c r="I893" s="83"/>
      <c r="J893" s="83"/>
      <c r="K893" s="83"/>
    </row>
    <row r="894" ht="22.5" hidden="1" customHeight="1">
      <c r="A894" s="83"/>
      <c r="B894" s="83"/>
      <c r="C894" s="83"/>
      <c r="D894" s="83"/>
      <c r="E894" s="87"/>
      <c r="F894" s="83"/>
      <c r="G894" s="83"/>
      <c r="H894" s="83"/>
      <c r="I894" s="83"/>
      <c r="J894" s="83"/>
      <c r="K894" s="83"/>
    </row>
    <row r="895" ht="22.5" hidden="1" customHeight="1">
      <c r="A895" s="83"/>
      <c r="B895" s="83"/>
      <c r="C895" s="83"/>
      <c r="D895" s="83"/>
      <c r="E895" s="87"/>
      <c r="F895" s="83"/>
      <c r="G895" s="83"/>
      <c r="H895" s="83"/>
      <c r="I895" s="83"/>
      <c r="J895" s="83"/>
      <c r="K895" s="83"/>
    </row>
    <row r="896" ht="22.5" hidden="1" customHeight="1">
      <c r="A896" s="83"/>
      <c r="B896" s="83"/>
      <c r="C896" s="83"/>
      <c r="D896" s="83"/>
      <c r="E896" s="87"/>
      <c r="F896" s="83"/>
      <c r="G896" s="83"/>
      <c r="H896" s="83"/>
      <c r="I896" s="83"/>
      <c r="J896" s="83"/>
      <c r="K896" s="83"/>
    </row>
    <row r="897" ht="22.5" hidden="1" customHeight="1">
      <c r="A897" s="83"/>
      <c r="B897" s="83"/>
      <c r="C897" s="83"/>
      <c r="D897" s="83"/>
      <c r="E897" s="87"/>
      <c r="F897" s="83"/>
      <c r="G897" s="83"/>
      <c r="H897" s="83"/>
      <c r="I897" s="83"/>
      <c r="J897" s="83"/>
      <c r="K897" s="83"/>
    </row>
    <row r="898" ht="22.5" hidden="1" customHeight="1">
      <c r="A898" s="83"/>
      <c r="B898" s="83"/>
      <c r="C898" s="83"/>
      <c r="D898" s="83"/>
      <c r="E898" s="87"/>
      <c r="F898" s="83"/>
      <c r="G898" s="83"/>
      <c r="H898" s="83"/>
      <c r="I898" s="83"/>
      <c r="J898" s="83"/>
      <c r="K898" s="83"/>
    </row>
    <row r="899" ht="22.5" hidden="1" customHeight="1">
      <c r="A899" s="83"/>
      <c r="B899" s="83"/>
      <c r="C899" s="83"/>
      <c r="D899" s="83"/>
      <c r="E899" s="87"/>
      <c r="F899" s="83"/>
      <c r="G899" s="83"/>
      <c r="H899" s="83"/>
      <c r="I899" s="83"/>
      <c r="J899" s="83"/>
      <c r="K899" s="83"/>
    </row>
    <row r="900" ht="22.5" hidden="1" customHeight="1">
      <c r="A900" s="83"/>
      <c r="B900" s="83"/>
      <c r="C900" s="83"/>
      <c r="D900" s="83"/>
      <c r="E900" s="87"/>
      <c r="F900" s="83"/>
      <c r="G900" s="83"/>
      <c r="H900" s="83"/>
      <c r="I900" s="83"/>
      <c r="J900" s="83"/>
      <c r="K900" s="83"/>
    </row>
    <row r="901" ht="22.5" hidden="1" customHeight="1">
      <c r="A901" s="83"/>
      <c r="B901" s="83"/>
      <c r="C901" s="83"/>
      <c r="D901" s="83"/>
      <c r="E901" s="87"/>
      <c r="F901" s="83"/>
      <c r="G901" s="83"/>
      <c r="H901" s="83"/>
      <c r="I901" s="83"/>
      <c r="J901" s="83"/>
      <c r="K901" s="83"/>
    </row>
    <row r="902" ht="22.5" hidden="1" customHeight="1">
      <c r="A902" s="83"/>
      <c r="B902" s="83"/>
      <c r="C902" s="83"/>
      <c r="D902" s="83"/>
      <c r="E902" s="87"/>
      <c r="F902" s="83"/>
      <c r="G902" s="83"/>
      <c r="H902" s="83"/>
      <c r="I902" s="83"/>
      <c r="J902" s="83"/>
      <c r="K902" s="83"/>
    </row>
    <row r="903" ht="22.5" hidden="1" customHeight="1">
      <c r="A903" s="83"/>
      <c r="B903" s="83"/>
      <c r="C903" s="83"/>
      <c r="D903" s="83"/>
      <c r="E903" s="87"/>
      <c r="F903" s="83"/>
      <c r="G903" s="83"/>
      <c r="H903" s="83"/>
      <c r="I903" s="83"/>
      <c r="J903" s="83"/>
      <c r="K903" s="83"/>
    </row>
    <row r="904" ht="22.5" hidden="1" customHeight="1">
      <c r="A904" s="83"/>
      <c r="B904" s="83"/>
      <c r="C904" s="83"/>
      <c r="D904" s="83"/>
      <c r="E904" s="87"/>
      <c r="F904" s="83"/>
      <c r="G904" s="83"/>
      <c r="H904" s="83"/>
      <c r="I904" s="83"/>
      <c r="J904" s="83"/>
      <c r="K904" s="83"/>
    </row>
    <row r="905" ht="22.5" hidden="1" customHeight="1">
      <c r="A905" s="83"/>
      <c r="B905" s="83"/>
      <c r="C905" s="83"/>
      <c r="D905" s="83"/>
      <c r="E905" s="87"/>
      <c r="F905" s="83"/>
      <c r="G905" s="83"/>
      <c r="H905" s="83"/>
      <c r="I905" s="83"/>
      <c r="J905" s="83"/>
      <c r="K905" s="83"/>
    </row>
    <row r="906" ht="22.5" hidden="1" customHeight="1">
      <c r="A906" s="83"/>
      <c r="B906" s="83"/>
      <c r="C906" s="83"/>
      <c r="D906" s="83"/>
      <c r="E906" s="87"/>
      <c r="F906" s="83"/>
      <c r="G906" s="83"/>
      <c r="H906" s="83"/>
      <c r="I906" s="83"/>
      <c r="J906" s="83"/>
      <c r="K906" s="83"/>
    </row>
    <row r="907" ht="22.5" hidden="1" customHeight="1">
      <c r="A907" s="83"/>
      <c r="B907" s="83"/>
      <c r="C907" s="83"/>
      <c r="D907" s="83"/>
      <c r="E907" s="87"/>
      <c r="F907" s="83"/>
      <c r="G907" s="83"/>
      <c r="H907" s="83"/>
      <c r="I907" s="83"/>
      <c r="J907" s="83"/>
      <c r="K907" s="83"/>
    </row>
    <row r="908" ht="22.5" hidden="1" customHeight="1">
      <c r="A908" s="83"/>
      <c r="B908" s="83"/>
      <c r="C908" s="83"/>
      <c r="D908" s="83"/>
      <c r="E908" s="87"/>
      <c r="F908" s="83"/>
      <c r="G908" s="83"/>
      <c r="H908" s="83"/>
      <c r="I908" s="83"/>
      <c r="J908" s="83"/>
      <c r="K908" s="83"/>
    </row>
    <row r="909" ht="22.5" hidden="1" customHeight="1">
      <c r="A909" s="83"/>
      <c r="B909" s="83"/>
      <c r="C909" s="83"/>
      <c r="D909" s="83"/>
      <c r="E909" s="87"/>
      <c r="F909" s="83"/>
      <c r="G909" s="83"/>
      <c r="H909" s="83"/>
      <c r="I909" s="83"/>
      <c r="J909" s="83"/>
      <c r="K909" s="83"/>
    </row>
    <row r="910" ht="22.5" hidden="1" customHeight="1">
      <c r="A910" s="83"/>
      <c r="B910" s="83"/>
      <c r="C910" s="83"/>
      <c r="D910" s="83"/>
      <c r="E910" s="87"/>
      <c r="F910" s="83"/>
      <c r="G910" s="83"/>
      <c r="H910" s="83"/>
      <c r="I910" s="83"/>
      <c r="J910" s="83"/>
      <c r="K910" s="83"/>
    </row>
    <row r="911" ht="22.5" hidden="1" customHeight="1">
      <c r="A911" s="83"/>
      <c r="B911" s="83"/>
      <c r="C911" s="83"/>
      <c r="D911" s="83"/>
      <c r="E911" s="87"/>
      <c r="F911" s="83"/>
      <c r="G911" s="83"/>
      <c r="H911" s="83"/>
      <c r="I911" s="83"/>
      <c r="J911" s="83"/>
      <c r="K911" s="83"/>
    </row>
    <row r="912" ht="22.5" hidden="1" customHeight="1">
      <c r="A912" s="83"/>
      <c r="B912" s="83"/>
      <c r="C912" s="83"/>
      <c r="D912" s="83"/>
      <c r="E912" s="87"/>
      <c r="F912" s="83"/>
      <c r="G912" s="83"/>
      <c r="H912" s="83"/>
      <c r="I912" s="83"/>
      <c r="J912" s="83"/>
      <c r="K912" s="83"/>
    </row>
    <row r="913" ht="22.5" hidden="1" customHeight="1">
      <c r="A913" s="83"/>
      <c r="B913" s="83"/>
      <c r="C913" s="83"/>
      <c r="D913" s="83"/>
      <c r="E913" s="87"/>
      <c r="F913" s="83"/>
      <c r="G913" s="83"/>
      <c r="H913" s="83"/>
      <c r="I913" s="83"/>
      <c r="J913" s="83"/>
      <c r="K913" s="83"/>
    </row>
    <row r="914" ht="22.5" hidden="1" customHeight="1">
      <c r="A914" s="83"/>
      <c r="B914" s="83"/>
      <c r="C914" s="83"/>
      <c r="D914" s="83"/>
      <c r="E914" s="87"/>
      <c r="F914" s="83"/>
      <c r="G914" s="83"/>
      <c r="H914" s="83"/>
      <c r="I914" s="83"/>
      <c r="J914" s="83"/>
      <c r="K914" s="83"/>
    </row>
    <row r="915" ht="22.5" hidden="1" customHeight="1">
      <c r="A915" s="83"/>
      <c r="B915" s="83"/>
      <c r="C915" s="83"/>
      <c r="D915" s="83"/>
      <c r="E915" s="87"/>
      <c r="F915" s="83"/>
      <c r="G915" s="83"/>
      <c r="H915" s="83"/>
      <c r="I915" s="83"/>
      <c r="J915" s="83"/>
      <c r="K915" s="83"/>
    </row>
    <row r="916" ht="22.5" hidden="1" customHeight="1">
      <c r="A916" s="83"/>
      <c r="B916" s="83"/>
      <c r="C916" s="83"/>
      <c r="D916" s="83"/>
      <c r="E916" s="87"/>
      <c r="F916" s="83"/>
      <c r="G916" s="83"/>
      <c r="H916" s="83"/>
      <c r="I916" s="83"/>
      <c r="J916" s="83"/>
      <c r="K916" s="83"/>
    </row>
    <row r="917" ht="22.5" hidden="1" customHeight="1">
      <c r="A917" s="83"/>
      <c r="B917" s="83"/>
      <c r="C917" s="83"/>
      <c r="D917" s="83"/>
      <c r="E917" s="87"/>
      <c r="F917" s="83"/>
      <c r="G917" s="83"/>
      <c r="H917" s="83"/>
      <c r="I917" s="83"/>
      <c r="J917" s="83"/>
      <c r="K917" s="83"/>
    </row>
    <row r="918" ht="22.5" hidden="1" customHeight="1">
      <c r="A918" s="83"/>
      <c r="B918" s="83"/>
      <c r="C918" s="83"/>
      <c r="D918" s="83"/>
      <c r="E918" s="87"/>
      <c r="F918" s="83"/>
      <c r="G918" s="83"/>
      <c r="H918" s="83"/>
      <c r="I918" s="83"/>
      <c r="J918" s="83"/>
      <c r="K918" s="83"/>
    </row>
    <row r="919" ht="22.5" hidden="1" customHeight="1">
      <c r="A919" s="83"/>
      <c r="B919" s="83"/>
      <c r="C919" s="83"/>
      <c r="D919" s="83"/>
      <c r="E919" s="87"/>
      <c r="F919" s="83"/>
      <c r="G919" s="83"/>
      <c r="H919" s="83"/>
      <c r="I919" s="83"/>
      <c r="J919" s="83"/>
      <c r="K919" s="83"/>
    </row>
    <row r="920" ht="22.5" hidden="1" customHeight="1">
      <c r="A920" s="83"/>
      <c r="B920" s="83"/>
      <c r="C920" s="83"/>
      <c r="D920" s="83"/>
      <c r="E920" s="87"/>
      <c r="F920" s="83"/>
      <c r="G920" s="83"/>
      <c r="H920" s="83"/>
      <c r="I920" s="83"/>
      <c r="J920" s="83"/>
      <c r="K920" s="83"/>
    </row>
    <row r="921" ht="22.5" hidden="1" customHeight="1">
      <c r="A921" s="83"/>
      <c r="B921" s="83"/>
      <c r="C921" s="83"/>
      <c r="D921" s="83"/>
      <c r="E921" s="87"/>
      <c r="F921" s="83"/>
      <c r="G921" s="83"/>
      <c r="H921" s="83"/>
      <c r="I921" s="83"/>
      <c r="J921" s="83"/>
      <c r="K921" s="83"/>
    </row>
    <row r="922" ht="22.5" hidden="1" customHeight="1">
      <c r="A922" s="83"/>
      <c r="B922" s="83"/>
      <c r="C922" s="83"/>
      <c r="D922" s="83"/>
      <c r="E922" s="87"/>
      <c r="F922" s="83"/>
      <c r="G922" s="83"/>
      <c r="H922" s="83"/>
      <c r="I922" s="83"/>
      <c r="J922" s="83"/>
      <c r="K922" s="83"/>
    </row>
    <row r="923" ht="22.5" hidden="1" customHeight="1">
      <c r="A923" s="83"/>
      <c r="B923" s="83"/>
      <c r="C923" s="83"/>
      <c r="D923" s="83"/>
      <c r="E923" s="87"/>
      <c r="F923" s="83"/>
      <c r="G923" s="83"/>
      <c r="H923" s="83"/>
      <c r="I923" s="83"/>
      <c r="J923" s="83"/>
      <c r="K923" s="83"/>
    </row>
    <row r="924" ht="22.5" hidden="1" customHeight="1">
      <c r="A924" s="83"/>
      <c r="B924" s="83"/>
      <c r="C924" s="83"/>
      <c r="D924" s="83"/>
      <c r="E924" s="87"/>
      <c r="F924" s="83"/>
      <c r="G924" s="83"/>
      <c r="H924" s="83"/>
      <c r="I924" s="83"/>
      <c r="J924" s="83"/>
      <c r="K924" s="83"/>
    </row>
    <row r="925" ht="22.5" hidden="1" customHeight="1">
      <c r="A925" s="83"/>
      <c r="B925" s="83"/>
      <c r="C925" s="83"/>
      <c r="D925" s="83"/>
      <c r="E925" s="87"/>
      <c r="F925" s="83"/>
      <c r="G925" s="83"/>
      <c r="H925" s="83"/>
      <c r="I925" s="83"/>
      <c r="J925" s="83"/>
      <c r="K925" s="83"/>
    </row>
    <row r="926" ht="22.5" hidden="1" customHeight="1">
      <c r="A926" s="83"/>
      <c r="B926" s="83"/>
      <c r="C926" s="83"/>
      <c r="D926" s="83"/>
      <c r="E926" s="87"/>
      <c r="F926" s="83"/>
      <c r="G926" s="83"/>
      <c r="H926" s="83"/>
      <c r="I926" s="83"/>
      <c r="J926" s="83"/>
      <c r="K926" s="83"/>
    </row>
    <row r="927" ht="22.5" hidden="1" customHeight="1">
      <c r="A927" s="83"/>
      <c r="B927" s="83"/>
      <c r="C927" s="83"/>
      <c r="D927" s="83"/>
      <c r="E927" s="87"/>
      <c r="F927" s="83"/>
      <c r="G927" s="83"/>
      <c r="H927" s="83"/>
      <c r="I927" s="83"/>
      <c r="J927" s="83"/>
      <c r="K927" s="83"/>
    </row>
    <row r="928" ht="22.5" hidden="1" customHeight="1">
      <c r="A928" s="83"/>
      <c r="B928" s="83"/>
      <c r="C928" s="83"/>
      <c r="D928" s="83"/>
      <c r="E928" s="87"/>
      <c r="F928" s="83"/>
      <c r="G928" s="83"/>
      <c r="H928" s="83"/>
      <c r="I928" s="83"/>
      <c r="J928" s="83"/>
      <c r="K928" s="83"/>
    </row>
    <row r="929" ht="22.5" hidden="1" customHeight="1">
      <c r="A929" s="83"/>
      <c r="B929" s="83"/>
      <c r="C929" s="83"/>
      <c r="D929" s="83"/>
      <c r="E929" s="87"/>
      <c r="F929" s="83"/>
      <c r="G929" s="83"/>
      <c r="H929" s="83"/>
      <c r="I929" s="83"/>
      <c r="J929" s="83"/>
      <c r="K929" s="83"/>
    </row>
    <row r="930" ht="22.5" hidden="1" customHeight="1">
      <c r="A930" s="83"/>
      <c r="B930" s="83"/>
      <c r="C930" s="83"/>
      <c r="D930" s="83"/>
      <c r="E930" s="87"/>
      <c r="F930" s="83"/>
      <c r="G930" s="83"/>
      <c r="H930" s="83"/>
      <c r="I930" s="83"/>
      <c r="J930" s="83"/>
      <c r="K930" s="83"/>
    </row>
    <row r="931" ht="22.5" hidden="1" customHeight="1">
      <c r="A931" s="83"/>
      <c r="B931" s="83"/>
      <c r="C931" s="83"/>
      <c r="D931" s="83"/>
      <c r="E931" s="87"/>
      <c r="F931" s="83"/>
      <c r="G931" s="83"/>
      <c r="H931" s="83"/>
      <c r="I931" s="83"/>
      <c r="J931" s="83"/>
      <c r="K931" s="83"/>
    </row>
    <row r="932" ht="22.5" hidden="1" customHeight="1">
      <c r="A932" s="83"/>
      <c r="B932" s="83"/>
      <c r="C932" s="83"/>
      <c r="D932" s="83"/>
      <c r="E932" s="87"/>
      <c r="F932" s="83"/>
      <c r="G932" s="83"/>
      <c r="H932" s="83"/>
      <c r="I932" s="83"/>
      <c r="J932" s="83"/>
      <c r="K932" s="83"/>
    </row>
    <row r="933" ht="22.5" hidden="1" customHeight="1">
      <c r="A933" s="83"/>
      <c r="B933" s="83"/>
      <c r="C933" s="83"/>
      <c r="D933" s="83"/>
      <c r="E933" s="87"/>
      <c r="F933" s="83"/>
      <c r="G933" s="83"/>
      <c r="H933" s="83"/>
      <c r="I933" s="83"/>
      <c r="J933" s="83"/>
      <c r="K933" s="83"/>
    </row>
    <row r="934" ht="22.5" hidden="1" customHeight="1">
      <c r="A934" s="83"/>
      <c r="B934" s="83"/>
      <c r="C934" s="83"/>
      <c r="D934" s="83"/>
      <c r="E934" s="87"/>
      <c r="F934" s="83"/>
      <c r="G934" s="83"/>
      <c r="H934" s="83"/>
      <c r="I934" s="83"/>
      <c r="J934" s="83"/>
      <c r="K934" s="83"/>
    </row>
    <row r="935" ht="22.5" hidden="1" customHeight="1">
      <c r="A935" s="83"/>
      <c r="B935" s="83"/>
      <c r="C935" s="83"/>
      <c r="D935" s="83"/>
      <c r="E935" s="87"/>
      <c r="F935" s="83"/>
      <c r="G935" s="83"/>
      <c r="H935" s="83"/>
      <c r="I935" s="83"/>
      <c r="J935" s="83"/>
      <c r="K935" s="83"/>
    </row>
    <row r="936" ht="22.5" hidden="1" customHeight="1">
      <c r="A936" s="83"/>
      <c r="B936" s="83"/>
      <c r="C936" s="83"/>
      <c r="D936" s="83"/>
      <c r="E936" s="87"/>
      <c r="F936" s="83"/>
      <c r="G936" s="83"/>
      <c r="H936" s="83"/>
      <c r="I936" s="83"/>
      <c r="J936" s="83"/>
      <c r="K936" s="83"/>
    </row>
    <row r="937" ht="22.5" hidden="1" customHeight="1">
      <c r="A937" s="83"/>
      <c r="B937" s="83"/>
      <c r="C937" s="83"/>
      <c r="D937" s="83"/>
      <c r="E937" s="87"/>
      <c r="F937" s="83"/>
      <c r="G937" s="83"/>
      <c r="H937" s="83"/>
      <c r="I937" s="83"/>
      <c r="J937" s="83"/>
      <c r="K937" s="83"/>
    </row>
    <row r="938" ht="22.5" hidden="1" customHeight="1">
      <c r="A938" s="83"/>
      <c r="B938" s="83"/>
      <c r="C938" s="83"/>
      <c r="D938" s="83"/>
      <c r="E938" s="87"/>
      <c r="F938" s="83"/>
      <c r="G938" s="83"/>
      <c r="H938" s="83"/>
      <c r="I938" s="83"/>
      <c r="J938" s="83"/>
      <c r="K938" s="83"/>
    </row>
    <row r="939" ht="22.5" hidden="1" customHeight="1">
      <c r="A939" s="83"/>
      <c r="B939" s="83"/>
      <c r="C939" s="83"/>
      <c r="D939" s="83"/>
      <c r="E939" s="87"/>
      <c r="F939" s="83"/>
      <c r="G939" s="83"/>
      <c r="H939" s="83"/>
      <c r="I939" s="83"/>
      <c r="J939" s="83"/>
      <c r="K939" s="83"/>
    </row>
    <row r="940" ht="22.5" hidden="1" customHeight="1">
      <c r="A940" s="83"/>
      <c r="B940" s="83"/>
      <c r="C940" s="83"/>
      <c r="D940" s="83"/>
      <c r="E940" s="87"/>
      <c r="F940" s="83"/>
      <c r="G940" s="83"/>
      <c r="H940" s="83"/>
      <c r="I940" s="83"/>
      <c r="J940" s="83"/>
      <c r="K940" s="83"/>
    </row>
    <row r="941" ht="22.5" hidden="1" customHeight="1">
      <c r="A941" s="83"/>
      <c r="B941" s="83"/>
      <c r="C941" s="83"/>
      <c r="D941" s="83"/>
      <c r="E941" s="87"/>
      <c r="F941" s="83"/>
      <c r="G941" s="83"/>
      <c r="H941" s="83"/>
      <c r="I941" s="83"/>
      <c r="J941" s="83"/>
      <c r="K941" s="83"/>
    </row>
    <row r="942" ht="22.5" hidden="1" customHeight="1">
      <c r="A942" s="83"/>
      <c r="B942" s="83"/>
      <c r="C942" s="83"/>
      <c r="D942" s="83"/>
      <c r="E942" s="87"/>
      <c r="F942" s="83"/>
      <c r="G942" s="83"/>
      <c r="H942" s="83"/>
      <c r="I942" s="83"/>
      <c r="J942" s="83"/>
      <c r="K942" s="83"/>
    </row>
    <row r="943" ht="22.5" hidden="1" customHeight="1">
      <c r="A943" s="83"/>
      <c r="B943" s="83"/>
      <c r="C943" s="83"/>
      <c r="D943" s="83"/>
      <c r="E943" s="87"/>
      <c r="F943" s="83"/>
      <c r="G943" s="83"/>
      <c r="H943" s="83"/>
      <c r="I943" s="83"/>
      <c r="J943" s="83"/>
      <c r="K943" s="83"/>
    </row>
    <row r="944" ht="22.5" hidden="1" customHeight="1">
      <c r="A944" s="83"/>
      <c r="B944" s="83"/>
      <c r="C944" s="83"/>
      <c r="D944" s="83"/>
      <c r="E944" s="87"/>
      <c r="F944" s="83"/>
      <c r="G944" s="83"/>
      <c r="H944" s="83"/>
      <c r="I944" s="83"/>
      <c r="J944" s="83"/>
      <c r="K944" s="83"/>
    </row>
    <row r="945" ht="22.5" hidden="1" customHeight="1">
      <c r="A945" s="83"/>
      <c r="B945" s="83"/>
      <c r="C945" s="83"/>
      <c r="D945" s="83"/>
      <c r="E945" s="87"/>
      <c r="F945" s="83"/>
      <c r="G945" s="83"/>
      <c r="H945" s="83"/>
      <c r="I945" s="83"/>
      <c r="J945" s="83"/>
      <c r="K945" s="83"/>
    </row>
    <row r="946" ht="22.5" hidden="1" customHeight="1">
      <c r="A946" s="83"/>
      <c r="B946" s="83"/>
      <c r="C946" s="83"/>
      <c r="D946" s="83"/>
      <c r="E946" s="87"/>
      <c r="F946" s="83"/>
      <c r="G946" s="83"/>
      <c r="H946" s="83"/>
      <c r="I946" s="83"/>
      <c r="J946" s="83"/>
      <c r="K946" s="83"/>
    </row>
    <row r="947" ht="22.5" hidden="1" customHeight="1">
      <c r="A947" s="83"/>
      <c r="B947" s="83"/>
      <c r="C947" s="83"/>
      <c r="D947" s="83"/>
      <c r="E947" s="87"/>
      <c r="F947" s="83"/>
      <c r="G947" s="83"/>
      <c r="H947" s="83"/>
      <c r="I947" s="83"/>
      <c r="J947" s="83"/>
      <c r="K947" s="83"/>
    </row>
    <row r="948" ht="22.5" hidden="1" customHeight="1">
      <c r="A948" s="83"/>
      <c r="B948" s="83"/>
      <c r="C948" s="83"/>
      <c r="D948" s="83"/>
      <c r="E948" s="87"/>
      <c r="F948" s="83"/>
      <c r="G948" s="83"/>
      <c r="H948" s="83"/>
      <c r="I948" s="83"/>
      <c r="J948" s="83"/>
      <c r="K948" s="83"/>
    </row>
    <row r="949" ht="22.5" hidden="1" customHeight="1">
      <c r="A949" s="83"/>
      <c r="B949" s="83"/>
      <c r="C949" s="83"/>
      <c r="D949" s="83"/>
      <c r="E949" s="87"/>
      <c r="F949" s="83"/>
      <c r="G949" s="83"/>
      <c r="H949" s="83"/>
      <c r="I949" s="83"/>
      <c r="J949" s="83"/>
      <c r="K949" s="83"/>
    </row>
    <row r="950" ht="22.5" hidden="1" customHeight="1">
      <c r="A950" s="83"/>
      <c r="B950" s="83"/>
      <c r="C950" s="83"/>
      <c r="D950" s="83"/>
      <c r="E950" s="87"/>
      <c r="F950" s="83"/>
      <c r="G950" s="83"/>
      <c r="H950" s="83"/>
      <c r="I950" s="83"/>
      <c r="J950" s="83"/>
      <c r="K950" s="83"/>
    </row>
    <row r="951" ht="22.5" hidden="1" customHeight="1">
      <c r="A951" s="83"/>
      <c r="B951" s="83"/>
      <c r="C951" s="83"/>
      <c r="D951" s="83"/>
      <c r="E951" s="87"/>
      <c r="F951" s="83"/>
      <c r="G951" s="83"/>
      <c r="H951" s="83"/>
      <c r="I951" s="83"/>
      <c r="J951" s="83"/>
      <c r="K951" s="83"/>
    </row>
    <row r="952" ht="22.5" hidden="1" customHeight="1">
      <c r="A952" s="83"/>
      <c r="B952" s="83"/>
      <c r="C952" s="83"/>
      <c r="D952" s="83"/>
      <c r="E952" s="87"/>
      <c r="F952" s="83"/>
      <c r="G952" s="83"/>
      <c r="H952" s="83"/>
      <c r="I952" s="83"/>
      <c r="J952" s="83"/>
      <c r="K952" s="83"/>
    </row>
    <row r="953" ht="22.5" hidden="1" customHeight="1">
      <c r="A953" s="83"/>
      <c r="B953" s="83"/>
      <c r="C953" s="83"/>
      <c r="D953" s="83"/>
      <c r="E953" s="87"/>
      <c r="F953" s="83"/>
      <c r="G953" s="83"/>
      <c r="H953" s="83"/>
      <c r="I953" s="83"/>
      <c r="J953" s="83"/>
      <c r="K953" s="83"/>
    </row>
    <row r="954" ht="22.5" hidden="1" customHeight="1">
      <c r="A954" s="83"/>
      <c r="B954" s="83"/>
      <c r="C954" s="83"/>
      <c r="D954" s="83"/>
      <c r="E954" s="87"/>
      <c r="F954" s="83"/>
      <c r="G954" s="83"/>
      <c r="H954" s="83"/>
      <c r="I954" s="83"/>
      <c r="J954" s="83"/>
      <c r="K954" s="83"/>
    </row>
    <row r="955" ht="22.5" hidden="1" customHeight="1">
      <c r="A955" s="83"/>
      <c r="B955" s="83"/>
      <c r="C955" s="83"/>
      <c r="D955" s="83"/>
      <c r="E955" s="87"/>
      <c r="F955" s="83"/>
      <c r="G955" s="83"/>
      <c r="H955" s="83"/>
      <c r="I955" s="83"/>
      <c r="J955" s="83"/>
      <c r="K955" s="83"/>
    </row>
    <row r="956" ht="22.5" hidden="1" customHeight="1">
      <c r="A956" s="83"/>
      <c r="B956" s="83"/>
      <c r="C956" s="83"/>
      <c r="D956" s="83"/>
      <c r="E956" s="87"/>
      <c r="F956" s="83"/>
      <c r="G956" s="83"/>
      <c r="H956" s="83"/>
      <c r="I956" s="83"/>
      <c r="J956" s="83"/>
      <c r="K956" s="83"/>
    </row>
    <row r="957" ht="22.5" hidden="1" customHeight="1">
      <c r="A957" s="83"/>
      <c r="B957" s="83"/>
      <c r="C957" s="83"/>
      <c r="D957" s="83"/>
      <c r="E957" s="87"/>
      <c r="F957" s="83"/>
      <c r="G957" s="83"/>
      <c r="H957" s="83"/>
      <c r="I957" s="83"/>
      <c r="J957" s="83"/>
      <c r="K957" s="83"/>
    </row>
    <row r="958" ht="22.5" hidden="1" customHeight="1">
      <c r="A958" s="83"/>
      <c r="B958" s="83"/>
      <c r="C958" s="83"/>
      <c r="D958" s="83"/>
      <c r="E958" s="87"/>
      <c r="F958" s="83"/>
      <c r="G958" s="83"/>
      <c r="H958" s="83"/>
      <c r="I958" s="83"/>
      <c r="J958" s="83"/>
      <c r="K958" s="83"/>
    </row>
    <row r="959" ht="22.5" hidden="1" customHeight="1">
      <c r="A959" s="83"/>
      <c r="B959" s="83"/>
      <c r="C959" s="83"/>
      <c r="D959" s="83"/>
      <c r="E959" s="87"/>
      <c r="F959" s="83"/>
      <c r="G959" s="83"/>
      <c r="H959" s="83"/>
      <c r="I959" s="83"/>
      <c r="J959" s="83"/>
      <c r="K959" s="83"/>
    </row>
    <row r="960" ht="22.5" hidden="1" customHeight="1">
      <c r="A960" s="83"/>
      <c r="B960" s="83"/>
      <c r="C960" s="83"/>
      <c r="D960" s="83"/>
      <c r="E960" s="87"/>
      <c r="F960" s="83"/>
      <c r="G960" s="83"/>
      <c r="H960" s="83"/>
      <c r="I960" s="83"/>
      <c r="J960" s="83"/>
      <c r="K960" s="83"/>
    </row>
    <row r="961" ht="22.5" hidden="1" customHeight="1">
      <c r="A961" s="83"/>
      <c r="B961" s="83"/>
      <c r="C961" s="83"/>
      <c r="D961" s="83"/>
      <c r="E961" s="87"/>
      <c r="F961" s="83"/>
      <c r="G961" s="83"/>
      <c r="H961" s="83"/>
      <c r="I961" s="83"/>
      <c r="J961" s="83"/>
      <c r="K961" s="83"/>
    </row>
    <row r="962" ht="22.5" hidden="1" customHeight="1">
      <c r="A962" s="83"/>
      <c r="B962" s="83"/>
      <c r="C962" s="83"/>
      <c r="D962" s="83"/>
      <c r="E962" s="87"/>
      <c r="F962" s="83"/>
      <c r="G962" s="83"/>
      <c r="H962" s="83"/>
      <c r="I962" s="83"/>
      <c r="J962" s="83"/>
      <c r="K962" s="83"/>
    </row>
    <row r="963" ht="22.5" hidden="1" customHeight="1">
      <c r="A963" s="83"/>
      <c r="B963" s="83"/>
      <c r="C963" s="83"/>
      <c r="D963" s="83"/>
      <c r="E963" s="87"/>
      <c r="F963" s="83"/>
      <c r="G963" s="83"/>
      <c r="H963" s="83"/>
      <c r="I963" s="83"/>
      <c r="J963" s="83"/>
      <c r="K963" s="83"/>
    </row>
    <row r="964" ht="22.5" hidden="1" customHeight="1">
      <c r="A964" s="83"/>
      <c r="B964" s="83"/>
      <c r="C964" s="83"/>
      <c r="D964" s="83"/>
      <c r="E964" s="87"/>
      <c r="F964" s="83"/>
      <c r="G964" s="83"/>
      <c r="H964" s="83"/>
      <c r="I964" s="83"/>
      <c r="J964" s="83"/>
      <c r="K964" s="83"/>
    </row>
    <row r="965" ht="22.5" hidden="1" customHeight="1">
      <c r="A965" s="83"/>
      <c r="B965" s="83"/>
      <c r="C965" s="83"/>
      <c r="D965" s="83"/>
      <c r="E965" s="87"/>
      <c r="F965" s="83"/>
      <c r="G965" s="83"/>
      <c r="H965" s="83"/>
      <c r="I965" s="83"/>
      <c r="J965" s="83"/>
      <c r="K965" s="83"/>
    </row>
    <row r="966" ht="22.5" hidden="1" customHeight="1">
      <c r="A966" s="83"/>
      <c r="B966" s="83"/>
      <c r="C966" s="83"/>
      <c r="D966" s="83"/>
      <c r="E966" s="87"/>
      <c r="F966" s="83"/>
      <c r="G966" s="83"/>
      <c r="H966" s="83"/>
      <c r="I966" s="83"/>
      <c r="J966" s="83"/>
      <c r="K966" s="83"/>
    </row>
    <row r="967" ht="22.5" hidden="1" customHeight="1">
      <c r="A967" s="83"/>
      <c r="B967" s="83"/>
      <c r="C967" s="83"/>
      <c r="D967" s="83"/>
      <c r="E967" s="87"/>
      <c r="F967" s="83"/>
      <c r="G967" s="83"/>
      <c r="H967" s="83"/>
      <c r="I967" s="83"/>
      <c r="J967" s="83"/>
      <c r="K967" s="83"/>
    </row>
    <row r="968" ht="22.5" hidden="1" customHeight="1">
      <c r="A968" s="83"/>
      <c r="B968" s="83"/>
      <c r="C968" s="83"/>
      <c r="D968" s="83"/>
      <c r="E968" s="87"/>
      <c r="F968" s="83"/>
      <c r="G968" s="83"/>
      <c r="H968" s="83"/>
      <c r="I968" s="83"/>
      <c r="J968" s="83"/>
      <c r="K968" s="83"/>
    </row>
    <row r="969" ht="22.5" hidden="1" customHeight="1">
      <c r="A969" s="83"/>
      <c r="B969" s="83"/>
      <c r="C969" s="83"/>
      <c r="D969" s="83"/>
      <c r="E969" s="87"/>
      <c r="F969" s="83"/>
      <c r="G969" s="83"/>
      <c r="H969" s="83"/>
      <c r="I969" s="83"/>
      <c r="J969" s="83"/>
      <c r="K969" s="83"/>
    </row>
    <row r="970" ht="22.5" hidden="1" customHeight="1">
      <c r="A970" s="83"/>
      <c r="B970" s="83"/>
      <c r="C970" s="83"/>
      <c r="D970" s="83"/>
      <c r="E970" s="87"/>
      <c r="F970" s="83"/>
      <c r="G970" s="83"/>
      <c r="H970" s="83"/>
      <c r="I970" s="83"/>
      <c r="J970" s="83"/>
      <c r="K970" s="83"/>
    </row>
    <row r="971" ht="22.5" hidden="1" customHeight="1">
      <c r="A971" s="83"/>
      <c r="B971" s="83"/>
      <c r="C971" s="83"/>
      <c r="D971" s="83"/>
      <c r="E971" s="87"/>
      <c r="F971" s="83"/>
      <c r="G971" s="83"/>
      <c r="H971" s="83"/>
      <c r="I971" s="83"/>
      <c r="J971" s="83"/>
      <c r="K971" s="83"/>
    </row>
    <row r="972" ht="22.5" hidden="1" customHeight="1">
      <c r="A972" s="83"/>
      <c r="B972" s="83"/>
      <c r="C972" s="83"/>
      <c r="D972" s="83"/>
      <c r="E972" s="87"/>
      <c r="F972" s="83"/>
      <c r="G972" s="83"/>
      <c r="H972" s="83"/>
      <c r="I972" s="83"/>
      <c r="J972" s="83"/>
      <c r="K972" s="83"/>
    </row>
    <row r="973" ht="22.5" hidden="1" customHeight="1">
      <c r="A973" s="83"/>
      <c r="B973" s="83"/>
      <c r="C973" s="83"/>
      <c r="D973" s="83"/>
      <c r="E973" s="87"/>
      <c r="F973" s="83"/>
      <c r="G973" s="83"/>
      <c r="H973" s="83"/>
      <c r="I973" s="83"/>
      <c r="J973" s="83"/>
      <c r="K973" s="83"/>
    </row>
    <row r="974" ht="22.5" hidden="1" customHeight="1">
      <c r="A974" s="83"/>
      <c r="B974" s="83"/>
      <c r="C974" s="83"/>
      <c r="D974" s="83"/>
      <c r="E974" s="87"/>
      <c r="F974" s="83"/>
      <c r="G974" s="83"/>
      <c r="H974" s="83"/>
      <c r="I974" s="83"/>
      <c r="J974" s="83"/>
      <c r="K974" s="83"/>
    </row>
    <row r="975" ht="22.5" hidden="1" customHeight="1">
      <c r="A975" s="83"/>
      <c r="B975" s="83"/>
      <c r="C975" s="83"/>
      <c r="D975" s="83"/>
      <c r="E975" s="87"/>
      <c r="F975" s="83"/>
      <c r="G975" s="83"/>
      <c r="H975" s="83"/>
      <c r="I975" s="83"/>
      <c r="J975" s="83"/>
      <c r="K975" s="83"/>
    </row>
    <row r="976" ht="22.5" hidden="1" customHeight="1">
      <c r="A976" s="83"/>
      <c r="B976" s="83"/>
      <c r="C976" s="83"/>
      <c r="D976" s="83"/>
      <c r="E976" s="87"/>
      <c r="F976" s="83"/>
      <c r="G976" s="83"/>
      <c r="H976" s="83"/>
      <c r="I976" s="83"/>
      <c r="J976" s="83"/>
      <c r="K976" s="83"/>
    </row>
    <row r="977" ht="22.5" hidden="1" customHeight="1">
      <c r="A977" s="83"/>
      <c r="B977" s="83"/>
      <c r="C977" s="83"/>
      <c r="D977" s="83"/>
      <c r="E977" s="87"/>
      <c r="F977" s="83"/>
      <c r="G977" s="83"/>
      <c r="H977" s="83"/>
      <c r="I977" s="83"/>
      <c r="J977" s="83"/>
      <c r="K977" s="83"/>
    </row>
    <row r="978" ht="22.5" hidden="1" customHeight="1">
      <c r="A978" s="83"/>
      <c r="B978" s="83"/>
      <c r="C978" s="83"/>
      <c r="D978" s="83"/>
      <c r="E978" s="87"/>
      <c r="F978" s="83"/>
      <c r="G978" s="83"/>
      <c r="H978" s="83"/>
      <c r="I978" s="83"/>
      <c r="J978" s="83"/>
      <c r="K978" s="83"/>
    </row>
    <row r="979" ht="22.5" hidden="1" customHeight="1">
      <c r="A979" s="83"/>
      <c r="B979" s="83"/>
      <c r="C979" s="83"/>
      <c r="D979" s="83"/>
      <c r="E979" s="87"/>
      <c r="F979" s="83"/>
      <c r="G979" s="83"/>
      <c r="H979" s="83"/>
      <c r="I979" s="83"/>
      <c r="J979" s="83"/>
      <c r="K979" s="83"/>
    </row>
    <row r="980" ht="22.5" hidden="1" customHeight="1">
      <c r="A980" s="83"/>
      <c r="B980" s="83"/>
      <c r="C980" s="83"/>
      <c r="D980" s="83"/>
      <c r="E980" s="87"/>
      <c r="F980" s="83"/>
      <c r="G980" s="83"/>
      <c r="H980" s="83"/>
      <c r="I980" s="83"/>
      <c r="J980" s="83"/>
      <c r="K980" s="83"/>
    </row>
    <row r="981" ht="22.5" hidden="1" customHeight="1">
      <c r="A981" s="83"/>
      <c r="B981" s="83"/>
      <c r="C981" s="83"/>
      <c r="D981" s="83"/>
      <c r="E981" s="87"/>
      <c r="F981" s="83"/>
      <c r="G981" s="83"/>
      <c r="H981" s="83"/>
      <c r="I981" s="83"/>
      <c r="J981" s="83"/>
      <c r="K981" s="83"/>
    </row>
    <row r="982" ht="22.5" hidden="1" customHeight="1">
      <c r="A982" s="83"/>
      <c r="B982" s="83"/>
      <c r="C982" s="83"/>
      <c r="D982" s="83"/>
      <c r="E982" s="87"/>
      <c r="F982" s="83"/>
      <c r="G982" s="83"/>
      <c r="H982" s="83"/>
      <c r="I982" s="83"/>
      <c r="J982" s="83"/>
      <c r="K982" s="83"/>
    </row>
    <row r="983" ht="22.5" hidden="1" customHeight="1">
      <c r="A983" s="83"/>
      <c r="B983" s="83"/>
      <c r="C983" s="83"/>
      <c r="D983" s="83"/>
      <c r="E983" s="87"/>
      <c r="F983" s="83"/>
      <c r="G983" s="83"/>
      <c r="H983" s="83"/>
      <c r="I983" s="83"/>
      <c r="J983" s="83"/>
      <c r="K983" s="83"/>
    </row>
    <row r="984" ht="22.5" hidden="1" customHeight="1">
      <c r="A984" s="83"/>
      <c r="B984" s="83"/>
      <c r="C984" s="83"/>
      <c r="D984" s="83"/>
      <c r="E984" s="87"/>
      <c r="F984" s="83"/>
      <c r="G984" s="83"/>
      <c r="H984" s="83"/>
      <c r="I984" s="83"/>
      <c r="J984" s="83"/>
      <c r="K984" s="83"/>
    </row>
    <row r="985" ht="22.5" hidden="1" customHeight="1">
      <c r="A985" s="83"/>
      <c r="B985" s="83"/>
      <c r="C985" s="83"/>
      <c r="D985" s="83"/>
      <c r="E985" s="87"/>
      <c r="F985" s="83"/>
      <c r="G985" s="83"/>
      <c r="H985" s="83"/>
      <c r="I985" s="83"/>
      <c r="J985" s="83"/>
      <c r="K985" s="83"/>
    </row>
    <row r="986" ht="22.5" hidden="1" customHeight="1">
      <c r="A986" s="83"/>
      <c r="B986" s="83"/>
      <c r="C986" s="83"/>
      <c r="D986" s="83"/>
      <c r="E986" s="87"/>
      <c r="F986" s="83"/>
      <c r="G986" s="83"/>
      <c r="H986" s="83"/>
      <c r="I986" s="83"/>
      <c r="J986" s="83"/>
      <c r="K986" s="83"/>
    </row>
    <row r="987" ht="22.5" hidden="1" customHeight="1">
      <c r="A987" s="83"/>
      <c r="B987" s="83"/>
      <c r="C987" s="83"/>
      <c r="D987" s="83"/>
      <c r="E987" s="87"/>
      <c r="F987" s="83"/>
      <c r="G987" s="83"/>
      <c r="H987" s="83"/>
      <c r="I987" s="83"/>
      <c r="J987" s="83"/>
      <c r="K987" s="83"/>
    </row>
    <row r="988" ht="22.5" hidden="1" customHeight="1">
      <c r="A988" s="83"/>
      <c r="B988" s="83"/>
      <c r="C988" s="83"/>
      <c r="D988" s="83"/>
      <c r="E988" s="87"/>
      <c r="F988" s="83"/>
      <c r="G988" s="83"/>
      <c r="H988" s="83"/>
      <c r="I988" s="83"/>
      <c r="J988" s="83"/>
      <c r="K988" s="83"/>
    </row>
    <row r="989" ht="22.5" hidden="1" customHeight="1">
      <c r="A989" s="83"/>
      <c r="B989" s="83"/>
      <c r="C989" s="83"/>
      <c r="D989" s="83"/>
      <c r="E989" s="87"/>
      <c r="F989" s="83"/>
      <c r="G989" s="83"/>
      <c r="H989" s="83"/>
      <c r="I989" s="83"/>
      <c r="J989" s="83"/>
      <c r="K989" s="83"/>
    </row>
    <row r="990" ht="22.5" hidden="1" customHeight="1">
      <c r="A990" s="83"/>
      <c r="B990" s="83"/>
      <c r="C990" s="83"/>
      <c r="D990" s="83"/>
      <c r="E990" s="87"/>
      <c r="F990" s="83"/>
      <c r="G990" s="83"/>
      <c r="H990" s="83"/>
      <c r="I990" s="83"/>
      <c r="J990" s="83"/>
      <c r="K990" s="83"/>
    </row>
    <row r="991" ht="22.5" hidden="1" customHeight="1">
      <c r="A991" s="83"/>
      <c r="B991" s="83"/>
      <c r="C991" s="83"/>
      <c r="D991" s="83"/>
      <c r="E991" s="87"/>
      <c r="F991" s="83"/>
      <c r="G991" s="83"/>
      <c r="H991" s="83"/>
      <c r="I991" s="83"/>
      <c r="J991" s="83"/>
      <c r="K991" s="83"/>
    </row>
    <row r="992" ht="22.5" hidden="1" customHeight="1">
      <c r="A992" s="83"/>
      <c r="B992" s="83"/>
      <c r="C992" s="83"/>
      <c r="D992" s="83"/>
      <c r="E992" s="87"/>
      <c r="F992" s="83"/>
      <c r="G992" s="83"/>
      <c r="H992" s="83"/>
      <c r="I992" s="83"/>
      <c r="J992" s="83"/>
      <c r="K992" s="83"/>
    </row>
    <row r="993" ht="22.5" hidden="1" customHeight="1">
      <c r="A993" s="83"/>
      <c r="B993" s="83"/>
      <c r="C993" s="83"/>
      <c r="D993" s="83"/>
      <c r="E993" s="87"/>
      <c r="F993" s="83"/>
      <c r="G993" s="83"/>
      <c r="H993" s="83"/>
      <c r="I993" s="83"/>
      <c r="J993" s="83"/>
      <c r="K993" s="83"/>
    </row>
    <row r="994" ht="22.5" hidden="1" customHeight="1">
      <c r="A994" s="83"/>
      <c r="B994" s="83"/>
      <c r="C994" s="83"/>
      <c r="D994" s="83"/>
      <c r="E994" s="87"/>
      <c r="F994" s="83"/>
      <c r="G994" s="83"/>
      <c r="H994" s="83"/>
      <c r="I994" s="83"/>
      <c r="J994" s="83"/>
      <c r="K994" s="83"/>
    </row>
    <row r="995" ht="22.5" hidden="1" customHeight="1">
      <c r="A995" s="83"/>
      <c r="B995" s="83"/>
      <c r="C995" s="83"/>
      <c r="D995" s="83"/>
      <c r="E995" s="87"/>
      <c r="F995" s="83"/>
      <c r="G995" s="83"/>
      <c r="H995" s="83"/>
      <c r="I995" s="83"/>
      <c r="J995" s="83"/>
      <c r="K995" s="83"/>
    </row>
    <row r="996" ht="22.5" hidden="1" customHeight="1">
      <c r="A996" s="83"/>
      <c r="B996" s="83"/>
      <c r="C996" s="83"/>
      <c r="D996" s="83"/>
      <c r="E996" s="87"/>
      <c r="F996" s="83"/>
      <c r="G996" s="83"/>
      <c r="H996" s="83"/>
      <c r="I996" s="83"/>
      <c r="J996" s="83"/>
      <c r="K996" s="83"/>
    </row>
    <row r="997" ht="22.5" hidden="1" customHeight="1">
      <c r="A997" s="83"/>
      <c r="B997" s="83"/>
      <c r="C997" s="83"/>
      <c r="D997" s="83"/>
      <c r="E997" s="87"/>
      <c r="F997" s="83"/>
      <c r="G997" s="83"/>
      <c r="H997" s="83"/>
      <c r="I997" s="83"/>
      <c r="J997" s="83"/>
      <c r="K997" s="83"/>
    </row>
    <row r="998" ht="22.5" hidden="1" customHeight="1">
      <c r="A998" s="83"/>
      <c r="B998" s="83"/>
      <c r="C998" s="83"/>
      <c r="D998" s="83"/>
      <c r="E998" s="87"/>
      <c r="F998" s="83"/>
      <c r="G998" s="83"/>
      <c r="H998" s="83"/>
      <c r="I998" s="83"/>
      <c r="J998" s="83"/>
      <c r="K998" s="83"/>
    </row>
    <row r="999" ht="22.5" hidden="1" customHeight="1">
      <c r="A999" s="83"/>
      <c r="B999" s="83"/>
      <c r="C999" s="83"/>
      <c r="D999" s="83"/>
      <c r="E999" s="87"/>
      <c r="F999" s="83"/>
      <c r="G999" s="83"/>
      <c r="H999" s="83"/>
      <c r="I999" s="83"/>
      <c r="J999" s="83"/>
      <c r="K999" s="83"/>
    </row>
    <row r="1000" ht="22.5" hidden="1" customHeight="1">
      <c r="A1000" s="83"/>
      <c r="B1000" s="83"/>
      <c r="C1000" s="83"/>
      <c r="D1000" s="83"/>
      <c r="E1000" s="87"/>
      <c r="F1000" s="83"/>
      <c r="G1000" s="83"/>
      <c r="H1000" s="83"/>
      <c r="I1000" s="83"/>
      <c r="J1000" s="83"/>
      <c r="K1000" s="83"/>
    </row>
    <row r="1001" ht="22.5" hidden="1" customHeight="1">
      <c r="A1001" s="57"/>
      <c r="B1001" s="88"/>
      <c r="C1001" s="57"/>
      <c r="D1001" s="57"/>
      <c r="E1001" s="82"/>
      <c r="F1001" s="57"/>
      <c r="G1001" s="82"/>
      <c r="H1001" s="57"/>
      <c r="I1001" s="57"/>
      <c r="J1001" s="82"/>
      <c r="K1001" s="1361"/>
    </row>
    <row r="1002" ht="22.5" hidden="1" customHeight="1">
      <c r="A1002" s="54"/>
      <c r="B1002" s="1364"/>
      <c r="C1002" s="54"/>
      <c r="D1002" s="54"/>
      <c r="E1002" s="1366"/>
      <c r="F1002" s="54"/>
      <c r="G1002" s="1366"/>
      <c r="H1002" s="54"/>
      <c r="I1002" s="54"/>
      <c r="J1002" s="1366"/>
      <c r="K1002" s="289"/>
    </row>
  </sheetData>
  <dataValidations>
    <dataValidation type="custom" allowBlank="1" showDropDown="1" sqref="E2:E1002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1.0"/>
    <col customWidth="1" min="3" max="3" width="25.25"/>
    <col customWidth="1" min="4" max="4" width="19.13"/>
    <col customWidth="1" min="5" max="5" width="23.88"/>
    <col customWidth="1" min="6" max="6" width="13.38"/>
    <col customWidth="1" min="7" max="7" width="26.25"/>
    <col customWidth="1" min="8" max="9" width="21.88"/>
    <col customWidth="1" min="10" max="10" width="24.75"/>
    <col customWidth="1" min="11" max="11" width="17.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 t="s">
        <v>7</v>
      </c>
      <c r="I1" s="4" t="s">
        <v>8</v>
      </c>
      <c r="J1" s="4" t="s">
        <v>9</v>
      </c>
      <c r="K1" s="10" t="s">
        <v>10</v>
      </c>
    </row>
    <row r="2" ht="22.5" customHeight="1">
      <c r="A2" s="12" t="s">
        <v>11</v>
      </c>
      <c r="B2" s="12" t="s">
        <v>13</v>
      </c>
      <c r="C2" s="14">
        <v>1441.0</v>
      </c>
      <c r="D2" s="15" t="s">
        <v>17</v>
      </c>
      <c r="E2" s="20" t="s">
        <v>17</v>
      </c>
      <c r="F2" s="15">
        <v>33.0</v>
      </c>
      <c r="G2" s="19">
        <v>0.0229</v>
      </c>
      <c r="H2" s="12" t="s">
        <v>22</v>
      </c>
      <c r="I2" s="12">
        <v>76.0</v>
      </c>
      <c r="J2" s="19">
        <v>0.0604</v>
      </c>
      <c r="K2" s="25">
        <f>100-1.21</f>
        <v>98.79</v>
      </c>
    </row>
    <row r="3" ht="22.5" customHeight="1">
      <c r="A3" s="12" t="s">
        <v>11</v>
      </c>
      <c r="B3" s="12" t="s">
        <v>19</v>
      </c>
      <c r="C3" s="14">
        <v>1213.0</v>
      </c>
      <c r="D3" s="15">
        <v>7.0</v>
      </c>
      <c r="E3" s="17">
        <v>0.0057</v>
      </c>
      <c r="F3" s="15">
        <v>31.0</v>
      </c>
      <c r="G3" s="19">
        <v>0.0256</v>
      </c>
      <c r="H3" s="12" t="s">
        <v>29</v>
      </c>
      <c r="I3" s="12">
        <v>215.0</v>
      </c>
      <c r="J3" s="19">
        <v>0.198</v>
      </c>
      <c r="K3" s="25">
        <f>100-6.52</f>
        <v>93.48</v>
      </c>
    </row>
    <row r="4" ht="22.5" customHeight="1">
      <c r="A4" s="12" t="s">
        <v>11</v>
      </c>
      <c r="B4" s="12" t="s">
        <v>23</v>
      </c>
      <c r="C4" s="14">
        <v>1039.0</v>
      </c>
      <c r="D4" s="15">
        <v>1.0</v>
      </c>
      <c r="E4" s="17">
        <v>0.001</v>
      </c>
      <c r="F4" s="15">
        <v>25.0</v>
      </c>
      <c r="G4" s="19">
        <v>0.0241</v>
      </c>
      <c r="H4" s="12" t="s">
        <v>36</v>
      </c>
      <c r="I4" s="12">
        <v>135.0</v>
      </c>
      <c r="J4" s="19">
        <v>0.1447</v>
      </c>
      <c r="K4" s="25">
        <f>100-1.87</f>
        <v>98.13</v>
      </c>
    </row>
    <row r="5" ht="22.5" customHeight="1">
      <c r="A5" s="12" t="s">
        <v>11</v>
      </c>
      <c r="B5" s="12" t="s">
        <v>26</v>
      </c>
      <c r="C5" s="14">
        <v>989.0</v>
      </c>
      <c r="D5" s="15">
        <v>7.0</v>
      </c>
      <c r="E5" s="17">
        <v>0.007</v>
      </c>
      <c r="F5" s="15">
        <v>18.0</v>
      </c>
      <c r="G5" s="19">
        <v>0.0182</v>
      </c>
      <c r="H5" s="12" t="s">
        <v>42</v>
      </c>
      <c r="I5" s="12">
        <v>82.0</v>
      </c>
      <c r="J5" s="19">
        <v>0.0912</v>
      </c>
      <c r="K5" s="25">
        <f>100-7.09</f>
        <v>92.91</v>
      </c>
    </row>
    <row r="6" ht="22.5" customHeight="1">
      <c r="A6" s="12" t="s">
        <v>11</v>
      </c>
      <c r="B6" s="12" t="s">
        <v>33</v>
      </c>
      <c r="C6" s="14">
        <v>827.0</v>
      </c>
      <c r="D6" s="15">
        <v>4.0</v>
      </c>
      <c r="E6" s="17">
        <v>0.0048</v>
      </c>
      <c r="F6" s="15">
        <v>8.0</v>
      </c>
      <c r="G6" s="19">
        <v>0.0097</v>
      </c>
      <c r="H6" s="12" t="s">
        <v>51</v>
      </c>
      <c r="I6" s="12">
        <v>110.0</v>
      </c>
      <c r="J6" s="19">
        <v>0.1599</v>
      </c>
      <c r="K6" s="25">
        <f>100-3.4</f>
        <v>96.6</v>
      </c>
    </row>
    <row r="7" ht="22.5" customHeight="1">
      <c r="A7" s="12" t="s">
        <v>11</v>
      </c>
      <c r="B7" s="12" t="s">
        <v>39</v>
      </c>
      <c r="C7" s="14">
        <v>872.0</v>
      </c>
      <c r="D7" s="15">
        <v>6.0</v>
      </c>
      <c r="E7" s="17">
        <v>0.0068</v>
      </c>
      <c r="F7" s="15">
        <v>23.0</v>
      </c>
      <c r="G7" s="19">
        <v>0.0264</v>
      </c>
      <c r="H7" s="12" t="s">
        <v>56</v>
      </c>
      <c r="I7" s="12">
        <v>63.0</v>
      </c>
      <c r="J7" s="19">
        <v>0.0838</v>
      </c>
      <c r="K7" s="25">
        <f>100-6.48</f>
        <v>93.52</v>
      </c>
    </row>
    <row r="8" ht="22.5" customHeight="1">
      <c r="A8" s="12" t="s">
        <v>11</v>
      </c>
      <c r="B8" s="12" t="s">
        <v>45</v>
      </c>
      <c r="C8" s="14">
        <v>868.0</v>
      </c>
      <c r="D8" s="15" t="s">
        <v>17</v>
      </c>
      <c r="E8" s="20" t="s">
        <v>17</v>
      </c>
      <c r="F8" s="15">
        <v>21.0</v>
      </c>
      <c r="G8" s="19">
        <v>0.0242</v>
      </c>
      <c r="H8" s="12" t="s">
        <v>61</v>
      </c>
      <c r="I8" s="12">
        <v>70.0</v>
      </c>
      <c r="J8" s="19">
        <v>0.0902</v>
      </c>
      <c r="K8" s="25">
        <f>100-0.7</f>
        <v>99.3</v>
      </c>
    </row>
    <row r="9" ht="22.5" customHeight="1">
      <c r="A9" s="12" t="s">
        <v>11</v>
      </c>
      <c r="B9" s="12" t="s">
        <v>49</v>
      </c>
      <c r="C9" s="14">
        <v>773.0</v>
      </c>
      <c r="D9" s="15">
        <v>11.0</v>
      </c>
      <c r="E9" s="17">
        <v>0.014</v>
      </c>
      <c r="F9" s="15">
        <v>13.0</v>
      </c>
      <c r="G9" s="19">
        <v>0.0168</v>
      </c>
      <c r="H9" s="12" t="s">
        <v>68</v>
      </c>
      <c r="I9" s="12">
        <v>99.0</v>
      </c>
      <c r="J9" s="19">
        <v>0.1441</v>
      </c>
      <c r="K9" s="25">
        <f>100-4.99</f>
        <v>95.01</v>
      </c>
    </row>
    <row r="10" ht="22.5" customHeight="1">
      <c r="A10" s="12" t="s">
        <v>11</v>
      </c>
      <c r="B10" s="12" t="s">
        <v>27</v>
      </c>
      <c r="C10" s="14">
        <v>804.0</v>
      </c>
      <c r="D10" s="15" t="s">
        <v>17</v>
      </c>
      <c r="E10" s="20" t="s">
        <v>17</v>
      </c>
      <c r="F10" s="15">
        <v>23.0</v>
      </c>
      <c r="G10" s="19">
        <v>0.0286</v>
      </c>
      <c r="H10" s="12" t="s">
        <v>73</v>
      </c>
      <c r="I10" s="12">
        <v>123.0</v>
      </c>
      <c r="J10" s="19">
        <v>0.1757</v>
      </c>
      <c r="K10" s="25">
        <f>100-2.14</f>
        <v>97.86</v>
      </c>
    </row>
    <row r="11" ht="22.5" customHeight="1">
      <c r="A11" s="12" t="s">
        <v>11</v>
      </c>
      <c r="B11" s="12" t="s">
        <v>59</v>
      </c>
      <c r="C11" s="14">
        <v>718.0</v>
      </c>
      <c r="D11" s="15" t="s">
        <v>17</v>
      </c>
      <c r="E11" s="20" t="s">
        <v>17</v>
      </c>
      <c r="F11" s="15">
        <v>13.0</v>
      </c>
      <c r="G11" s="19">
        <v>0.0181</v>
      </c>
      <c r="H11" s="12" t="s">
        <v>81</v>
      </c>
      <c r="I11" s="12">
        <v>56.0</v>
      </c>
      <c r="J11" s="19">
        <v>0.0924</v>
      </c>
      <c r="K11" s="25">
        <f>100-4.42</f>
        <v>95.58</v>
      </c>
    </row>
    <row r="12" ht="22.5" customHeight="1">
      <c r="A12" s="12" t="s">
        <v>11</v>
      </c>
      <c r="B12" s="12" t="s">
        <v>63</v>
      </c>
      <c r="C12" s="14">
        <v>666.0</v>
      </c>
      <c r="D12" s="15">
        <v>2.0</v>
      </c>
      <c r="E12" s="17">
        <v>0.003</v>
      </c>
      <c r="F12" s="15">
        <v>3.0</v>
      </c>
      <c r="G12" s="19">
        <v>0.0045</v>
      </c>
      <c r="H12" s="12" t="s">
        <v>88</v>
      </c>
      <c r="I12" s="12">
        <v>105.0</v>
      </c>
      <c r="J12" s="19">
        <v>0.1762</v>
      </c>
      <c r="K12" s="25">
        <f>100-2.1</f>
        <v>97.9</v>
      </c>
    </row>
    <row r="13" ht="22.5" customHeight="1">
      <c r="A13" s="12" t="s">
        <v>11</v>
      </c>
      <c r="B13" s="12" t="s">
        <v>58</v>
      </c>
      <c r="C13" s="14">
        <v>594.0</v>
      </c>
      <c r="D13" s="15">
        <v>2.0</v>
      </c>
      <c r="E13" s="17">
        <v>0.0034</v>
      </c>
      <c r="F13" s="15">
        <v>19.0</v>
      </c>
      <c r="G13" s="19">
        <v>0.032</v>
      </c>
      <c r="H13" s="12" t="s">
        <v>95</v>
      </c>
      <c r="I13" s="12">
        <v>46.0</v>
      </c>
      <c r="J13" s="19">
        <v>0.0849</v>
      </c>
      <c r="K13" s="25">
        <f>100-0.43</f>
        <v>99.57</v>
      </c>
    </row>
    <row r="14" ht="22.5" customHeight="1">
      <c r="A14" s="12" t="s">
        <v>11</v>
      </c>
      <c r="B14" s="12" t="s">
        <v>72</v>
      </c>
      <c r="C14" s="14">
        <v>607.0</v>
      </c>
      <c r="D14" s="15" t="s">
        <v>17</v>
      </c>
      <c r="E14" s="20" t="s">
        <v>17</v>
      </c>
      <c r="F14" s="15">
        <v>8.0</v>
      </c>
      <c r="G14" s="19">
        <v>0.0132</v>
      </c>
      <c r="H14" s="12" t="s">
        <v>100</v>
      </c>
      <c r="I14" s="12">
        <v>36.0</v>
      </c>
      <c r="J14" s="19">
        <v>0.0664</v>
      </c>
      <c r="K14" s="5">
        <f>100-0.88</f>
        <v>99.12</v>
      </c>
    </row>
    <row r="15" ht="22.5" customHeight="1">
      <c r="A15" s="12" t="s">
        <v>11</v>
      </c>
      <c r="B15" s="36" t="s">
        <v>79</v>
      </c>
      <c r="C15" s="14">
        <v>551.0</v>
      </c>
      <c r="D15" s="15" t="s">
        <v>17</v>
      </c>
      <c r="E15" s="20" t="s">
        <v>17</v>
      </c>
      <c r="F15" s="15">
        <v>7.0</v>
      </c>
      <c r="G15" s="19">
        <v>0.0127</v>
      </c>
      <c r="H15" s="12" t="s">
        <v>106</v>
      </c>
      <c r="I15" s="12">
        <v>34.0</v>
      </c>
      <c r="J15" s="19">
        <v>0.069</v>
      </c>
      <c r="K15" s="25">
        <f>100-1.49</f>
        <v>98.51</v>
      </c>
    </row>
    <row r="16" ht="22.5" customHeight="1">
      <c r="A16" s="12" t="s">
        <v>11</v>
      </c>
      <c r="B16" s="12" t="s">
        <v>85</v>
      </c>
      <c r="C16" s="14">
        <v>570.0</v>
      </c>
      <c r="D16" s="15">
        <v>3.0</v>
      </c>
      <c r="E16" s="17">
        <v>0.0052</v>
      </c>
      <c r="F16" s="15">
        <v>13.0</v>
      </c>
      <c r="G16" s="19">
        <v>0.0228</v>
      </c>
      <c r="H16" s="12" t="s">
        <v>113</v>
      </c>
      <c r="I16" s="12">
        <v>43.0</v>
      </c>
      <c r="J16" s="19">
        <v>0.0813</v>
      </c>
      <c r="K16" s="25">
        <f>100-0.52</f>
        <v>99.48</v>
      </c>
    </row>
    <row r="17" ht="22.5" customHeight="1">
      <c r="A17" s="12" t="s">
        <v>11</v>
      </c>
      <c r="B17" s="12" t="s">
        <v>71</v>
      </c>
      <c r="C17" s="14">
        <v>517.0</v>
      </c>
      <c r="D17" s="15">
        <v>1.0</v>
      </c>
      <c r="E17" s="17">
        <v>0.0019</v>
      </c>
      <c r="F17" s="15">
        <v>11.0</v>
      </c>
      <c r="G17" s="19">
        <v>0.0213</v>
      </c>
      <c r="H17" s="12" t="s">
        <v>118</v>
      </c>
      <c r="I17" s="12">
        <v>33.0</v>
      </c>
      <c r="J17" s="19">
        <v>0.0769</v>
      </c>
      <c r="K17" s="25">
        <f>100-0.37</f>
        <v>99.63</v>
      </c>
    </row>
    <row r="18" ht="22.5" customHeight="1">
      <c r="A18" s="12" t="s">
        <v>11</v>
      </c>
      <c r="B18" s="12" t="s">
        <v>96</v>
      </c>
      <c r="C18" s="14">
        <v>394.0</v>
      </c>
      <c r="D18" s="15" t="s">
        <v>17</v>
      </c>
      <c r="E18" s="20" t="s">
        <v>17</v>
      </c>
      <c r="F18" s="15">
        <v>4.0</v>
      </c>
      <c r="G18" s="19">
        <v>0.0102</v>
      </c>
      <c r="H18" s="12" t="s">
        <v>124</v>
      </c>
      <c r="I18" s="12">
        <v>38.0</v>
      </c>
      <c r="J18" s="19">
        <v>0.1111</v>
      </c>
      <c r="K18" s="25">
        <f>100-1.05</f>
        <v>98.95</v>
      </c>
    </row>
    <row r="19" ht="22.5" customHeight="1">
      <c r="A19" s="12" t="s">
        <v>11</v>
      </c>
      <c r="B19" s="12" t="s">
        <v>77</v>
      </c>
      <c r="C19" s="14">
        <v>461.0</v>
      </c>
      <c r="D19" s="15">
        <v>6.0</v>
      </c>
      <c r="E19" s="17">
        <v>0.0128</v>
      </c>
      <c r="F19" s="15">
        <v>5.0</v>
      </c>
      <c r="G19" s="19">
        <v>0.0108</v>
      </c>
      <c r="H19" s="12" t="s">
        <v>130</v>
      </c>
      <c r="I19" s="12">
        <v>30.0</v>
      </c>
      <c r="J19" s="19">
        <v>0.073</v>
      </c>
      <c r="K19" s="25">
        <f>100-2.49</f>
        <v>97.51</v>
      </c>
    </row>
    <row r="20" ht="22.5" customHeight="1">
      <c r="A20" s="12" t="s">
        <v>11</v>
      </c>
      <c r="B20" s="12" t="s">
        <v>15</v>
      </c>
      <c r="C20" s="14">
        <v>322.0</v>
      </c>
      <c r="D20" s="15">
        <v>1.0</v>
      </c>
      <c r="E20" s="17">
        <v>0.0031</v>
      </c>
      <c r="F20" s="15">
        <v>3.0</v>
      </c>
      <c r="G20" s="19">
        <v>0.0093</v>
      </c>
      <c r="H20" s="12" t="s">
        <v>134</v>
      </c>
      <c r="I20" s="12">
        <v>35.0</v>
      </c>
      <c r="J20" s="19">
        <v>0.1277</v>
      </c>
      <c r="K20" s="25">
        <f>100-14.48</f>
        <v>85.52</v>
      </c>
    </row>
    <row r="21" ht="22.5" customHeight="1">
      <c r="A21" s="12" t="s">
        <v>11</v>
      </c>
      <c r="B21" s="12" t="s">
        <v>109</v>
      </c>
      <c r="C21" s="14">
        <v>517.0</v>
      </c>
      <c r="D21" s="15">
        <v>2.0</v>
      </c>
      <c r="E21" s="17">
        <v>0.0039</v>
      </c>
      <c r="F21" s="15">
        <v>9.0</v>
      </c>
      <c r="G21" s="19">
        <v>0.0174</v>
      </c>
      <c r="H21" s="12" t="s">
        <v>140</v>
      </c>
      <c r="I21" s="12">
        <v>26.0</v>
      </c>
      <c r="J21" s="19">
        <v>0.0554</v>
      </c>
      <c r="K21" s="25">
        <f>100-6.27</f>
        <v>93.73</v>
      </c>
    </row>
    <row r="22" ht="22.5" customHeight="1">
      <c r="A22" s="12" t="s">
        <v>11</v>
      </c>
      <c r="B22" s="12" t="s">
        <v>115</v>
      </c>
      <c r="C22" s="14">
        <v>440.0</v>
      </c>
      <c r="D22" s="20">
        <v>1.0</v>
      </c>
      <c r="E22" s="17">
        <v>0.0023</v>
      </c>
      <c r="F22" s="15">
        <v>4.0</v>
      </c>
      <c r="G22" s="19">
        <v>0.0091</v>
      </c>
      <c r="H22" s="12" t="s">
        <v>144</v>
      </c>
      <c r="I22" s="12">
        <v>43.0</v>
      </c>
      <c r="J22" s="19">
        <v>0.1123</v>
      </c>
      <c r="K22" s="25">
        <f>100-1.46</f>
        <v>98.54</v>
      </c>
    </row>
    <row r="23" ht="22.5" customHeight="1">
      <c r="A23" s="12" t="s">
        <v>11</v>
      </c>
      <c r="B23" s="12" t="s">
        <v>123</v>
      </c>
      <c r="C23" s="14">
        <v>467.0</v>
      </c>
      <c r="D23" s="20">
        <v>1.0</v>
      </c>
      <c r="E23" s="17">
        <v>0.0021</v>
      </c>
      <c r="F23" s="15">
        <v>10.0</v>
      </c>
      <c r="G23" s="19">
        <v>0.0214</v>
      </c>
      <c r="H23" s="12" t="s">
        <v>165</v>
      </c>
      <c r="I23" s="12">
        <v>36.0</v>
      </c>
      <c r="J23" s="19">
        <v>0.0907</v>
      </c>
      <c r="K23" s="25">
        <f>100-1.56</f>
        <v>98.44</v>
      </c>
    </row>
    <row r="24" ht="22.5" customHeight="1">
      <c r="A24" s="12" t="s">
        <v>11</v>
      </c>
      <c r="B24" s="12" t="s">
        <v>90</v>
      </c>
      <c r="C24" s="14">
        <v>426.0</v>
      </c>
      <c r="D24" s="20">
        <v>2.0</v>
      </c>
      <c r="E24" s="17">
        <v>0.0047</v>
      </c>
      <c r="F24" s="15">
        <v>6.0</v>
      </c>
      <c r="G24" s="19">
        <v>0.0141</v>
      </c>
      <c r="H24" s="12" t="s">
        <v>174</v>
      </c>
      <c r="I24" s="12">
        <v>40.0</v>
      </c>
      <c r="J24" s="19">
        <v>0.1008</v>
      </c>
      <c r="K24" s="5">
        <f>100-0.83</f>
        <v>99.17</v>
      </c>
    </row>
    <row r="25" ht="22.5" customHeight="1">
      <c r="A25" s="12" t="s">
        <v>11</v>
      </c>
      <c r="B25" s="12" t="s">
        <v>94</v>
      </c>
      <c r="C25" s="14">
        <v>478.0</v>
      </c>
      <c r="D25" s="20" t="s">
        <v>17</v>
      </c>
      <c r="E25" s="20" t="s">
        <v>17</v>
      </c>
      <c r="F25" s="15">
        <v>13.0</v>
      </c>
      <c r="G25" s="19">
        <v>0.0272</v>
      </c>
      <c r="H25" s="12" t="s">
        <v>178</v>
      </c>
      <c r="I25" s="12">
        <v>63.0</v>
      </c>
      <c r="J25" s="19">
        <v>0.1707</v>
      </c>
      <c r="K25" s="25">
        <f>100-1.71</f>
        <v>98.29</v>
      </c>
    </row>
    <row r="26" ht="22.5" customHeight="1">
      <c r="A26" s="12" t="s">
        <v>11</v>
      </c>
      <c r="B26" s="12" t="s">
        <v>64</v>
      </c>
      <c r="C26" s="14">
        <v>445.0</v>
      </c>
      <c r="D26" s="20" t="s">
        <v>17</v>
      </c>
      <c r="E26" s="20" t="s">
        <v>17</v>
      </c>
      <c r="F26" s="15">
        <v>7.0</v>
      </c>
      <c r="G26" s="19">
        <v>0.0157</v>
      </c>
      <c r="H26" s="12" t="s">
        <v>183</v>
      </c>
      <c r="I26" s="12">
        <v>41.0</v>
      </c>
      <c r="J26" s="19">
        <v>0.1038</v>
      </c>
      <c r="K26" s="25">
        <f>100-0.74</f>
        <v>99.26</v>
      </c>
    </row>
    <row r="27" ht="22.5" customHeight="1">
      <c r="A27" s="12" t="s">
        <v>11</v>
      </c>
      <c r="B27" s="12" t="s">
        <v>82</v>
      </c>
      <c r="C27" s="14">
        <v>442.0</v>
      </c>
      <c r="D27" s="15">
        <v>2.0</v>
      </c>
      <c r="E27" s="17">
        <v>0.0045</v>
      </c>
      <c r="F27" s="15">
        <v>5.0</v>
      </c>
      <c r="G27" s="19">
        <v>0.0113</v>
      </c>
      <c r="H27" s="12" t="s">
        <v>191</v>
      </c>
      <c r="I27" s="12">
        <v>52.0</v>
      </c>
      <c r="J27" s="19">
        <v>0.1337</v>
      </c>
      <c r="K27" s="25">
        <f>100-5.81</f>
        <v>94.19</v>
      </c>
    </row>
    <row r="28" ht="22.5" customHeight="1">
      <c r="A28" s="12" t="s">
        <v>11</v>
      </c>
      <c r="B28" s="12" t="s">
        <v>136</v>
      </c>
      <c r="C28" s="14">
        <v>450.0</v>
      </c>
      <c r="D28" s="15" t="s">
        <v>17</v>
      </c>
      <c r="E28" s="20" t="s">
        <v>17</v>
      </c>
      <c r="F28" s="15">
        <v>4.0</v>
      </c>
      <c r="G28" s="19">
        <v>0.0089</v>
      </c>
      <c r="H28" s="12" t="s">
        <v>203</v>
      </c>
      <c r="I28" s="12">
        <v>44.0</v>
      </c>
      <c r="J28" s="19">
        <v>0.114</v>
      </c>
      <c r="K28" s="25">
        <f>100-1.34</f>
        <v>98.66</v>
      </c>
    </row>
    <row r="29" ht="22.5" customHeight="1">
      <c r="A29" s="12" t="s">
        <v>11</v>
      </c>
      <c r="B29" s="12" t="s">
        <v>50</v>
      </c>
      <c r="C29" s="14">
        <v>369.0</v>
      </c>
      <c r="D29" s="15" t="s">
        <v>17</v>
      </c>
      <c r="E29" s="20" t="s">
        <v>17</v>
      </c>
      <c r="F29" s="15">
        <v>12.0</v>
      </c>
      <c r="G29" s="19">
        <v>0.0325</v>
      </c>
      <c r="H29" s="12" t="s">
        <v>218</v>
      </c>
      <c r="I29" s="12">
        <v>30.0</v>
      </c>
      <c r="J29" s="19">
        <v>0.1071</v>
      </c>
      <c r="K29" s="25">
        <f>100-2.81</f>
        <v>97.19</v>
      </c>
    </row>
    <row r="30" ht="22.5" customHeight="1">
      <c r="A30" s="12" t="s">
        <v>11</v>
      </c>
      <c r="B30" s="12" t="s">
        <v>153</v>
      </c>
      <c r="C30" s="14">
        <v>407.0</v>
      </c>
      <c r="D30" s="20">
        <v>2.0</v>
      </c>
      <c r="E30" s="17">
        <v>0.0049</v>
      </c>
      <c r="F30" s="15">
        <v>12.0</v>
      </c>
      <c r="G30" s="19">
        <v>0.0319</v>
      </c>
      <c r="H30" s="12" t="s">
        <v>232</v>
      </c>
      <c r="I30" s="12">
        <v>27.0</v>
      </c>
      <c r="J30" s="19">
        <v>0.0714</v>
      </c>
      <c r="K30" s="25">
        <f>100</f>
        <v>100</v>
      </c>
    </row>
    <row r="31" ht="22.5" customHeight="1">
      <c r="A31" s="12" t="s">
        <v>11</v>
      </c>
      <c r="B31" s="12" t="s">
        <v>156</v>
      </c>
      <c r="C31" s="14">
        <v>416.0</v>
      </c>
      <c r="D31" s="20" t="s">
        <v>17</v>
      </c>
      <c r="E31" s="20" t="s">
        <v>17</v>
      </c>
      <c r="F31" s="15">
        <v>5.0</v>
      </c>
      <c r="G31" s="19">
        <v>0.012</v>
      </c>
      <c r="H31" s="12" t="s">
        <v>242</v>
      </c>
      <c r="I31" s="12">
        <v>25.0</v>
      </c>
      <c r="J31" s="19">
        <v>0.0679</v>
      </c>
      <c r="K31" s="25">
        <f>100-5.01</f>
        <v>94.99</v>
      </c>
    </row>
    <row r="32" ht="22.5" customHeight="1">
      <c r="A32" s="12" t="s">
        <v>11</v>
      </c>
      <c r="B32" s="12" t="s">
        <v>159</v>
      </c>
      <c r="C32" s="14">
        <v>300.0</v>
      </c>
      <c r="D32" s="20" t="s">
        <v>17</v>
      </c>
      <c r="E32" s="20" t="s">
        <v>17</v>
      </c>
      <c r="F32" s="15">
        <v>10.0</v>
      </c>
      <c r="G32" s="19">
        <v>0.0333</v>
      </c>
      <c r="H32" s="12" t="s">
        <v>255</v>
      </c>
      <c r="I32" s="12">
        <v>16.0</v>
      </c>
      <c r="J32" s="19">
        <v>0.0608</v>
      </c>
      <c r="K32" s="5">
        <v>100.0</v>
      </c>
    </row>
    <row r="33" ht="22.5" customHeight="1">
      <c r="A33" s="12" t="s">
        <v>11</v>
      </c>
      <c r="B33" s="12" t="s">
        <v>119</v>
      </c>
      <c r="C33" s="14">
        <v>267.0</v>
      </c>
      <c r="D33" s="20" t="s">
        <v>17</v>
      </c>
      <c r="E33" s="20" t="s">
        <v>17</v>
      </c>
      <c r="F33" s="15">
        <v>5.0</v>
      </c>
      <c r="G33" s="19">
        <v>0.0187</v>
      </c>
      <c r="H33" s="12" t="s">
        <v>266</v>
      </c>
      <c r="I33" s="12">
        <v>25.0</v>
      </c>
      <c r="J33" s="19">
        <v>0.1008</v>
      </c>
      <c r="K33" s="25">
        <f>100-7.14</f>
        <v>92.86</v>
      </c>
    </row>
    <row r="34" ht="22.5" customHeight="1">
      <c r="A34" s="12" t="s">
        <v>11</v>
      </c>
      <c r="B34" s="12" t="s">
        <v>114</v>
      </c>
      <c r="C34" s="14">
        <v>366.0</v>
      </c>
      <c r="D34" s="15">
        <v>1.0</v>
      </c>
      <c r="E34" s="17">
        <v>0.0027</v>
      </c>
      <c r="F34" s="15">
        <v>6.0</v>
      </c>
      <c r="G34" s="19">
        <v>0.0164</v>
      </c>
      <c r="H34" s="12" t="s">
        <v>281</v>
      </c>
      <c r="I34" s="12">
        <v>70.0</v>
      </c>
      <c r="J34" s="19">
        <v>0.2201</v>
      </c>
      <c r="K34" s="25">
        <f>100-3.67</f>
        <v>96.33</v>
      </c>
    </row>
    <row r="35" ht="22.5" customHeight="1">
      <c r="A35" s="12" t="s">
        <v>11</v>
      </c>
      <c r="B35" s="12" t="s">
        <v>145</v>
      </c>
      <c r="C35" s="14">
        <v>363.0</v>
      </c>
      <c r="D35" s="15">
        <v>3.0</v>
      </c>
      <c r="E35" s="17">
        <v>0.0082</v>
      </c>
      <c r="F35" s="15">
        <v>11.0</v>
      </c>
      <c r="G35" s="19">
        <v>0.0303</v>
      </c>
      <c r="H35" s="12" t="s">
        <v>294</v>
      </c>
      <c r="I35" s="12">
        <v>51.0</v>
      </c>
      <c r="J35" s="19">
        <v>0.1741</v>
      </c>
      <c r="K35" s="25">
        <f>100-4.34</f>
        <v>95.66</v>
      </c>
    </row>
    <row r="36" ht="22.5" customHeight="1">
      <c r="A36" s="12" t="s">
        <v>11</v>
      </c>
      <c r="B36" s="12" t="s">
        <v>170</v>
      </c>
      <c r="C36" s="14">
        <v>306.0</v>
      </c>
      <c r="D36" s="20">
        <v>4.0</v>
      </c>
      <c r="E36" s="17">
        <v>0.0129</v>
      </c>
      <c r="F36" s="15">
        <v>4.0</v>
      </c>
      <c r="G36" s="19">
        <v>0.0131</v>
      </c>
      <c r="H36" s="12" t="s">
        <v>308</v>
      </c>
      <c r="I36" s="12">
        <v>63.0</v>
      </c>
      <c r="J36" s="19">
        <v>0.2423</v>
      </c>
      <c r="K36" s="25">
        <f>100-6.79</f>
        <v>93.21</v>
      </c>
    </row>
    <row r="37" ht="22.5" customHeight="1">
      <c r="A37" s="12" t="s">
        <v>11</v>
      </c>
      <c r="B37" s="12" t="s">
        <v>126</v>
      </c>
      <c r="C37" s="14">
        <v>235.0</v>
      </c>
      <c r="D37" s="15">
        <v>2.0</v>
      </c>
      <c r="E37" s="17">
        <v>0.0084</v>
      </c>
      <c r="F37" s="15">
        <v>4.0</v>
      </c>
      <c r="G37" s="19">
        <v>0.017</v>
      </c>
      <c r="H37" s="12" t="s">
        <v>324</v>
      </c>
      <c r="I37" s="12">
        <v>16.0</v>
      </c>
      <c r="J37" s="19">
        <v>0.0829</v>
      </c>
      <c r="K37" s="25">
        <f>100-1.26</f>
        <v>98.74</v>
      </c>
    </row>
    <row r="38" ht="22.5" customHeight="1">
      <c r="A38" s="12" t="s">
        <v>11</v>
      </c>
      <c r="B38" s="12" t="s">
        <v>104</v>
      </c>
      <c r="C38" s="14">
        <v>179.0</v>
      </c>
      <c r="D38" s="15">
        <v>1.0</v>
      </c>
      <c r="E38" s="17">
        <v>0.0056</v>
      </c>
      <c r="F38" s="15">
        <v>1.0</v>
      </c>
      <c r="G38" s="19">
        <v>0.0</v>
      </c>
      <c r="H38" s="12" t="s">
        <v>342</v>
      </c>
      <c r="I38" s="12">
        <v>0.0</v>
      </c>
      <c r="J38" s="19">
        <v>0.0</v>
      </c>
      <c r="K38" s="5">
        <v>100.0</v>
      </c>
    </row>
    <row r="39" ht="22.5" customHeight="1">
      <c r="A39" s="12" t="s">
        <v>11</v>
      </c>
      <c r="B39" s="12" t="s">
        <v>46</v>
      </c>
      <c r="C39" s="14">
        <v>97.0</v>
      </c>
      <c r="D39" s="15" t="s">
        <v>17</v>
      </c>
      <c r="E39" s="20" t="s">
        <v>17</v>
      </c>
      <c r="F39" s="15">
        <v>2.0</v>
      </c>
      <c r="G39" s="19">
        <v>0.0206</v>
      </c>
      <c r="H39" s="12" t="s">
        <v>354</v>
      </c>
      <c r="I39" s="12">
        <v>8.0</v>
      </c>
      <c r="J39" s="19">
        <v>0.0941</v>
      </c>
      <c r="K39" s="5">
        <v>100.0</v>
      </c>
    </row>
    <row r="40" ht="22.5" customHeight="1">
      <c r="A40" s="12" t="s">
        <v>185</v>
      </c>
      <c r="B40" s="12" t="s">
        <v>136</v>
      </c>
      <c r="C40" s="12">
        <v>79.0</v>
      </c>
      <c r="D40" s="36">
        <v>0.0</v>
      </c>
      <c r="E40" s="54" t="s">
        <v>258</v>
      </c>
      <c r="F40" s="36">
        <v>2.0</v>
      </c>
      <c r="G40" s="36" t="s">
        <v>362</v>
      </c>
      <c r="H40" s="55">
        <v>0.0</v>
      </c>
      <c r="I40" s="56">
        <v>34.0</v>
      </c>
      <c r="J40" s="57" t="s">
        <v>368</v>
      </c>
      <c r="K40" s="54" t="s">
        <v>371</v>
      </c>
    </row>
    <row r="41" ht="22.5" customHeight="1">
      <c r="A41" s="12" t="s">
        <v>185</v>
      </c>
      <c r="B41" s="12" t="s">
        <v>33</v>
      </c>
      <c r="C41" s="12">
        <v>269.0</v>
      </c>
      <c r="D41" s="36">
        <v>1.0</v>
      </c>
      <c r="E41" s="36" t="s">
        <v>258</v>
      </c>
      <c r="F41" s="36">
        <v>16.0</v>
      </c>
      <c r="G41" s="36" t="s">
        <v>377</v>
      </c>
      <c r="H41" s="12" t="s">
        <v>378</v>
      </c>
      <c r="I41" s="56">
        <v>140.0</v>
      </c>
      <c r="J41" s="54" t="s">
        <v>379</v>
      </c>
      <c r="K41" s="58">
        <v>0.96</v>
      </c>
    </row>
    <row r="42" ht="22.5" customHeight="1">
      <c r="A42" s="12" t="s">
        <v>185</v>
      </c>
      <c r="B42" s="12" t="s">
        <v>26</v>
      </c>
      <c r="C42" s="12">
        <v>380.0</v>
      </c>
      <c r="D42" s="36">
        <v>0.0</v>
      </c>
      <c r="E42" s="45">
        <v>0.0051</v>
      </c>
      <c r="F42" s="36">
        <v>14.0</v>
      </c>
      <c r="G42" s="36" t="s">
        <v>387</v>
      </c>
      <c r="H42" s="47" t="s">
        <v>392</v>
      </c>
      <c r="I42" s="56">
        <v>33.0</v>
      </c>
      <c r="J42" s="36" t="s">
        <v>395</v>
      </c>
      <c r="K42" s="35" t="s">
        <v>396</v>
      </c>
    </row>
    <row r="43" ht="22.5" customHeight="1">
      <c r="A43" s="12" t="s">
        <v>185</v>
      </c>
      <c r="B43" s="12" t="s">
        <v>63</v>
      </c>
      <c r="C43" s="12">
        <v>1001.0</v>
      </c>
      <c r="D43" s="36">
        <v>0.0</v>
      </c>
      <c r="E43" s="36" t="s">
        <v>399</v>
      </c>
      <c r="F43" s="36">
        <v>24.0</v>
      </c>
      <c r="G43" s="36" t="s">
        <v>401</v>
      </c>
      <c r="H43" s="47" t="s">
        <v>402</v>
      </c>
      <c r="I43" s="56">
        <v>471.0</v>
      </c>
      <c r="J43" s="36" t="s">
        <v>404</v>
      </c>
      <c r="K43" s="35" t="s">
        <v>405</v>
      </c>
    </row>
    <row r="44" ht="22.5" customHeight="1">
      <c r="A44" s="12" t="s">
        <v>185</v>
      </c>
      <c r="B44" s="12" t="s">
        <v>13</v>
      </c>
      <c r="C44" s="12">
        <v>647.0</v>
      </c>
      <c r="D44" s="36">
        <v>0.0</v>
      </c>
      <c r="E44" s="68" t="s">
        <v>225</v>
      </c>
      <c r="F44" s="69">
        <v>24.0</v>
      </c>
      <c r="G44" s="69" t="s">
        <v>387</v>
      </c>
      <c r="H44" s="47" t="s">
        <v>408</v>
      </c>
      <c r="I44" s="56">
        <v>257.0</v>
      </c>
      <c r="J44" s="36" t="s">
        <v>410</v>
      </c>
      <c r="K44" s="35" t="s">
        <v>411</v>
      </c>
    </row>
    <row r="45" ht="22.5" customHeight="1">
      <c r="A45" s="12" t="s">
        <v>185</v>
      </c>
      <c r="B45" s="12" t="s">
        <v>153</v>
      </c>
      <c r="C45" s="12">
        <v>147.0</v>
      </c>
      <c r="D45" s="36">
        <v>2.0</v>
      </c>
      <c r="E45" s="36" t="s">
        <v>258</v>
      </c>
      <c r="F45" s="36">
        <v>7.0</v>
      </c>
      <c r="G45" s="36" t="s">
        <v>415</v>
      </c>
      <c r="H45" s="47">
        <v>81514.0</v>
      </c>
      <c r="I45" s="56">
        <v>52.0</v>
      </c>
      <c r="J45" s="36" t="s">
        <v>416</v>
      </c>
      <c r="K45" s="70">
        <v>1.0</v>
      </c>
    </row>
    <row r="46" ht="22.5" customHeight="1">
      <c r="A46" s="12" t="s">
        <v>185</v>
      </c>
      <c r="B46" s="12" t="s">
        <v>19</v>
      </c>
      <c r="C46" s="12">
        <v>345.0</v>
      </c>
      <c r="D46" s="36">
        <v>0.0</v>
      </c>
      <c r="E46" s="36" t="s">
        <v>258</v>
      </c>
      <c r="F46" s="36">
        <v>13.0</v>
      </c>
      <c r="G46" s="36" t="s">
        <v>249</v>
      </c>
      <c r="H46" s="47" t="s">
        <v>420</v>
      </c>
      <c r="I46" s="56">
        <v>191.0</v>
      </c>
      <c r="J46" s="36" t="s">
        <v>422</v>
      </c>
      <c r="K46" s="35" t="s">
        <v>423</v>
      </c>
    </row>
    <row r="47" ht="22.5" customHeight="1">
      <c r="A47" s="12" t="s">
        <v>185</v>
      </c>
      <c r="B47" s="12" t="s">
        <v>15</v>
      </c>
      <c r="C47" s="12">
        <v>68.0</v>
      </c>
      <c r="D47" s="36">
        <v>1.0</v>
      </c>
      <c r="E47" s="36" t="s">
        <v>425</v>
      </c>
      <c r="F47" s="36">
        <v>5.0</v>
      </c>
      <c r="G47" s="36" t="s">
        <v>426</v>
      </c>
      <c r="H47" s="12">
        <v>0.0</v>
      </c>
      <c r="I47" s="56">
        <v>22.0</v>
      </c>
      <c r="J47" s="36" t="s">
        <v>428</v>
      </c>
      <c r="K47" s="35" t="s">
        <v>429</v>
      </c>
    </row>
    <row r="48" ht="22.5" customHeight="1">
      <c r="A48" s="12" t="s">
        <v>185</v>
      </c>
      <c r="B48" s="12" t="s">
        <v>82</v>
      </c>
      <c r="C48" s="12">
        <v>159.0</v>
      </c>
      <c r="D48" s="36">
        <v>1.0</v>
      </c>
      <c r="E48" s="36" t="s">
        <v>258</v>
      </c>
      <c r="F48" s="36">
        <v>5.0</v>
      </c>
      <c r="G48" s="36" t="s">
        <v>432</v>
      </c>
      <c r="H48" s="47" t="s">
        <v>433</v>
      </c>
      <c r="I48" s="56">
        <v>80.0</v>
      </c>
      <c r="J48" s="36" t="s">
        <v>434</v>
      </c>
      <c r="K48" s="35" t="s">
        <v>298</v>
      </c>
    </row>
    <row r="49" ht="22.5" customHeight="1">
      <c r="A49" s="12" t="s">
        <v>185</v>
      </c>
      <c r="B49" s="12" t="s">
        <v>59</v>
      </c>
      <c r="C49" s="12">
        <v>131.0</v>
      </c>
      <c r="D49" s="36">
        <v>2.0</v>
      </c>
      <c r="E49" s="68" t="s">
        <v>258</v>
      </c>
      <c r="F49" s="69">
        <v>4.0</v>
      </c>
      <c r="G49" s="69" t="s">
        <v>438</v>
      </c>
      <c r="H49" s="47">
        <v>82526.0</v>
      </c>
      <c r="I49" s="56">
        <v>53.0</v>
      </c>
      <c r="J49" s="36" t="s">
        <v>442</v>
      </c>
      <c r="K49" s="35" t="s">
        <v>443</v>
      </c>
    </row>
    <row r="50" ht="22.5" customHeight="1">
      <c r="A50" s="12" t="s">
        <v>185</v>
      </c>
      <c r="B50" s="36" t="s">
        <v>79</v>
      </c>
      <c r="C50" s="12">
        <v>199.0</v>
      </c>
      <c r="D50" s="36">
        <v>0.0</v>
      </c>
      <c r="E50" s="36" t="s">
        <v>258</v>
      </c>
      <c r="F50" s="36">
        <v>7.0</v>
      </c>
      <c r="G50" s="36" t="s">
        <v>446</v>
      </c>
      <c r="H50" s="47" t="s">
        <v>448</v>
      </c>
      <c r="I50" s="56">
        <v>93.0</v>
      </c>
      <c r="J50" s="36" t="s">
        <v>449</v>
      </c>
      <c r="K50" s="35" t="s">
        <v>450</v>
      </c>
    </row>
    <row r="51" ht="22.5" customHeight="1">
      <c r="A51" s="12" t="s">
        <v>185</v>
      </c>
      <c r="B51" s="12" t="s">
        <v>45</v>
      </c>
      <c r="C51" s="12">
        <v>211.0</v>
      </c>
      <c r="D51" s="36">
        <v>0.0</v>
      </c>
      <c r="E51" s="68" t="s">
        <v>451</v>
      </c>
      <c r="F51" s="69">
        <v>7.0</v>
      </c>
      <c r="G51" s="69" t="s">
        <v>452</v>
      </c>
      <c r="H51" s="47" t="s">
        <v>453</v>
      </c>
      <c r="I51" s="56">
        <v>27.0</v>
      </c>
      <c r="J51" s="36" t="s">
        <v>454</v>
      </c>
      <c r="K51" s="35" t="s">
        <v>455</v>
      </c>
    </row>
    <row r="52" ht="22.5" customHeight="1">
      <c r="A52" s="12" t="s">
        <v>185</v>
      </c>
      <c r="B52" s="12" t="s">
        <v>39</v>
      </c>
      <c r="C52" s="12">
        <v>40.0</v>
      </c>
      <c r="D52" s="36">
        <v>1.0</v>
      </c>
      <c r="E52" s="36" t="s">
        <v>258</v>
      </c>
      <c r="F52" s="36">
        <v>1.0</v>
      </c>
      <c r="G52" s="36" t="s">
        <v>306</v>
      </c>
      <c r="H52" s="55">
        <v>0.0</v>
      </c>
      <c r="I52" s="56">
        <v>27.0</v>
      </c>
      <c r="J52" s="36" t="s">
        <v>457</v>
      </c>
      <c r="K52" s="35" t="s">
        <v>459</v>
      </c>
    </row>
    <row r="53" ht="22.5" customHeight="1">
      <c r="A53" s="12" t="s">
        <v>185</v>
      </c>
      <c r="B53" s="12" t="s">
        <v>114</v>
      </c>
      <c r="C53" s="12">
        <v>131.0</v>
      </c>
      <c r="D53" s="36">
        <v>0.0</v>
      </c>
      <c r="E53" s="36" t="s">
        <v>462</v>
      </c>
      <c r="F53" s="36">
        <v>9.0</v>
      </c>
      <c r="G53" s="36" t="s">
        <v>463</v>
      </c>
      <c r="H53" s="47" t="s">
        <v>448</v>
      </c>
      <c r="I53" s="56">
        <v>99.0</v>
      </c>
      <c r="J53" s="36" t="s">
        <v>464</v>
      </c>
      <c r="K53" s="35" t="s">
        <v>465</v>
      </c>
    </row>
    <row r="54" ht="22.5" customHeight="1">
      <c r="A54" s="12" t="s">
        <v>185</v>
      </c>
      <c r="B54" s="12" t="s">
        <v>77</v>
      </c>
      <c r="C54" s="12">
        <v>130.0</v>
      </c>
      <c r="D54" s="36">
        <v>0.0</v>
      </c>
      <c r="E54" s="36" t="s">
        <v>466</v>
      </c>
      <c r="F54" s="36">
        <v>1.0</v>
      </c>
      <c r="G54" s="36" t="s">
        <v>196</v>
      </c>
      <c r="H54" s="55">
        <v>0.0</v>
      </c>
      <c r="I54" s="56">
        <v>55.0</v>
      </c>
      <c r="J54" s="36" t="s">
        <v>467</v>
      </c>
      <c r="K54" s="35" t="s">
        <v>468</v>
      </c>
    </row>
    <row r="55" ht="22.5" customHeight="1">
      <c r="A55" s="12" t="s">
        <v>185</v>
      </c>
      <c r="B55" s="12" t="s">
        <v>58</v>
      </c>
      <c r="C55" s="12">
        <v>231.0</v>
      </c>
      <c r="D55" s="36">
        <v>0.0</v>
      </c>
      <c r="E55" s="36" t="s">
        <v>258</v>
      </c>
      <c r="F55" s="36">
        <v>19.0</v>
      </c>
      <c r="G55" s="36" t="s">
        <v>469</v>
      </c>
      <c r="H55" s="57" t="s">
        <v>470</v>
      </c>
      <c r="I55" s="56">
        <v>128.0</v>
      </c>
      <c r="J55" s="36" t="s">
        <v>471</v>
      </c>
      <c r="K55" s="35" t="s">
        <v>298</v>
      </c>
    </row>
    <row r="56" ht="22.5" customHeight="1">
      <c r="A56" s="12" t="s">
        <v>185</v>
      </c>
      <c r="B56" s="12" t="s">
        <v>27</v>
      </c>
      <c r="C56" s="12">
        <v>206.0</v>
      </c>
      <c r="D56" s="36">
        <v>3.0</v>
      </c>
      <c r="E56" s="36" t="s">
        <v>258</v>
      </c>
      <c r="F56" s="36">
        <v>4.0</v>
      </c>
      <c r="G56" s="36" t="s">
        <v>472</v>
      </c>
      <c r="H56" s="47" t="s">
        <v>473</v>
      </c>
      <c r="I56" s="56">
        <v>91.0</v>
      </c>
      <c r="J56" s="36" t="s">
        <v>474</v>
      </c>
      <c r="K56" s="35" t="s">
        <v>475</v>
      </c>
    </row>
    <row r="57" ht="22.5" customHeight="1">
      <c r="A57" s="12" t="s">
        <v>185</v>
      </c>
      <c r="B57" s="12" t="s">
        <v>23</v>
      </c>
      <c r="C57" s="12">
        <v>102.0</v>
      </c>
      <c r="D57" s="36">
        <v>0.0</v>
      </c>
      <c r="E57" s="36" t="s">
        <v>369</v>
      </c>
      <c r="F57" s="36">
        <v>18.0</v>
      </c>
      <c r="G57" s="36" t="s">
        <v>476</v>
      </c>
      <c r="H57" s="47" t="s">
        <v>477</v>
      </c>
      <c r="I57" s="56">
        <v>56.0</v>
      </c>
      <c r="J57" s="36" t="s">
        <v>478</v>
      </c>
      <c r="K57" s="35" t="s">
        <v>298</v>
      </c>
    </row>
    <row r="58" ht="22.5" customHeight="1">
      <c r="A58" s="12" t="s">
        <v>185</v>
      </c>
      <c r="B58" s="12" t="s">
        <v>170</v>
      </c>
      <c r="C58" s="12">
        <v>94.0</v>
      </c>
      <c r="D58" s="36">
        <v>0.0</v>
      </c>
      <c r="E58" s="68" t="s">
        <v>258</v>
      </c>
      <c r="F58" s="69">
        <v>3.0</v>
      </c>
      <c r="G58" s="69" t="s">
        <v>479</v>
      </c>
      <c r="H58" s="57">
        <v>27315.0</v>
      </c>
      <c r="I58" s="56">
        <v>45.0</v>
      </c>
      <c r="J58" s="69" t="s">
        <v>480</v>
      </c>
      <c r="K58" s="69" t="s">
        <v>481</v>
      </c>
    </row>
    <row r="59" ht="22.5" customHeight="1">
      <c r="A59" s="12" t="s">
        <v>185</v>
      </c>
      <c r="B59" s="12" t="s">
        <v>85</v>
      </c>
      <c r="C59" s="12">
        <v>102.0</v>
      </c>
      <c r="D59" s="36">
        <v>2.0</v>
      </c>
      <c r="E59" s="36" t="s">
        <v>258</v>
      </c>
      <c r="F59" s="36">
        <v>6.0</v>
      </c>
      <c r="G59" s="36" t="s">
        <v>458</v>
      </c>
      <c r="H59" s="47" t="s">
        <v>482</v>
      </c>
      <c r="I59" s="56">
        <v>32.0</v>
      </c>
      <c r="J59" s="69" t="s">
        <v>483</v>
      </c>
      <c r="K59" s="69" t="s">
        <v>484</v>
      </c>
    </row>
    <row r="60" ht="22.5" customHeight="1">
      <c r="A60" s="12" t="s">
        <v>185</v>
      </c>
      <c r="B60" s="12" t="s">
        <v>485</v>
      </c>
      <c r="C60" s="59">
        <v>7.0</v>
      </c>
      <c r="D60" s="60">
        <v>0.0</v>
      </c>
      <c r="E60" s="84">
        <v>0.0</v>
      </c>
      <c r="F60" s="84">
        <v>0.0</v>
      </c>
      <c r="G60" s="60">
        <v>0.0</v>
      </c>
      <c r="H60" s="85">
        <v>0.0</v>
      </c>
      <c r="I60" s="86">
        <v>3.0</v>
      </c>
      <c r="J60" s="68" t="s">
        <v>486</v>
      </c>
      <c r="K60" s="68" t="s">
        <v>487</v>
      </c>
    </row>
    <row r="61" ht="22.5" customHeight="1">
      <c r="A61" s="12" t="s">
        <v>383</v>
      </c>
      <c r="B61" s="88" t="s">
        <v>488</v>
      </c>
      <c r="C61" s="89">
        <v>429.0</v>
      </c>
      <c r="D61" s="89">
        <v>2.0</v>
      </c>
      <c r="E61" s="90">
        <v>0.005</v>
      </c>
      <c r="F61" s="77">
        <v>13.0</v>
      </c>
      <c r="G61" s="73">
        <v>0.030162412993039442</v>
      </c>
      <c r="H61" s="85">
        <v>0.0</v>
      </c>
      <c r="I61" s="91">
        <v>27.0</v>
      </c>
      <c r="J61" s="92">
        <v>0.064</v>
      </c>
      <c r="K61" s="93">
        <v>0.9677</v>
      </c>
    </row>
    <row r="62" ht="22.5" customHeight="1">
      <c r="A62" s="12" t="s">
        <v>383</v>
      </c>
      <c r="B62" s="88" t="s">
        <v>489</v>
      </c>
      <c r="C62" s="59">
        <v>328.0</v>
      </c>
      <c r="D62" s="59">
        <v>1.0</v>
      </c>
      <c r="E62" s="61">
        <v>0.003</v>
      </c>
      <c r="F62" s="77">
        <v>8.0</v>
      </c>
      <c r="G62" s="73">
        <v>0.0243161094224924</v>
      </c>
      <c r="H62" s="85">
        <v>0.0</v>
      </c>
      <c r="I62" s="84">
        <v>15.0</v>
      </c>
      <c r="J62" s="94">
        <v>0.047</v>
      </c>
      <c r="K62" s="93">
        <v>0.9653</v>
      </c>
    </row>
    <row r="63" ht="22.5" customHeight="1">
      <c r="A63" s="12" t="s">
        <v>383</v>
      </c>
      <c r="B63" s="88" t="s">
        <v>490</v>
      </c>
      <c r="C63" s="62">
        <v>271.0</v>
      </c>
      <c r="D63" s="62">
        <v>1.0</v>
      </c>
      <c r="E63" s="95">
        <v>0.004</v>
      </c>
      <c r="F63" s="77">
        <v>6.0</v>
      </c>
      <c r="G63" s="73">
        <v>0.022058823529411766</v>
      </c>
      <c r="H63" s="85">
        <v>0.0</v>
      </c>
      <c r="I63" s="64">
        <v>30.0</v>
      </c>
      <c r="J63" s="63">
        <v>0.114</v>
      </c>
      <c r="K63" s="93">
        <v>0.9024</v>
      </c>
    </row>
    <row r="64" ht="22.5" customHeight="1">
      <c r="A64" s="12" t="s">
        <v>383</v>
      </c>
      <c r="B64" s="88" t="s">
        <v>491</v>
      </c>
      <c r="C64" s="59">
        <v>212.0</v>
      </c>
      <c r="D64" s="59">
        <v>2.0</v>
      </c>
      <c r="E64" s="61">
        <v>0.009</v>
      </c>
      <c r="F64" s="77">
        <v>2.0</v>
      </c>
      <c r="G64" s="73">
        <v>0.009345794392523364</v>
      </c>
      <c r="H64" s="85">
        <v>0.0</v>
      </c>
      <c r="I64" s="84">
        <v>23.0</v>
      </c>
      <c r="J64" s="94">
        <v>0.114</v>
      </c>
      <c r="K64" s="93">
        <v>0.9976</v>
      </c>
    </row>
    <row r="65" ht="22.5" customHeight="1">
      <c r="A65" s="12" t="s">
        <v>383</v>
      </c>
      <c r="B65" s="88" t="s">
        <v>493</v>
      </c>
      <c r="C65" s="59">
        <v>197.0</v>
      </c>
      <c r="D65" s="59">
        <v>0.0</v>
      </c>
      <c r="E65" s="61">
        <v>0.0</v>
      </c>
      <c r="F65" s="77">
        <v>1.0</v>
      </c>
      <c r="G65" s="73">
        <v>0.005076142131979695</v>
      </c>
      <c r="H65" s="85">
        <v>0.0</v>
      </c>
      <c r="I65" s="84">
        <v>30.0</v>
      </c>
      <c r="J65" s="94">
        <v>0.156</v>
      </c>
      <c r="K65" s="93">
        <v>0.9634</v>
      </c>
    </row>
    <row r="66" ht="22.5" customHeight="1">
      <c r="A66" s="12" t="s">
        <v>383</v>
      </c>
      <c r="B66" s="88" t="s">
        <v>494</v>
      </c>
      <c r="C66" s="62">
        <v>142.0</v>
      </c>
      <c r="D66" s="62">
        <v>1.0</v>
      </c>
      <c r="E66" s="95">
        <v>0.007</v>
      </c>
      <c r="F66" s="77">
        <v>3.0</v>
      </c>
      <c r="G66" s="73">
        <v>0.02097902097902098</v>
      </c>
      <c r="H66" s="85">
        <v>0.0</v>
      </c>
      <c r="I66" s="64">
        <v>8.0</v>
      </c>
      <c r="J66" s="63">
        <v>0.057</v>
      </c>
      <c r="K66" s="93">
        <v>0.9031</v>
      </c>
    </row>
    <row r="67" ht="22.5" customHeight="1">
      <c r="A67" s="12" t="s">
        <v>383</v>
      </c>
      <c r="B67" s="88" t="s">
        <v>495</v>
      </c>
      <c r="C67" s="62">
        <v>142.0</v>
      </c>
      <c r="D67" s="62">
        <v>0.0</v>
      </c>
      <c r="E67" s="95">
        <v>0.0</v>
      </c>
      <c r="F67" s="77">
        <v>5.0</v>
      </c>
      <c r="G67" s="73">
        <v>0.035211267605633804</v>
      </c>
      <c r="H67" s="85">
        <v>0.0</v>
      </c>
      <c r="I67" s="64">
        <v>11.0</v>
      </c>
      <c r="J67" s="63">
        <v>0.08</v>
      </c>
      <c r="K67" s="93">
        <v>0.9815</v>
      </c>
    </row>
    <row r="68" ht="22.5" customHeight="1">
      <c r="A68" s="12" t="s">
        <v>383</v>
      </c>
      <c r="B68" s="88" t="s">
        <v>496</v>
      </c>
      <c r="C68" s="62">
        <v>138.0</v>
      </c>
      <c r="D68" s="62">
        <v>0.0</v>
      </c>
      <c r="E68" s="95">
        <v>0.0</v>
      </c>
      <c r="F68" s="77">
        <v>3.0</v>
      </c>
      <c r="G68" s="73">
        <v>0.021739130434782608</v>
      </c>
      <c r="H68" s="85">
        <v>0.0</v>
      </c>
      <c r="I68" s="64">
        <v>4.0</v>
      </c>
      <c r="J68" s="63">
        <v>0.029</v>
      </c>
      <c r="K68" s="93">
        <v>0.9204</v>
      </c>
    </row>
    <row r="69" ht="22.5" customHeight="1">
      <c r="A69" s="12" t="s">
        <v>383</v>
      </c>
      <c r="B69" s="88" t="s">
        <v>497</v>
      </c>
      <c r="C69" s="59">
        <v>132.0</v>
      </c>
      <c r="D69" s="59">
        <v>0.0</v>
      </c>
      <c r="E69" s="61">
        <v>0.0</v>
      </c>
      <c r="F69" s="77">
        <v>5.0</v>
      </c>
      <c r="G69" s="73">
        <v>0.03787878787878788</v>
      </c>
      <c r="H69" s="85">
        <v>0.0</v>
      </c>
      <c r="I69" s="84">
        <v>21.0</v>
      </c>
      <c r="J69" s="94">
        <v>0.162</v>
      </c>
      <c r="K69" s="93">
        <v>0.9983</v>
      </c>
    </row>
    <row r="70" ht="22.5" customHeight="1">
      <c r="A70" s="12" t="s">
        <v>383</v>
      </c>
      <c r="B70" s="88" t="s">
        <v>498</v>
      </c>
      <c r="C70" s="59">
        <v>120.0</v>
      </c>
      <c r="D70" s="59">
        <v>4.0</v>
      </c>
      <c r="E70" s="61">
        <v>0.032</v>
      </c>
      <c r="F70" s="77">
        <v>5.0</v>
      </c>
      <c r="G70" s="73">
        <v>0.04032258064516129</v>
      </c>
      <c r="H70" s="85">
        <v>0.0</v>
      </c>
      <c r="I70" s="84">
        <v>10.0</v>
      </c>
      <c r="J70" s="94">
        <v>0.084</v>
      </c>
      <c r="K70" s="93">
        <v>0.99</v>
      </c>
    </row>
    <row r="71" ht="22.5" customHeight="1">
      <c r="A71" s="12" t="s">
        <v>383</v>
      </c>
      <c r="B71" s="88" t="s">
        <v>499</v>
      </c>
      <c r="C71" s="59">
        <v>105.0</v>
      </c>
      <c r="D71" s="59">
        <v>3.0</v>
      </c>
      <c r="E71" s="61">
        <v>0.028</v>
      </c>
      <c r="F71" s="77">
        <v>1.0</v>
      </c>
      <c r="G71" s="73">
        <v>0.009259259259259259</v>
      </c>
      <c r="H71" s="85">
        <v>0.0</v>
      </c>
      <c r="I71" s="84">
        <v>10.0</v>
      </c>
      <c r="J71" s="94">
        <v>0.096</v>
      </c>
      <c r="K71" s="93">
        <v>0.9188</v>
      </c>
    </row>
    <row r="72" ht="22.5" customHeight="1">
      <c r="A72" s="12" t="s">
        <v>383</v>
      </c>
      <c r="B72" s="88" t="s">
        <v>500</v>
      </c>
      <c r="C72" s="59">
        <v>93.0</v>
      </c>
      <c r="D72" s="59">
        <v>2.0</v>
      </c>
      <c r="E72" s="61">
        <v>0.021</v>
      </c>
      <c r="F72" s="77">
        <v>1.0</v>
      </c>
      <c r="G72" s="73">
        <v>0.010526315789473684</v>
      </c>
      <c r="H72" s="85">
        <v>0.0</v>
      </c>
      <c r="I72" s="84">
        <v>12.0</v>
      </c>
      <c r="J72" s="94">
        <v>0.132</v>
      </c>
      <c r="K72" s="93">
        <v>0.986</v>
      </c>
    </row>
    <row r="73" ht="22.5" customHeight="1">
      <c r="A73" s="12" t="s">
        <v>383</v>
      </c>
      <c r="B73" s="88" t="s">
        <v>501</v>
      </c>
      <c r="C73" s="59">
        <v>89.0</v>
      </c>
      <c r="D73" s="59">
        <v>0.0</v>
      </c>
      <c r="E73" s="61">
        <v>0.0</v>
      </c>
      <c r="F73" s="77">
        <v>4.0</v>
      </c>
      <c r="G73" s="73">
        <v>0.0449438202247191</v>
      </c>
      <c r="H73" s="85">
        <v>0.0</v>
      </c>
      <c r="I73" s="84">
        <v>4.0</v>
      </c>
      <c r="J73" s="94">
        <v>0.047</v>
      </c>
      <c r="K73" s="93">
        <v>0.9971</v>
      </c>
    </row>
    <row r="74" ht="22.5" customHeight="1">
      <c r="A74" s="12" t="s">
        <v>383</v>
      </c>
      <c r="B74" s="88" t="s">
        <v>502</v>
      </c>
      <c r="C74" s="59">
        <v>64.0</v>
      </c>
      <c r="D74" s="59">
        <v>2.0</v>
      </c>
      <c r="E74" s="61">
        <v>0.03</v>
      </c>
      <c r="F74" s="77">
        <v>0.0</v>
      </c>
      <c r="G74" s="73">
        <v>0.0</v>
      </c>
      <c r="H74" s="85">
        <v>0.0</v>
      </c>
      <c r="I74" s="84">
        <v>8.0</v>
      </c>
      <c r="J74" s="94">
        <v>0.129</v>
      </c>
      <c r="K74" s="93">
        <v>0.996</v>
      </c>
    </row>
    <row r="75" ht="22.5" customHeight="1">
      <c r="A75" s="12" t="s">
        <v>383</v>
      </c>
      <c r="B75" s="88" t="s">
        <v>503</v>
      </c>
      <c r="C75" s="59">
        <v>63.0</v>
      </c>
      <c r="D75" s="59">
        <v>0.0</v>
      </c>
      <c r="E75" s="61">
        <v>0.0</v>
      </c>
      <c r="F75" s="77">
        <v>3.0</v>
      </c>
      <c r="G75" s="73">
        <v>0.047619047619047616</v>
      </c>
      <c r="H75" s="85">
        <v>0.0</v>
      </c>
      <c r="I75" s="84">
        <v>4.0</v>
      </c>
      <c r="J75" s="94">
        <v>0.065</v>
      </c>
      <c r="K75" s="93">
        <v>0.9444</v>
      </c>
    </row>
    <row r="76" ht="22.5" customHeight="1">
      <c r="A76" s="12" t="s">
        <v>383</v>
      </c>
      <c r="B76" s="88" t="s">
        <v>504</v>
      </c>
      <c r="C76" s="59">
        <v>60.0</v>
      </c>
      <c r="D76" s="59">
        <v>1.0</v>
      </c>
      <c r="E76" s="61">
        <v>0.016</v>
      </c>
      <c r="F76" s="77">
        <v>1.0</v>
      </c>
      <c r="G76" s="73">
        <v>0.01639344262295082</v>
      </c>
      <c r="H76" s="85">
        <v>0.0</v>
      </c>
      <c r="I76" s="84">
        <v>2.0</v>
      </c>
      <c r="J76" s="94">
        <v>0.034</v>
      </c>
      <c r="K76" s="93">
        <v>1.0</v>
      </c>
    </row>
    <row r="77" ht="22.5" customHeight="1">
      <c r="A77" s="12" t="s">
        <v>383</v>
      </c>
      <c r="B77" s="88" t="s">
        <v>505</v>
      </c>
      <c r="C77" s="59">
        <v>60.0</v>
      </c>
      <c r="D77" s="59">
        <v>0.0</v>
      </c>
      <c r="E77" s="61">
        <v>0.0</v>
      </c>
      <c r="F77" s="77">
        <v>0.0</v>
      </c>
      <c r="G77" s="73">
        <v>0.0</v>
      </c>
      <c r="H77" s="85">
        <v>0.0</v>
      </c>
      <c r="I77" s="84">
        <v>7.0</v>
      </c>
      <c r="J77" s="94">
        <v>0.119</v>
      </c>
      <c r="K77" s="93">
        <v>0.9978</v>
      </c>
    </row>
    <row r="78" ht="22.5" customHeight="1">
      <c r="A78" s="12" t="s">
        <v>383</v>
      </c>
      <c r="B78" s="88" t="s">
        <v>506</v>
      </c>
      <c r="C78" s="59">
        <v>60.0</v>
      </c>
      <c r="D78" s="59">
        <v>0.0</v>
      </c>
      <c r="E78" s="61">
        <v>0.0</v>
      </c>
      <c r="F78" s="77">
        <v>2.0</v>
      </c>
      <c r="G78" s="73">
        <v>0.03333333333333333</v>
      </c>
      <c r="H78" s="85">
        <v>0.0</v>
      </c>
      <c r="I78" s="84">
        <v>10.0</v>
      </c>
      <c r="J78" s="94">
        <v>0.172</v>
      </c>
      <c r="K78" s="93">
        <v>0.9182</v>
      </c>
    </row>
    <row r="79" ht="22.5" customHeight="1">
      <c r="A79" s="12" t="s">
        <v>383</v>
      </c>
      <c r="B79" s="88" t="s">
        <v>492</v>
      </c>
      <c r="C79" s="59">
        <v>59.0</v>
      </c>
      <c r="D79" s="59">
        <v>0.0</v>
      </c>
      <c r="E79" s="61">
        <v>0.0</v>
      </c>
      <c r="F79" s="77">
        <v>1.0</v>
      </c>
      <c r="G79" s="73">
        <v>0.01694915254237288</v>
      </c>
      <c r="H79" s="85">
        <v>0.0</v>
      </c>
      <c r="I79" s="84">
        <v>2.0</v>
      </c>
      <c r="J79" s="94">
        <v>0.036</v>
      </c>
      <c r="K79" s="93">
        <v>0.9936</v>
      </c>
    </row>
    <row r="80" ht="22.5" customHeight="1">
      <c r="A80" s="12" t="s">
        <v>383</v>
      </c>
      <c r="B80" s="88" t="s">
        <v>507</v>
      </c>
      <c r="C80" s="62">
        <v>56.0</v>
      </c>
      <c r="D80" s="62">
        <v>0.0</v>
      </c>
      <c r="E80" s="95">
        <v>0.0</v>
      </c>
      <c r="F80" s="77">
        <v>3.0</v>
      </c>
      <c r="G80" s="73">
        <v>0.05357142857142857</v>
      </c>
      <c r="H80" s="85">
        <v>0.0</v>
      </c>
      <c r="I80" s="64">
        <v>1.0</v>
      </c>
      <c r="J80" s="63">
        <v>0.019</v>
      </c>
      <c r="K80" s="93">
        <v>0.9943</v>
      </c>
    </row>
    <row r="81" ht="22.5" customHeight="1">
      <c r="A81" s="12" t="s">
        <v>383</v>
      </c>
      <c r="B81" s="88" t="s">
        <v>508</v>
      </c>
      <c r="C81" s="62">
        <v>22.0</v>
      </c>
      <c r="D81" s="62">
        <v>1.0</v>
      </c>
      <c r="E81" s="95">
        <v>0.043</v>
      </c>
      <c r="F81" s="77">
        <v>1.0</v>
      </c>
      <c r="G81" s="73">
        <v>0.043478260869565216</v>
      </c>
      <c r="H81" s="85">
        <v>0.0</v>
      </c>
      <c r="I81" s="64">
        <v>3.0</v>
      </c>
      <c r="J81" s="63">
        <v>0.15</v>
      </c>
      <c r="K81" s="111">
        <v>1.0</v>
      </c>
    </row>
    <row r="82" ht="22.5" hidden="1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</row>
    <row r="83" ht="22.5" hidden="1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</row>
    <row r="84" ht="22.5" hidden="1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</row>
    <row r="85" ht="22.5" hidden="1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</row>
    <row r="86" ht="22.5" hidden="1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</row>
    <row r="87" ht="22.5" hidden="1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</row>
    <row r="88" ht="22.5" hidden="1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</row>
    <row r="89" ht="22.5" hidden="1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</row>
    <row r="90" ht="22.5" hidden="1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</row>
    <row r="91" ht="22.5" hidden="1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</row>
    <row r="92" ht="22.5" hidden="1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</row>
    <row r="93" ht="22.5" hidden="1" customHeight="1">
      <c r="A93" s="112"/>
      <c r="B93" s="113"/>
      <c r="C93" s="114"/>
      <c r="D93" s="115"/>
      <c r="E93" s="115"/>
      <c r="F93" s="112"/>
      <c r="G93" s="112"/>
      <c r="H93" s="112"/>
      <c r="I93" s="112"/>
      <c r="J93" s="112"/>
      <c r="K93" s="112"/>
    </row>
    <row r="94" ht="22.5" hidden="1" customHeight="1">
      <c r="A94" s="112"/>
      <c r="B94" s="116"/>
      <c r="C94" s="117"/>
      <c r="D94" s="118"/>
      <c r="E94" s="119"/>
      <c r="F94" s="112"/>
      <c r="G94" s="112"/>
      <c r="H94" s="112"/>
      <c r="I94" s="112"/>
      <c r="J94" s="112"/>
      <c r="K94" s="112"/>
    </row>
    <row r="95" ht="22.5" hidden="1" customHeight="1">
      <c r="A95" s="112"/>
      <c r="B95" s="116"/>
      <c r="C95" s="117"/>
      <c r="D95" s="118"/>
      <c r="E95" s="119"/>
      <c r="F95" s="112"/>
      <c r="G95" s="112"/>
      <c r="H95" s="112"/>
      <c r="I95" s="112"/>
      <c r="J95" s="112"/>
      <c r="K95" s="112"/>
    </row>
    <row r="96" ht="22.5" hidden="1" customHeight="1">
      <c r="A96" s="112"/>
      <c r="B96" s="116"/>
      <c r="C96" s="117"/>
      <c r="D96" s="118"/>
      <c r="E96" s="119"/>
      <c r="F96" s="112"/>
      <c r="G96" s="112"/>
      <c r="H96" s="112"/>
      <c r="I96" s="112"/>
      <c r="J96" s="112"/>
      <c r="K96" s="112"/>
    </row>
    <row r="97" ht="22.5" hidden="1" customHeight="1">
      <c r="A97" s="112"/>
      <c r="B97" s="116"/>
      <c r="C97" s="117"/>
      <c r="D97" s="118"/>
      <c r="E97" s="119"/>
      <c r="F97" s="112"/>
      <c r="G97" s="112"/>
      <c r="H97" s="112"/>
      <c r="I97" s="112"/>
      <c r="J97" s="112"/>
      <c r="K97" s="112"/>
    </row>
    <row r="98" ht="22.5" hidden="1" customHeight="1">
      <c r="A98" s="112"/>
      <c r="B98" s="116"/>
      <c r="C98" s="117"/>
      <c r="D98" s="118"/>
      <c r="E98" s="119"/>
      <c r="F98" s="112"/>
      <c r="G98" s="112"/>
      <c r="H98" s="112"/>
      <c r="I98" s="112"/>
      <c r="J98" s="112"/>
      <c r="K98" s="112"/>
    </row>
    <row r="99" ht="22.5" hidden="1" customHeight="1">
      <c r="A99" s="112"/>
      <c r="B99" s="116"/>
      <c r="C99" s="117"/>
      <c r="D99" s="118"/>
      <c r="E99" s="119"/>
      <c r="F99" s="112"/>
      <c r="G99" s="112"/>
      <c r="H99" s="112"/>
      <c r="I99" s="112"/>
      <c r="J99" s="112"/>
      <c r="K99" s="112"/>
    </row>
    <row r="100" ht="22.5" hidden="1" customHeight="1">
      <c r="A100" s="112"/>
      <c r="B100" s="116"/>
      <c r="C100" s="117"/>
      <c r="D100" s="118"/>
      <c r="E100" s="119"/>
      <c r="F100" s="112"/>
      <c r="G100" s="112"/>
      <c r="H100" s="112"/>
      <c r="I100" s="112"/>
      <c r="J100" s="112"/>
      <c r="K100" s="112"/>
    </row>
    <row r="101" ht="22.5" hidden="1" customHeight="1">
      <c r="A101" s="112"/>
      <c r="B101" s="116"/>
      <c r="C101" s="117"/>
      <c r="D101" s="118"/>
      <c r="E101" s="119"/>
      <c r="F101" s="112"/>
      <c r="G101" s="112"/>
      <c r="H101" s="112"/>
      <c r="I101" s="112"/>
      <c r="J101" s="112"/>
      <c r="K101" s="112"/>
    </row>
    <row r="102" ht="22.5" hidden="1" customHeight="1">
      <c r="A102" s="112"/>
      <c r="B102" s="116"/>
      <c r="C102" s="117"/>
      <c r="D102" s="118"/>
      <c r="E102" s="119"/>
      <c r="F102" s="112"/>
      <c r="G102" s="112"/>
      <c r="H102" s="112"/>
      <c r="I102" s="112"/>
      <c r="J102" s="112"/>
      <c r="K102" s="112"/>
    </row>
    <row r="103" ht="22.5" hidden="1" customHeight="1">
      <c r="A103" s="112"/>
      <c r="B103" s="116"/>
      <c r="C103" s="117"/>
      <c r="D103" s="118"/>
      <c r="E103" s="119"/>
      <c r="F103" s="112"/>
      <c r="G103" s="112"/>
      <c r="H103" s="112"/>
      <c r="I103" s="112"/>
      <c r="J103" s="112"/>
      <c r="K103" s="112"/>
    </row>
    <row r="104" ht="22.5" hidden="1" customHeight="1">
      <c r="A104" s="112"/>
      <c r="B104" s="116"/>
      <c r="C104" s="117"/>
      <c r="D104" s="118"/>
      <c r="E104" s="119"/>
      <c r="F104" s="112"/>
      <c r="G104" s="112"/>
      <c r="H104" s="112"/>
      <c r="I104" s="112"/>
      <c r="J104" s="112"/>
      <c r="K104" s="112"/>
    </row>
    <row r="105" ht="22.5" hidden="1" customHeight="1">
      <c r="A105" s="112"/>
      <c r="B105" s="116"/>
      <c r="C105" s="117"/>
      <c r="D105" s="118"/>
      <c r="E105" s="119"/>
      <c r="F105" s="112"/>
      <c r="G105" s="112"/>
      <c r="H105" s="112"/>
      <c r="I105" s="112"/>
      <c r="J105" s="112"/>
      <c r="K105" s="112"/>
    </row>
    <row r="106" ht="22.5" hidden="1" customHeight="1">
      <c r="A106" s="112"/>
      <c r="B106" s="116"/>
      <c r="C106" s="117"/>
      <c r="D106" s="118"/>
      <c r="E106" s="119"/>
      <c r="F106" s="112"/>
      <c r="G106" s="112"/>
      <c r="H106" s="112"/>
      <c r="I106" s="112"/>
      <c r="J106" s="112"/>
      <c r="K106" s="112"/>
    </row>
    <row r="107" ht="22.5" hidden="1" customHeight="1">
      <c r="A107" s="112"/>
      <c r="B107" s="116"/>
      <c r="C107" s="117"/>
      <c r="D107" s="118"/>
      <c r="E107" s="119"/>
      <c r="F107" s="112"/>
      <c r="G107" s="112"/>
      <c r="H107" s="112"/>
      <c r="I107" s="112"/>
      <c r="J107" s="112"/>
      <c r="K107" s="112"/>
    </row>
    <row r="108" ht="22.5" hidden="1" customHeight="1">
      <c r="A108" s="112"/>
      <c r="B108" s="116"/>
      <c r="C108" s="117"/>
      <c r="D108" s="118"/>
      <c r="E108" s="119"/>
      <c r="F108" s="112"/>
      <c r="G108" s="112"/>
      <c r="H108" s="112"/>
      <c r="I108" s="112"/>
      <c r="J108" s="112"/>
      <c r="K108" s="112"/>
    </row>
    <row r="109" ht="22.5" hidden="1" customHeight="1">
      <c r="A109" s="112"/>
      <c r="B109" s="116"/>
      <c r="C109" s="117"/>
      <c r="D109" s="118"/>
      <c r="E109" s="119"/>
      <c r="F109" s="112"/>
      <c r="G109" s="112"/>
      <c r="H109" s="112"/>
      <c r="I109" s="112"/>
      <c r="J109" s="112"/>
      <c r="K109" s="112"/>
    </row>
    <row r="110" ht="22.5" hidden="1" customHeight="1">
      <c r="A110" s="112"/>
      <c r="B110" s="116"/>
      <c r="C110" s="117"/>
      <c r="D110" s="118"/>
      <c r="E110" s="119"/>
      <c r="F110" s="112"/>
      <c r="G110" s="112"/>
      <c r="H110" s="112"/>
      <c r="I110" s="112"/>
      <c r="J110" s="112"/>
      <c r="K110" s="112"/>
    </row>
    <row r="111" ht="22.5" hidden="1" customHeight="1">
      <c r="A111" s="112"/>
      <c r="B111" s="116"/>
      <c r="C111" s="117"/>
      <c r="D111" s="118"/>
      <c r="E111" s="119"/>
      <c r="F111" s="112"/>
      <c r="G111" s="112"/>
      <c r="H111" s="112"/>
      <c r="I111" s="112"/>
      <c r="J111" s="112"/>
      <c r="K111" s="112"/>
    </row>
    <row r="112" ht="22.5" hidden="1" customHeight="1">
      <c r="A112" s="112"/>
      <c r="B112" s="116"/>
      <c r="C112" s="117"/>
      <c r="D112" s="118"/>
      <c r="E112" s="119"/>
      <c r="F112" s="112"/>
      <c r="G112" s="112"/>
      <c r="H112" s="112"/>
      <c r="I112" s="112"/>
      <c r="J112" s="112"/>
      <c r="K112" s="112"/>
    </row>
    <row r="113" ht="22.5" hidden="1" customHeight="1">
      <c r="A113" s="112"/>
      <c r="B113" s="116"/>
      <c r="C113" s="117"/>
      <c r="D113" s="118"/>
      <c r="E113" s="119"/>
      <c r="F113" s="112"/>
      <c r="G113" s="112"/>
      <c r="H113" s="112"/>
      <c r="I113" s="112"/>
      <c r="J113" s="112"/>
      <c r="K113" s="112"/>
    </row>
    <row r="114" ht="22.5" hidden="1" customHeight="1">
      <c r="A114" s="112"/>
      <c r="B114" s="122"/>
      <c r="C114" s="123"/>
      <c r="D114" s="112"/>
      <c r="E114" s="112"/>
      <c r="F114" s="112"/>
      <c r="G114" s="112"/>
      <c r="H114" s="112"/>
      <c r="I114" s="112"/>
      <c r="J114" s="112"/>
      <c r="K114" s="112"/>
    </row>
    <row r="115" ht="22.5" hidden="1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</row>
    <row r="116" ht="22.5" hidden="1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</row>
    <row r="117" ht="22.5" hidden="1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</row>
    <row r="118" ht="22.5" hidden="1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</row>
    <row r="119" ht="22.5" hidden="1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</row>
    <row r="120" ht="22.5" hidden="1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</row>
    <row r="121" ht="22.5" hidden="1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</row>
    <row r="122" ht="22.5" hidden="1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</row>
    <row r="123" ht="22.5" hidden="1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</row>
    <row r="124" ht="22.5" hidden="1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</row>
    <row r="125" ht="22.5" hidden="1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</row>
    <row r="126" ht="22.5" hidden="1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</row>
    <row r="127" ht="22.5" hidden="1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</row>
    <row r="128" ht="22.5" hidden="1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</row>
    <row r="129" ht="22.5" hidden="1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</row>
    <row r="130" ht="22.5" hidden="1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</row>
    <row r="131" ht="22.5" hidden="1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</row>
    <row r="132" ht="22.5" hidden="1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</row>
    <row r="133" ht="22.5" hidden="1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</row>
    <row r="134" ht="22.5" hidden="1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</row>
    <row r="135" ht="22.5" hidden="1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</row>
    <row r="136" ht="22.5" hidden="1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</row>
    <row r="137" ht="22.5" hidden="1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</row>
    <row r="138" ht="22.5" hidden="1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</row>
    <row r="139" ht="22.5" hidden="1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</row>
    <row r="140" ht="22.5" hidden="1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</row>
    <row r="141" ht="22.5" hidden="1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</row>
    <row r="142" ht="22.5" hidden="1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</row>
    <row r="143" ht="22.5" hidden="1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</row>
    <row r="144" ht="22.5" hidden="1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</row>
    <row r="145" ht="22.5" hidden="1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</row>
    <row r="146" ht="22.5" hidden="1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</row>
    <row r="147" ht="22.5" hidden="1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</row>
    <row r="148" ht="22.5" hidden="1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</row>
    <row r="149" ht="22.5" hidden="1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</row>
    <row r="150" ht="22.5" hidden="1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</row>
    <row r="151" ht="22.5" hidden="1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</row>
    <row r="152" ht="22.5" hidden="1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</row>
    <row r="153" ht="22.5" hidden="1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</row>
    <row r="154" ht="22.5" hidden="1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</row>
    <row r="155" ht="22.5" hidden="1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</row>
    <row r="156" ht="22.5" hidden="1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</row>
    <row r="157" ht="22.5" hidden="1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</row>
    <row r="158" ht="22.5" hidden="1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</row>
    <row r="159" ht="22.5" hidden="1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</row>
    <row r="160" ht="22.5" hidden="1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</row>
    <row r="161" ht="22.5" hidden="1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</row>
    <row r="162" ht="22.5" hidden="1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</row>
    <row r="163" ht="22.5" hidden="1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</row>
    <row r="164" ht="22.5" hidden="1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</row>
    <row r="165" ht="22.5" hidden="1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</row>
    <row r="166" ht="22.5" hidden="1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</row>
    <row r="167" ht="22.5" hidden="1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</row>
    <row r="168" ht="22.5" hidden="1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</row>
    <row r="169" ht="22.5" hidden="1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</row>
    <row r="170" ht="22.5" hidden="1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</row>
    <row r="171" ht="22.5" hidden="1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</row>
    <row r="172" ht="22.5" hidden="1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</row>
    <row r="173" ht="22.5" hidden="1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</row>
    <row r="174" ht="22.5" hidden="1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</row>
    <row r="175" ht="22.5" hidden="1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</row>
    <row r="176" ht="22.5" hidden="1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</row>
    <row r="177" ht="22.5" hidden="1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</row>
    <row r="178" ht="22.5" hidden="1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</row>
    <row r="179" ht="22.5" hidden="1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</row>
    <row r="180" ht="22.5" hidden="1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</row>
    <row r="181" ht="22.5" hidden="1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</row>
    <row r="182" ht="22.5" hidden="1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</row>
    <row r="183" ht="22.5" hidden="1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</row>
    <row r="184" ht="22.5" hidden="1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</row>
    <row r="185" ht="22.5" hidden="1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</row>
    <row r="186" ht="22.5" hidden="1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</row>
    <row r="187" ht="22.5" hidden="1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</row>
    <row r="188" ht="22.5" hidden="1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</row>
    <row r="189" ht="22.5" hidden="1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</row>
    <row r="190" ht="22.5" hidden="1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</row>
    <row r="191" ht="22.5" hidden="1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</row>
    <row r="192" ht="22.5" hidden="1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</row>
    <row r="193" ht="22.5" hidden="1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</row>
    <row r="194" ht="22.5" hidden="1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</row>
    <row r="195" ht="22.5" hidden="1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</row>
    <row r="196" ht="22.5" hidden="1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</row>
    <row r="197" ht="22.5" hidden="1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</row>
    <row r="198" ht="22.5" hidden="1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</row>
    <row r="199" ht="22.5" hidden="1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</row>
    <row r="200" ht="22.5" hidden="1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</row>
    <row r="201" ht="22.5" hidden="1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</row>
    <row r="202" ht="22.5" hidden="1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</row>
    <row r="203" ht="22.5" hidden="1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</row>
    <row r="204" ht="22.5" hidden="1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</row>
    <row r="205" ht="22.5" hidden="1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</row>
    <row r="206" ht="22.5" hidden="1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</row>
    <row r="207" ht="22.5" hidden="1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</row>
    <row r="208" ht="22.5" hidden="1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</row>
    <row r="209" ht="22.5" hidden="1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</row>
    <row r="210" ht="22.5" hidden="1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</row>
    <row r="211" ht="22.5" hidden="1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</row>
    <row r="212" ht="22.5" hidden="1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</row>
    <row r="213" ht="22.5" hidden="1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</row>
    <row r="214" ht="22.5" hidden="1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</row>
    <row r="215" ht="22.5" hidden="1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</row>
    <row r="216" ht="22.5" hidden="1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</row>
    <row r="217" ht="22.5" hidden="1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</row>
    <row r="218" ht="22.5" hidden="1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</row>
    <row r="219" ht="22.5" hidden="1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</row>
    <row r="220" ht="22.5" hidden="1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</row>
    <row r="221" ht="22.5" hidden="1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</row>
    <row r="222" ht="22.5" hidden="1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</row>
    <row r="223" ht="22.5" hidden="1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</row>
    <row r="224" ht="22.5" hidden="1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</row>
    <row r="225" ht="22.5" hidden="1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</row>
    <row r="226" ht="22.5" hidden="1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</row>
    <row r="227" ht="22.5" hidden="1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</row>
    <row r="228" ht="22.5" hidden="1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</row>
    <row r="229" ht="22.5" hidden="1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</row>
    <row r="230" ht="22.5" hidden="1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</row>
    <row r="231" ht="22.5" hidden="1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</row>
    <row r="232" ht="22.5" hidden="1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</row>
    <row r="233" ht="22.5" hidden="1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</row>
    <row r="234" ht="22.5" hidden="1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</row>
    <row r="235" ht="22.5" hidden="1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</row>
    <row r="236" ht="22.5" hidden="1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</row>
    <row r="237" ht="22.5" hidden="1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</row>
    <row r="238" ht="22.5" hidden="1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</row>
    <row r="239" ht="22.5" hidden="1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</row>
    <row r="240" ht="22.5" hidden="1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</row>
    <row r="241" ht="22.5" hidden="1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</row>
    <row r="242" ht="22.5" hidden="1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</row>
    <row r="243" ht="22.5" hidden="1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</row>
    <row r="244" ht="22.5" hidden="1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</row>
    <row r="245" ht="22.5" hidden="1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</row>
    <row r="246" ht="22.5" hidden="1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</row>
    <row r="247" ht="22.5" hidden="1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</row>
    <row r="248" ht="22.5" hidden="1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</row>
    <row r="249" ht="22.5" hidden="1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</row>
    <row r="250" ht="22.5" hidden="1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</row>
    <row r="251" ht="22.5" hidden="1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</row>
    <row r="252" ht="22.5" hidden="1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</row>
    <row r="253" ht="22.5" hidden="1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</row>
    <row r="254" ht="22.5" hidden="1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</row>
    <row r="255" ht="22.5" hidden="1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</row>
    <row r="256" ht="22.5" hidden="1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</row>
    <row r="257" ht="22.5" hidden="1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</row>
    <row r="258" ht="22.5" hidden="1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</row>
    <row r="259" ht="22.5" hidden="1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</row>
    <row r="260" ht="22.5" hidden="1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</row>
    <row r="261" ht="22.5" hidden="1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</row>
    <row r="262" ht="22.5" hidden="1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</row>
    <row r="263" ht="22.5" hidden="1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</row>
    <row r="264" ht="22.5" hidden="1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</row>
    <row r="265" ht="22.5" hidden="1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</row>
    <row r="266" ht="22.5" hidden="1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</row>
    <row r="267" ht="22.5" hidden="1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</row>
    <row r="268" ht="22.5" hidden="1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</row>
    <row r="269" ht="22.5" hidden="1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</row>
    <row r="270" ht="22.5" hidden="1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</row>
    <row r="271" ht="22.5" hidden="1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</row>
    <row r="272" ht="22.5" hidden="1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</row>
    <row r="273" ht="22.5" hidden="1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</row>
    <row r="274" ht="22.5" hidden="1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</row>
    <row r="275" ht="22.5" hidden="1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</row>
    <row r="276" ht="22.5" hidden="1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</row>
    <row r="277" ht="22.5" hidden="1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</row>
    <row r="278" ht="22.5" hidden="1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</row>
    <row r="279" ht="22.5" hidden="1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</row>
    <row r="280" ht="22.5" hidden="1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</row>
    <row r="281" ht="22.5" hidden="1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</row>
    <row r="282" ht="22.5" hidden="1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</row>
    <row r="283" ht="22.5" hidden="1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</row>
    <row r="284" ht="22.5" hidden="1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</row>
    <row r="285" ht="22.5" hidden="1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</row>
    <row r="286" ht="22.5" hidden="1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</row>
    <row r="287" ht="22.5" hidden="1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</row>
    <row r="288" ht="22.5" hidden="1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</row>
    <row r="289" ht="22.5" hidden="1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</row>
    <row r="290" ht="22.5" hidden="1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</row>
    <row r="291" ht="22.5" hidden="1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</row>
    <row r="292" ht="22.5" hidden="1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</row>
    <row r="293" ht="22.5" hidden="1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</row>
    <row r="294" ht="22.5" hidden="1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</row>
    <row r="295" ht="22.5" hidden="1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</row>
    <row r="296" ht="22.5" hidden="1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</row>
    <row r="297" ht="22.5" hidden="1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</row>
    <row r="298" ht="22.5" hidden="1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</row>
    <row r="299" ht="22.5" hidden="1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</row>
    <row r="300" ht="22.5" hidden="1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</row>
    <row r="301" ht="22.5" hidden="1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</row>
    <row r="302" ht="22.5" hidden="1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</row>
    <row r="303" ht="22.5" hidden="1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</row>
    <row r="304" ht="22.5" hidden="1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</row>
    <row r="305" ht="22.5" hidden="1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</row>
    <row r="306" ht="22.5" hidden="1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</row>
    <row r="307" ht="22.5" hidden="1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</row>
    <row r="308" ht="22.5" hidden="1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</row>
    <row r="309" ht="22.5" hidden="1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</row>
    <row r="310" ht="22.5" hidden="1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</row>
    <row r="311" ht="22.5" hidden="1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</row>
    <row r="312" ht="22.5" hidden="1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</row>
    <row r="313" ht="22.5" hidden="1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</row>
    <row r="314" ht="22.5" hidden="1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</row>
    <row r="315" ht="22.5" hidden="1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</row>
    <row r="316" ht="22.5" hidden="1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</row>
    <row r="317" ht="22.5" hidden="1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</row>
    <row r="318" ht="22.5" hidden="1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</row>
    <row r="319" ht="22.5" hidden="1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</row>
    <row r="320" ht="22.5" hidden="1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</row>
    <row r="321" ht="22.5" hidden="1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</row>
    <row r="322" ht="22.5" hidden="1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</row>
    <row r="323" ht="22.5" hidden="1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</row>
    <row r="324" ht="22.5" hidden="1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</row>
    <row r="325" ht="22.5" hidden="1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</row>
    <row r="326" ht="22.5" hidden="1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</row>
    <row r="327" ht="22.5" hidden="1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</row>
    <row r="328" ht="22.5" hidden="1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</row>
    <row r="329" ht="22.5" hidden="1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</row>
    <row r="330" ht="22.5" hidden="1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</row>
    <row r="331" ht="22.5" hidden="1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</row>
    <row r="332" ht="22.5" hidden="1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</row>
    <row r="333" ht="22.5" hidden="1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</row>
    <row r="334" ht="22.5" hidden="1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</row>
    <row r="335" ht="22.5" hidden="1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</row>
    <row r="336" ht="22.5" hidden="1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</row>
    <row r="337" ht="22.5" hidden="1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</row>
    <row r="338" ht="22.5" hidden="1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</row>
    <row r="339" ht="22.5" hidden="1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</row>
    <row r="340" ht="22.5" hidden="1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</row>
    <row r="341" ht="22.5" hidden="1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</row>
    <row r="342" ht="22.5" hidden="1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</row>
    <row r="343" ht="22.5" hidden="1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</row>
    <row r="344" ht="22.5" hidden="1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</row>
    <row r="345" ht="22.5" hidden="1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</row>
    <row r="346" ht="22.5" hidden="1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</row>
    <row r="347" ht="22.5" hidden="1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</row>
    <row r="348" ht="22.5" hidden="1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</row>
    <row r="349" ht="22.5" hidden="1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</row>
    <row r="350" ht="22.5" hidden="1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</row>
    <row r="351" ht="22.5" hidden="1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</row>
    <row r="352" ht="22.5" hidden="1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</row>
    <row r="353" ht="22.5" hidden="1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</row>
    <row r="354" ht="22.5" hidden="1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</row>
    <row r="355" ht="22.5" hidden="1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</row>
    <row r="356" ht="22.5" hidden="1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</row>
    <row r="357" ht="22.5" hidden="1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</row>
    <row r="358" ht="22.5" hidden="1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</row>
    <row r="359" ht="22.5" hidden="1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</row>
    <row r="360" ht="22.5" hidden="1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</row>
    <row r="361" ht="22.5" hidden="1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</row>
    <row r="362" ht="22.5" hidden="1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</row>
    <row r="363" ht="22.5" hidden="1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</row>
    <row r="364" ht="22.5" hidden="1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</row>
    <row r="365" ht="22.5" hidden="1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</row>
    <row r="366" ht="22.5" hidden="1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</row>
    <row r="367" ht="22.5" hidden="1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</row>
    <row r="368" ht="22.5" hidden="1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</row>
    <row r="369" ht="22.5" hidden="1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</row>
    <row r="370" ht="22.5" hidden="1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</row>
    <row r="371" ht="22.5" hidden="1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</row>
    <row r="372" ht="22.5" hidden="1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</row>
    <row r="373" ht="22.5" hidden="1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</row>
    <row r="374" ht="22.5" hidden="1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</row>
    <row r="375" ht="22.5" hidden="1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</row>
    <row r="376" ht="22.5" hidden="1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</row>
    <row r="377" ht="22.5" hidden="1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</row>
    <row r="378" ht="22.5" hidden="1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</row>
    <row r="379" ht="22.5" hidden="1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</row>
    <row r="380" ht="22.5" hidden="1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</row>
    <row r="381" ht="22.5" hidden="1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</row>
    <row r="382" ht="22.5" hidden="1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</row>
    <row r="383" ht="22.5" hidden="1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</row>
    <row r="384" ht="22.5" hidden="1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</row>
    <row r="385" ht="22.5" hidden="1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</row>
    <row r="386" ht="22.5" hidden="1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</row>
    <row r="387" ht="22.5" hidden="1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</row>
    <row r="388" ht="22.5" hidden="1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</row>
    <row r="389" ht="22.5" hidden="1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</row>
    <row r="390" ht="22.5" hidden="1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</row>
    <row r="391" ht="22.5" hidden="1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</row>
    <row r="392" ht="22.5" hidden="1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</row>
    <row r="393" ht="22.5" hidden="1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</row>
    <row r="394" ht="22.5" hidden="1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</row>
    <row r="395" ht="22.5" hidden="1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</row>
    <row r="396" ht="22.5" hidden="1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</row>
    <row r="397" ht="22.5" hidden="1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</row>
    <row r="398" ht="22.5" hidden="1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</row>
    <row r="399" ht="22.5" hidden="1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</row>
    <row r="400" ht="22.5" hidden="1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</row>
    <row r="401" ht="22.5" hidden="1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</row>
    <row r="402" ht="22.5" hidden="1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</row>
    <row r="403" ht="22.5" hidden="1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</row>
    <row r="404" ht="22.5" hidden="1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</row>
    <row r="405" ht="22.5" hidden="1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</row>
    <row r="406" ht="22.5" hidden="1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</row>
    <row r="407" ht="22.5" hidden="1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</row>
    <row r="408" ht="22.5" hidden="1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</row>
    <row r="409" ht="22.5" hidden="1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</row>
    <row r="410" ht="22.5" hidden="1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</row>
    <row r="411" ht="22.5" hidden="1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</row>
    <row r="412" ht="22.5" hidden="1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</row>
    <row r="413" ht="22.5" hidden="1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</row>
    <row r="414" ht="22.5" hidden="1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</row>
    <row r="415" ht="22.5" hidden="1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</row>
    <row r="416" ht="22.5" hidden="1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</row>
    <row r="417" ht="22.5" hidden="1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</row>
    <row r="418" ht="22.5" hidden="1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</row>
    <row r="419" ht="22.5" hidden="1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</row>
    <row r="420" ht="22.5" hidden="1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</row>
    <row r="421" ht="22.5" hidden="1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</row>
    <row r="422" ht="22.5" hidden="1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</row>
    <row r="423" ht="22.5" hidden="1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</row>
    <row r="424" ht="22.5" hidden="1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</row>
    <row r="425" ht="22.5" hidden="1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</row>
    <row r="426" ht="22.5" hidden="1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</row>
    <row r="427" ht="22.5" hidden="1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</row>
    <row r="428" ht="22.5" hidden="1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</row>
    <row r="429" ht="22.5" hidden="1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</row>
    <row r="430" ht="22.5" hidden="1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</row>
    <row r="431" ht="22.5" hidden="1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</row>
    <row r="432" ht="22.5" hidden="1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</row>
    <row r="433" ht="22.5" hidden="1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</row>
    <row r="434" ht="22.5" hidden="1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</row>
    <row r="435" ht="22.5" hidden="1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</row>
    <row r="436" ht="22.5" hidden="1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</row>
    <row r="437" ht="22.5" hidden="1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</row>
    <row r="438" ht="22.5" hidden="1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</row>
    <row r="439" ht="22.5" hidden="1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</row>
    <row r="440" ht="22.5" hidden="1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</row>
    <row r="441" ht="22.5" hidden="1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</row>
    <row r="442" ht="22.5" hidden="1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</row>
    <row r="443" ht="22.5" hidden="1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</row>
    <row r="444" ht="22.5" hidden="1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</row>
    <row r="445" ht="22.5" hidden="1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</row>
    <row r="446" ht="22.5" hidden="1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</row>
    <row r="447" ht="22.5" hidden="1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</row>
    <row r="448" ht="22.5" hidden="1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</row>
    <row r="449" ht="22.5" hidden="1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</row>
    <row r="450" ht="22.5" hidden="1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</row>
    <row r="451" ht="22.5" hidden="1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</row>
    <row r="452" ht="22.5" hidden="1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</row>
    <row r="453" ht="22.5" hidden="1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</row>
    <row r="454" ht="22.5" hidden="1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</row>
    <row r="455" ht="22.5" hidden="1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</row>
    <row r="456" ht="22.5" hidden="1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</row>
    <row r="457" ht="22.5" hidden="1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</row>
    <row r="458" ht="22.5" hidden="1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</row>
    <row r="459" ht="22.5" hidden="1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</row>
    <row r="460" ht="22.5" hidden="1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</row>
    <row r="461" ht="22.5" hidden="1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</row>
    <row r="462" ht="22.5" hidden="1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</row>
    <row r="463" ht="22.5" hidden="1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</row>
    <row r="464" ht="22.5" hidden="1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</row>
    <row r="465" ht="22.5" hidden="1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</row>
    <row r="466" ht="22.5" hidden="1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</row>
    <row r="467" ht="22.5" hidden="1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</row>
    <row r="468" ht="22.5" hidden="1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</row>
    <row r="469" ht="22.5" hidden="1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</row>
    <row r="470" ht="22.5" hidden="1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</row>
    <row r="471" ht="22.5" hidden="1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</row>
    <row r="472" ht="22.5" hidden="1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</row>
    <row r="473" ht="22.5" hidden="1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</row>
    <row r="474" ht="22.5" hidden="1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</row>
    <row r="475" ht="22.5" hidden="1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</row>
    <row r="476" ht="22.5" hidden="1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</row>
    <row r="477" ht="22.5" hidden="1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</row>
    <row r="478" ht="22.5" hidden="1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</row>
    <row r="479" ht="22.5" hidden="1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</row>
    <row r="480" ht="22.5" hidden="1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</row>
    <row r="481" ht="22.5" hidden="1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</row>
    <row r="482" ht="22.5" hidden="1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</row>
    <row r="483" ht="22.5" hidden="1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</row>
    <row r="484" ht="22.5" hidden="1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</row>
    <row r="485" ht="22.5" hidden="1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</row>
    <row r="486" ht="22.5" hidden="1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</row>
    <row r="487" ht="22.5" hidden="1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</row>
    <row r="488" ht="22.5" hidden="1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</row>
    <row r="489" ht="22.5" hidden="1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</row>
    <row r="490" ht="22.5" hidden="1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</row>
    <row r="491" ht="22.5" hidden="1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</row>
    <row r="492" ht="22.5" hidden="1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</row>
    <row r="493" ht="22.5" hidden="1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</row>
    <row r="494" ht="22.5" hidden="1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</row>
    <row r="495" ht="22.5" hidden="1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</row>
    <row r="496" ht="22.5" hidden="1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</row>
    <row r="497" ht="22.5" hidden="1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</row>
    <row r="498" ht="22.5" hidden="1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</row>
    <row r="499" ht="22.5" hidden="1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</row>
    <row r="500" ht="22.5" hidden="1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</row>
    <row r="501" ht="22.5" hidden="1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</row>
    <row r="502" ht="22.5" hidden="1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</row>
    <row r="503" ht="22.5" hidden="1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</row>
    <row r="504" ht="22.5" hidden="1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</row>
    <row r="505" ht="22.5" hidden="1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</row>
    <row r="506" ht="22.5" hidden="1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</row>
    <row r="507" ht="22.5" hidden="1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</row>
    <row r="508" ht="22.5" hidden="1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</row>
    <row r="509" ht="22.5" hidden="1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</row>
    <row r="510" ht="22.5" hidden="1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</row>
    <row r="511" ht="22.5" hidden="1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</row>
    <row r="512" ht="22.5" hidden="1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</row>
    <row r="513" ht="22.5" hidden="1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</row>
    <row r="514" ht="22.5" hidden="1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</row>
    <row r="515" ht="22.5" hidden="1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</row>
    <row r="516" ht="22.5" hidden="1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</row>
    <row r="517" ht="22.5" hidden="1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</row>
    <row r="518" ht="22.5" hidden="1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</row>
    <row r="519" ht="22.5" hidden="1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</row>
    <row r="520" ht="22.5" hidden="1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</row>
    <row r="521" ht="22.5" hidden="1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</row>
    <row r="522" ht="22.5" hidden="1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</row>
    <row r="523" ht="22.5" hidden="1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</row>
    <row r="524" ht="22.5" hidden="1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</row>
    <row r="525" ht="22.5" hidden="1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</row>
    <row r="526" ht="22.5" hidden="1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</row>
    <row r="527" ht="22.5" hidden="1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</row>
    <row r="528" ht="22.5" hidden="1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</row>
    <row r="529" ht="22.5" hidden="1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</row>
    <row r="530" ht="22.5" hidden="1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</row>
    <row r="531" ht="22.5" hidden="1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</row>
    <row r="532" ht="22.5" hidden="1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</row>
    <row r="533" ht="22.5" hidden="1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</row>
    <row r="534" ht="22.5" hidden="1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</row>
    <row r="535" ht="22.5" hidden="1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</row>
    <row r="536" ht="22.5" hidden="1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</row>
    <row r="537" ht="22.5" hidden="1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</row>
    <row r="538" ht="22.5" hidden="1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</row>
    <row r="539" ht="22.5" hidden="1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</row>
    <row r="540" ht="22.5" hidden="1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</row>
    <row r="541" ht="22.5" hidden="1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</row>
    <row r="542" ht="22.5" hidden="1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</row>
    <row r="543" ht="22.5" hidden="1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</row>
    <row r="544" ht="22.5" hidden="1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</row>
    <row r="545" ht="22.5" hidden="1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</row>
    <row r="546" ht="22.5" hidden="1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</row>
    <row r="547" ht="22.5" hidden="1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</row>
    <row r="548" ht="22.5" hidden="1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</row>
    <row r="549" ht="22.5" hidden="1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</row>
    <row r="550" ht="22.5" hidden="1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</row>
    <row r="551" ht="22.5" hidden="1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</row>
    <row r="552" ht="22.5" hidden="1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</row>
    <row r="553" ht="22.5" hidden="1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</row>
    <row r="554" ht="22.5" hidden="1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</row>
    <row r="555" ht="22.5" hidden="1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</row>
    <row r="556" ht="22.5" hidden="1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</row>
    <row r="557" ht="22.5" hidden="1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</row>
    <row r="558" ht="22.5" hidden="1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</row>
    <row r="559" ht="22.5" hidden="1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</row>
    <row r="560" ht="22.5" hidden="1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</row>
    <row r="561" ht="22.5" hidden="1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</row>
    <row r="562" ht="22.5" hidden="1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</row>
    <row r="563" ht="22.5" hidden="1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</row>
    <row r="564" ht="22.5" hidden="1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</row>
    <row r="565" ht="22.5" hidden="1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</row>
    <row r="566" ht="22.5" hidden="1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</row>
    <row r="567" ht="22.5" hidden="1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</row>
    <row r="568" ht="22.5" hidden="1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</row>
    <row r="569" ht="22.5" hidden="1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</row>
    <row r="570" ht="22.5" hidden="1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</row>
    <row r="571" ht="22.5" hidden="1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</row>
    <row r="572" ht="22.5" hidden="1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</row>
    <row r="573" ht="22.5" hidden="1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</row>
    <row r="574" ht="22.5" hidden="1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</row>
    <row r="575" ht="22.5" hidden="1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</row>
    <row r="576" ht="22.5" hidden="1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</row>
    <row r="577" ht="22.5" hidden="1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</row>
    <row r="578" ht="22.5" hidden="1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</row>
    <row r="579" ht="22.5" hidden="1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</row>
    <row r="580" ht="22.5" hidden="1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</row>
    <row r="581" ht="22.5" hidden="1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</row>
    <row r="582" ht="22.5" hidden="1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</row>
    <row r="583" ht="22.5" hidden="1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</row>
    <row r="584" ht="22.5" hidden="1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</row>
    <row r="585" ht="22.5" hidden="1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</row>
    <row r="586" ht="22.5" hidden="1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</row>
    <row r="587" ht="22.5" hidden="1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</row>
    <row r="588" ht="22.5" hidden="1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</row>
    <row r="589" ht="22.5" hidden="1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</row>
    <row r="590" ht="22.5" hidden="1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</row>
    <row r="591" ht="22.5" hidden="1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</row>
    <row r="592" ht="22.5" hidden="1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</row>
    <row r="593" ht="22.5" hidden="1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</row>
    <row r="594" ht="22.5" hidden="1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</row>
    <row r="595" ht="22.5" hidden="1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</row>
    <row r="596" ht="22.5" hidden="1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</row>
    <row r="597" ht="22.5" hidden="1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</row>
    <row r="598" ht="22.5" hidden="1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</row>
    <row r="599" ht="22.5" hidden="1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</row>
    <row r="600" ht="22.5" hidden="1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</row>
    <row r="601" ht="22.5" hidden="1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</row>
    <row r="602" ht="22.5" hidden="1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</row>
    <row r="603" ht="22.5" hidden="1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</row>
    <row r="604" ht="22.5" hidden="1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</row>
    <row r="605" ht="22.5" hidden="1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</row>
    <row r="606" ht="22.5" hidden="1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</row>
    <row r="607" ht="22.5" hidden="1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</row>
    <row r="608" ht="22.5" hidden="1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</row>
    <row r="609" ht="22.5" hidden="1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</row>
    <row r="610" ht="22.5" hidden="1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</row>
    <row r="611" ht="22.5" hidden="1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</row>
    <row r="612" ht="22.5" hidden="1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</row>
    <row r="613" ht="22.5" hidden="1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</row>
    <row r="614" ht="22.5" hidden="1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</row>
    <row r="615" ht="22.5" hidden="1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</row>
    <row r="616" ht="22.5" hidden="1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</row>
    <row r="617" ht="22.5" hidden="1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</row>
    <row r="618" ht="22.5" hidden="1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</row>
    <row r="619" ht="22.5" hidden="1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</row>
    <row r="620" ht="22.5" hidden="1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</row>
    <row r="621" ht="22.5" hidden="1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</row>
    <row r="622" ht="22.5" hidden="1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</row>
    <row r="623" ht="22.5" hidden="1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</row>
    <row r="624" ht="22.5" hidden="1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</row>
    <row r="625" ht="22.5" hidden="1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</row>
    <row r="626" ht="22.5" hidden="1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</row>
    <row r="627" ht="22.5" hidden="1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</row>
    <row r="628" ht="22.5" hidden="1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</row>
    <row r="629" ht="22.5" hidden="1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</row>
    <row r="630" ht="22.5" hidden="1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</row>
    <row r="631" ht="22.5" hidden="1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</row>
    <row r="632" ht="22.5" hidden="1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</row>
    <row r="633" ht="22.5" hidden="1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</row>
    <row r="634" ht="22.5" hidden="1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</row>
    <row r="635" ht="22.5" hidden="1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</row>
    <row r="636" ht="22.5" hidden="1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</row>
    <row r="637" ht="22.5" hidden="1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</row>
    <row r="638" ht="22.5" hidden="1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</row>
    <row r="639" ht="22.5" hidden="1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</row>
    <row r="640" ht="22.5" hidden="1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</row>
    <row r="641" ht="22.5" hidden="1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</row>
    <row r="642" ht="22.5" hidden="1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</row>
    <row r="643" ht="22.5" hidden="1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</row>
    <row r="644" ht="22.5" hidden="1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</row>
    <row r="645" ht="22.5" hidden="1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</row>
    <row r="646" ht="22.5" hidden="1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</row>
    <row r="647" ht="22.5" hidden="1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</row>
    <row r="648" ht="22.5" hidden="1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</row>
    <row r="649" ht="22.5" hidden="1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</row>
    <row r="650" ht="22.5" hidden="1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</row>
    <row r="651" ht="22.5" hidden="1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</row>
    <row r="652" ht="22.5" hidden="1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</row>
    <row r="653" ht="22.5" hidden="1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</row>
    <row r="654" ht="22.5" hidden="1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</row>
    <row r="655" ht="22.5" hidden="1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</row>
    <row r="656" ht="22.5" hidden="1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</row>
    <row r="657" ht="22.5" hidden="1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</row>
    <row r="658" ht="22.5" hidden="1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</row>
    <row r="659" ht="22.5" hidden="1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</row>
    <row r="660" ht="22.5" hidden="1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</row>
    <row r="661" ht="22.5" hidden="1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</row>
    <row r="662" ht="22.5" hidden="1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</row>
    <row r="663" ht="22.5" hidden="1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</row>
    <row r="664" ht="22.5" hidden="1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</row>
    <row r="665" ht="22.5" hidden="1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</row>
    <row r="666" ht="22.5" hidden="1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</row>
    <row r="667" ht="22.5" hidden="1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</row>
    <row r="668" ht="22.5" hidden="1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</row>
    <row r="669" ht="22.5" hidden="1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</row>
    <row r="670" ht="22.5" hidden="1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</row>
    <row r="671" ht="22.5" hidden="1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</row>
    <row r="672" ht="22.5" hidden="1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</row>
    <row r="673" ht="22.5" hidden="1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</row>
    <row r="674" ht="22.5" hidden="1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</row>
    <row r="675" ht="22.5" hidden="1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</row>
    <row r="676" ht="22.5" hidden="1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</row>
    <row r="677" ht="22.5" hidden="1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</row>
    <row r="678" ht="22.5" hidden="1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</row>
    <row r="679" ht="22.5" hidden="1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</row>
    <row r="680" ht="22.5" hidden="1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</row>
    <row r="681" ht="22.5" hidden="1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</row>
    <row r="682" ht="22.5" hidden="1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</row>
    <row r="683" ht="22.5" hidden="1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</row>
    <row r="684" ht="22.5" hidden="1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</row>
    <row r="685" ht="22.5" hidden="1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</row>
    <row r="686" ht="22.5" hidden="1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</row>
    <row r="687" ht="22.5" hidden="1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</row>
    <row r="688" ht="22.5" hidden="1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</row>
    <row r="689" ht="22.5" hidden="1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</row>
    <row r="690" ht="22.5" hidden="1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</row>
    <row r="691" ht="22.5" hidden="1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</row>
    <row r="692" ht="22.5" hidden="1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</row>
    <row r="693" ht="22.5" hidden="1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</row>
    <row r="694" ht="22.5" hidden="1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</row>
    <row r="695" ht="22.5" hidden="1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</row>
    <row r="696" ht="22.5" hidden="1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</row>
    <row r="697" ht="22.5" hidden="1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</row>
    <row r="698" ht="22.5" hidden="1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</row>
    <row r="699" ht="22.5" hidden="1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</row>
    <row r="700" ht="22.5" hidden="1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</row>
    <row r="701" ht="22.5" hidden="1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</row>
    <row r="702" ht="22.5" hidden="1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</row>
    <row r="703" ht="22.5" hidden="1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</row>
    <row r="704" ht="22.5" hidden="1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</row>
    <row r="705" ht="22.5" hidden="1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</row>
    <row r="706" ht="22.5" hidden="1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</row>
    <row r="707" ht="22.5" hidden="1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</row>
    <row r="708" ht="22.5" hidden="1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</row>
    <row r="709" ht="22.5" hidden="1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</row>
    <row r="710" ht="22.5" hidden="1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</row>
    <row r="711" ht="22.5" hidden="1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</row>
    <row r="712" ht="22.5" hidden="1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</row>
    <row r="713" ht="22.5" hidden="1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</row>
    <row r="714" ht="22.5" hidden="1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</row>
    <row r="715" ht="22.5" hidden="1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</row>
    <row r="716" ht="22.5" hidden="1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</row>
    <row r="717" ht="22.5" hidden="1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</row>
    <row r="718" ht="22.5" hidden="1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</row>
    <row r="719" ht="22.5" hidden="1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</row>
    <row r="720" ht="22.5" hidden="1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</row>
    <row r="721" ht="22.5" hidden="1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</row>
    <row r="722" ht="22.5" hidden="1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</row>
    <row r="723" ht="22.5" hidden="1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</row>
    <row r="724" ht="22.5" hidden="1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</row>
    <row r="725" ht="22.5" hidden="1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</row>
    <row r="726" ht="22.5" hidden="1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</row>
    <row r="727" ht="22.5" hidden="1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</row>
    <row r="728" ht="22.5" hidden="1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</row>
    <row r="729" ht="22.5" hidden="1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</row>
    <row r="730" ht="22.5" hidden="1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</row>
    <row r="731" ht="22.5" hidden="1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</row>
    <row r="732" ht="22.5" hidden="1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</row>
    <row r="733" ht="22.5" hidden="1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</row>
    <row r="734" ht="22.5" hidden="1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</row>
    <row r="735" ht="22.5" hidden="1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</row>
    <row r="736" ht="22.5" hidden="1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</row>
    <row r="737" ht="22.5" hidden="1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</row>
    <row r="738" ht="22.5" hidden="1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</row>
    <row r="739" ht="22.5" hidden="1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</row>
    <row r="740" ht="22.5" hidden="1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</row>
    <row r="741" ht="22.5" hidden="1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</row>
    <row r="742" ht="22.5" hidden="1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</row>
    <row r="743" ht="22.5" hidden="1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</row>
    <row r="744" ht="22.5" hidden="1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</row>
    <row r="745" ht="22.5" hidden="1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</row>
    <row r="746" ht="22.5" hidden="1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</row>
    <row r="747" ht="22.5" hidden="1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</row>
    <row r="748" ht="22.5" hidden="1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</row>
    <row r="749" ht="22.5" hidden="1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</row>
    <row r="750" ht="22.5" hidden="1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</row>
    <row r="751" ht="22.5" hidden="1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</row>
    <row r="752" ht="22.5" hidden="1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</row>
    <row r="753" ht="22.5" hidden="1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</row>
    <row r="754" ht="22.5" hidden="1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</row>
    <row r="755" ht="22.5" hidden="1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</row>
    <row r="756" ht="22.5" hidden="1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</row>
    <row r="757" ht="22.5" hidden="1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</row>
    <row r="758" ht="22.5" hidden="1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</row>
    <row r="759" ht="22.5" hidden="1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</row>
    <row r="760" ht="22.5" hidden="1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</row>
    <row r="761" ht="22.5" hidden="1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</row>
    <row r="762" ht="22.5" hidden="1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</row>
    <row r="763" ht="22.5" hidden="1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</row>
    <row r="764" ht="22.5" hidden="1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</row>
    <row r="765" ht="22.5" hidden="1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</row>
    <row r="766" ht="22.5" hidden="1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</row>
    <row r="767" ht="22.5" hidden="1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</row>
    <row r="768" ht="22.5" hidden="1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</row>
    <row r="769" ht="22.5" hidden="1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</row>
    <row r="770" ht="22.5" hidden="1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</row>
    <row r="771" ht="22.5" hidden="1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</row>
    <row r="772" ht="22.5" hidden="1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</row>
    <row r="773" ht="22.5" hidden="1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</row>
    <row r="774" ht="22.5" hidden="1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</row>
    <row r="775" ht="22.5" hidden="1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</row>
    <row r="776" ht="22.5" hidden="1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</row>
    <row r="777" ht="22.5" hidden="1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</row>
    <row r="778" ht="22.5" hidden="1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</row>
    <row r="779" ht="22.5" hidden="1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</row>
    <row r="780" ht="22.5" hidden="1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</row>
    <row r="781" ht="22.5" hidden="1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</row>
    <row r="782" ht="22.5" hidden="1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</row>
    <row r="783" ht="22.5" hidden="1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</row>
    <row r="784" ht="22.5" hidden="1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</row>
    <row r="785" ht="22.5" hidden="1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</row>
    <row r="786" ht="22.5" hidden="1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</row>
    <row r="787" ht="22.5" hidden="1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</row>
    <row r="788" ht="22.5" hidden="1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</row>
    <row r="789" ht="22.5" hidden="1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</row>
    <row r="790" ht="22.5" hidden="1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</row>
    <row r="791" ht="22.5" hidden="1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</row>
    <row r="792" ht="22.5" hidden="1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</row>
    <row r="793" ht="22.5" hidden="1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</row>
    <row r="794" ht="22.5" hidden="1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</row>
    <row r="795" ht="22.5" hidden="1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</row>
    <row r="796" ht="22.5" hidden="1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</row>
    <row r="797" ht="22.5" hidden="1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</row>
    <row r="798" ht="22.5" hidden="1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</row>
    <row r="799" ht="22.5" hidden="1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</row>
    <row r="800" ht="22.5" hidden="1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</row>
    <row r="801" ht="22.5" hidden="1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</row>
    <row r="802" ht="22.5" hidden="1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</row>
    <row r="803" ht="22.5" hidden="1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</row>
    <row r="804" ht="22.5" hidden="1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</row>
    <row r="805" ht="22.5" hidden="1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</row>
    <row r="806" ht="22.5" hidden="1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</row>
    <row r="807" ht="22.5" hidden="1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</row>
    <row r="808" ht="22.5" hidden="1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</row>
    <row r="809" ht="22.5" hidden="1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</row>
    <row r="810" ht="22.5" hidden="1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</row>
    <row r="811" ht="22.5" hidden="1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</row>
    <row r="812" ht="22.5" hidden="1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</row>
    <row r="813" ht="22.5" hidden="1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</row>
    <row r="814" ht="22.5" hidden="1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</row>
    <row r="815" ht="22.5" hidden="1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</row>
    <row r="816" ht="22.5" hidden="1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</row>
    <row r="817" ht="22.5" hidden="1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</row>
    <row r="818" ht="22.5" hidden="1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</row>
    <row r="819" ht="22.5" hidden="1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</row>
    <row r="820" ht="22.5" hidden="1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</row>
    <row r="821" ht="22.5" hidden="1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</row>
    <row r="822" ht="22.5" hidden="1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</row>
    <row r="823" ht="22.5" hidden="1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</row>
    <row r="824" ht="22.5" hidden="1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</row>
    <row r="825" ht="22.5" hidden="1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</row>
    <row r="826" ht="22.5" hidden="1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</row>
    <row r="827" ht="22.5" hidden="1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</row>
    <row r="828" ht="22.5" hidden="1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</row>
    <row r="829" ht="22.5" hidden="1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</row>
    <row r="830" ht="22.5" hidden="1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</row>
    <row r="831" ht="22.5" hidden="1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</row>
    <row r="832" ht="22.5" hidden="1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</row>
    <row r="833" ht="22.5" hidden="1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</row>
    <row r="834" ht="22.5" hidden="1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</row>
    <row r="835" ht="22.5" hidden="1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</row>
    <row r="836" ht="22.5" hidden="1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</row>
    <row r="837" ht="22.5" hidden="1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</row>
    <row r="838" ht="22.5" hidden="1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</row>
    <row r="839" ht="22.5" hidden="1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</row>
    <row r="840" ht="22.5" hidden="1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</row>
    <row r="841" ht="22.5" hidden="1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</row>
    <row r="842" ht="22.5" hidden="1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</row>
    <row r="843" ht="22.5" hidden="1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</row>
    <row r="844" ht="22.5" hidden="1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</row>
    <row r="845" ht="22.5" hidden="1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</row>
    <row r="846" ht="22.5" hidden="1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</row>
    <row r="847" ht="22.5" hidden="1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</row>
    <row r="848" ht="22.5" hidden="1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</row>
    <row r="849" ht="22.5" hidden="1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</row>
    <row r="850" ht="22.5" hidden="1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</row>
    <row r="851" ht="22.5" hidden="1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</row>
    <row r="852" ht="22.5" hidden="1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</row>
    <row r="853" ht="22.5" hidden="1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</row>
    <row r="854" ht="22.5" hidden="1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</row>
    <row r="855" ht="22.5" hidden="1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</row>
    <row r="856" ht="22.5" hidden="1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</row>
    <row r="857" ht="22.5" hidden="1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</row>
    <row r="858" ht="22.5" hidden="1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</row>
    <row r="859" ht="22.5" hidden="1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</row>
    <row r="860" ht="22.5" hidden="1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</row>
    <row r="861" ht="22.5" hidden="1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</row>
    <row r="862" ht="22.5" hidden="1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</row>
    <row r="863" ht="22.5" hidden="1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</row>
    <row r="864" ht="22.5" hidden="1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</row>
    <row r="865" ht="22.5" hidden="1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</row>
    <row r="866" ht="22.5" hidden="1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</row>
    <row r="867" ht="22.5" hidden="1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</row>
    <row r="868" ht="22.5" hidden="1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</row>
    <row r="869" ht="22.5" hidden="1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</row>
    <row r="870" ht="22.5" hidden="1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</row>
    <row r="871" ht="22.5" hidden="1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</row>
    <row r="872" ht="22.5" hidden="1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</row>
    <row r="873" ht="22.5" hidden="1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</row>
    <row r="874" ht="22.5" hidden="1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</row>
    <row r="875" ht="22.5" hidden="1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</row>
    <row r="876" ht="22.5" hidden="1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</row>
    <row r="877" ht="22.5" hidden="1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</row>
    <row r="878" ht="22.5" hidden="1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</row>
    <row r="879" ht="22.5" hidden="1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</row>
    <row r="880" ht="22.5" hidden="1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</row>
    <row r="881" ht="22.5" hidden="1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</row>
    <row r="882" ht="22.5" hidden="1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</row>
    <row r="883" ht="22.5" hidden="1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</row>
    <row r="884" ht="22.5" hidden="1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</row>
    <row r="885" ht="22.5" hidden="1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</row>
    <row r="886" ht="22.5" hidden="1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</row>
    <row r="887" ht="22.5" hidden="1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</row>
    <row r="888" ht="22.5" hidden="1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</row>
    <row r="889" ht="22.5" hidden="1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</row>
    <row r="890" ht="22.5" hidden="1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</row>
    <row r="891" ht="22.5" hidden="1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</row>
    <row r="892" ht="22.5" hidden="1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</row>
    <row r="893" ht="22.5" hidden="1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</row>
    <row r="894" ht="22.5" hidden="1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</row>
    <row r="895" ht="22.5" hidden="1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</row>
    <row r="896" ht="22.5" hidden="1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</row>
    <row r="897" ht="22.5" hidden="1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</row>
    <row r="898" ht="22.5" hidden="1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</row>
    <row r="899" ht="22.5" hidden="1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</row>
    <row r="900" ht="22.5" hidden="1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</row>
    <row r="901" ht="22.5" hidden="1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</row>
    <row r="902" ht="22.5" hidden="1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</row>
    <row r="903" ht="22.5" hidden="1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</row>
    <row r="904" ht="22.5" hidden="1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</row>
    <row r="905" ht="22.5" hidden="1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</row>
    <row r="906" ht="22.5" hidden="1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</row>
    <row r="907" ht="22.5" hidden="1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</row>
    <row r="908" ht="22.5" hidden="1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</row>
    <row r="909" ht="22.5" hidden="1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</row>
    <row r="910" ht="22.5" hidden="1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</row>
    <row r="911" ht="22.5" hidden="1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</row>
    <row r="912" ht="22.5" hidden="1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</row>
    <row r="913" ht="22.5" hidden="1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</row>
    <row r="914" ht="22.5" hidden="1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</row>
    <row r="915" ht="22.5" hidden="1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</row>
    <row r="916" ht="22.5" hidden="1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</row>
    <row r="917" ht="22.5" hidden="1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</row>
    <row r="918" ht="22.5" hidden="1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</row>
    <row r="919" ht="22.5" hidden="1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</row>
    <row r="920" ht="22.5" hidden="1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</row>
    <row r="921" ht="22.5" hidden="1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</row>
    <row r="922" ht="22.5" hidden="1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</row>
    <row r="923" ht="22.5" hidden="1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</row>
    <row r="924" ht="22.5" hidden="1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</row>
    <row r="925" ht="22.5" hidden="1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</row>
    <row r="926" ht="22.5" hidden="1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</row>
    <row r="927" ht="22.5" hidden="1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</row>
    <row r="928" ht="22.5" hidden="1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</row>
    <row r="929" ht="22.5" hidden="1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</row>
    <row r="930" ht="22.5" hidden="1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</row>
    <row r="931" ht="22.5" hidden="1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</row>
    <row r="932" ht="22.5" hidden="1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</row>
    <row r="933" ht="22.5" hidden="1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</row>
    <row r="934" ht="22.5" hidden="1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</row>
    <row r="935" ht="22.5" hidden="1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</row>
    <row r="936" ht="22.5" hidden="1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</row>
    <row r="937" ht="22.5" hidden="1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</row>
    <row r="938" ht="22.5" hidden="1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</row>
    <row r="939" ht="22.5" hidden="1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</row>
    <row r="940" ht="22.5" hidden="1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</row>
    <row r="941" ht="22.5" hidden="1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</row>
    <row r="942" ht="22.5" hidden="1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</row>
    <row r="943" ht="22.5" hidden="1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</row>
    <row r="944" ht="22.5" hidden="1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</row>
    <row r="945" ht="22.5" hidden="1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</row>
    <row r="946" ht="22.5" hidden="1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</row>
    <row r="947" ht="22.5" hidden="1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</row>
    <row r="948" ht="22.5" hidden="1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</row>
    <row r="949" ht="22.5" hidden="1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</row>
    <row r="950" ht="22.5" hidden="1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</row>
    <row r="951" ht="22.5" hidden="1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</row>
    <row r="952" ht="22.5" hidden="1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</row>
    <row r="953" ht="22.5" hidden="1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</row>
    <row r="954" ht="22.5" hidden="1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</row>
    <row r="955" ht="22.5" hidden="1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</row>
    <row r="956" ht="22.5" hidden="1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</row>
    <row r="957" ht="22.5" hidden="1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</row>
    <row r="958" ht="22.5" hidden="1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</row>
    <row r="959" ht="22.5" hidden="1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</row>
    <row r="960" ht="22.5" hidden="1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</row>
    <row r="961" ht="22.5" hidden="1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</row>
    <row r="962" ht="22.5" hidden="1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</row>
    <row r="963" ht="22.5" hidden="1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</row>
    <row r="964" ht="22.5" hidden="1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</row>
    <row r="965" ht="22.5" hidden="1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</row>
    <row r="966" ht="22.5" hidden="1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</row>
    <row r="967" ht="22.5" hidden="1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</row>
    <row r="968" ht="22.5" hidden="1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</row>
    <row r="969" ht="22.5" hidden="1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</row>
    <row r="970" ht="22.5" hidden="1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</row>
    <row r="971" ht="22.5" hidden="1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</row>
    <row r="972" ht="22.5" hidden="1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</row>
    <row r="973" ht="22.5" hidden="1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</row>
    <row r="974" ht="22.5" hidden="1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</row>
    <row r="975" ht="22.5" hidden="1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</row>
    <row r="976" ht="22.5" hidden="1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</row>
    <row r="977" ht="22.5" hidden="1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</row>
    <row r="978" ht="22.5" hidden="1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</row>
    <row r="979" ht="22.5" hidden="1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</row>
    <row r="980" ht="22.5" hidden="1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</row>
    <row r="981" ht="22.5" hidden="1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</row>
    <row r="982" ht="22.5" hidden="1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</row>
    <row r="983" ht="22.5" hidden="1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</row>
    <row r="984" ht="22.5" hidden="1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</row>
    <row r="985" ht="22.5" hidden="1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</row>
    <row r="986" ht="22.5" hidden="1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</row>
    <row r="987" ht="22.5" hidden="1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</row>
    <row r="988" ht="22.5" hidden="1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</row>
    <row r="989" ht="22.5" hidden="1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</row>
    <row r="990" ht="22.5" hidden="1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</row>
    <row r="991" ht="22.5" hidden="1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</row>
    <row r="992" ht="22.5" hidden="1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</row>
    <row r="993" ht="22.5" hidden="1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</row>
    <row r="994" ht="22.5" hidden="1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</row>
    <row r="995" ht="22.5" hidden="1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</row>
    <row r="996" ht="22.5" hidden="1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</row>
    <row r="997" ht="22.5" hidden="1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</row>
    <row r="998" ht="22.5" hidden="1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</row>
    <row r="999" ht="22.5" hidden="1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</row>
    <row r="1000" ht="22.5" hidden="1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</row>
    <row r="1001" ht="22.5" hidden="1" customHeight="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</row>
    <row r="1002" ht="22.5" hidden="1" customHeight="1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75"/>
    <col customWidth="1" min="3" max="3" width="23.13"/>
    <col customWidth="1" min="4" max="4" width="25.38"/>
    <col customWidth="1" min="5" max="5" width="27.63"/>
    <col customWidth="1" min="6" max="6" width="15.38"/>
    <col customWidth="1" min="7" max="7" width="22.63"/>
    <col customWidth="1" min="8" max="8" width="19.88"/>
    <col customWidth="1" min="9" max="9" width="20.13"/>
    <col customWidth="1" min="10" max="10" width="19.88"/>
    <col customWidth="1" min="11" max="11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 ht="22.5" customHeight="1">
      <c r="A2" s="5" t="s">
        <v>11</v>
      </c>
      <c r="B2" s="5" t="s">
        <v>13</v>
      </c>
      <c r="C2" s="6">
        <v>1302.0</v>
      </c>
      <c r="D2" s="6">
        <v>1.0</v>
      </c>
      <c r="E2" s="7">
        <v>8.0E-4</v>
      </c>
      <c r="F2" s="6">
        <v>47.0</v>
      </c>
      <c r="G2" s="7">
        <v>0.0376</v>
      </c>
      <c r="H2" s="9" t="s">
        <v>14</v>
      </c>
      <c r="I2" s="6">
        <v>152.0</v>
      </c>
      <c r="J2" s="7">
        <v>0.1319</v>
      </c>
      <c r="K2" s="18">
        <f>100-5.57</f>
        <v>94.43</v>
      </c>
    </row>
    <row r="3" ht="22.5" customHeight="1">
      <c r="A3" s="5" t="s">
        <v>11</v>
      </c>
      <c r="B3" s="5" t="s">
        <v>19</v>
      </c>
      <c r="C3" s="13">
        <v>1209.0</v>
      </c>
      <c r="D3" s="13">
        <v>3.0</v>
      </c>
      <c r="E3" s="21">
        <v>0.0025</v>
      </c>
      <c r="F3" s="13">
        <v>28.0</v>
      </c>
      <c r="G3" s="21">
        <v>0.0232</v>
      </c>
      <c r="H3" s="13" t="s">
        <v>21</v>
      </c>
      <c r="I3" s="13">
        <v>193.0</v>
      </c>
      <c r="J3" s="21">
        <v>0.1779</v>
      </c>
      <c r="K3" s="18">
        <f>100-2.05</f>
        <v>97.95</v>
      </c>
    </row>
    <row r="4" ht="22.5" customHeight="1">
      <c r="A4" s="5" t="s">
        <v>11</v>
      </c>
      <c r="B4" s="5" t="s">
        <v>23</v>
      </c>
      <c r="C4" s="13">
        <v>885.0</v>
      </c>
      <c r="D4" s="13">
        <v>2.0</v>
      </c>
      <c r="E4" s="21">
        <v>0.0023</v>
      </c>
      <c r="F4" s="13">
        <v>18.0</v>
      </c>
      <c r="G4" s="21">
        <v>0.0203</v>
      </c>
      <c r="H4" s="13" t="s">
        <v>25</v>
      </c>
      <c r="I4" s="13">
        <v>121.0</v>
      </c>
      <c r="J4" s="21">
        <v>0.153</v>
      </c>
      <c r="K4" s="18">
        <f>100-0.86</f>
        <v>99.14</v>
      </c>
    </row>
    <row r="5" ht="22.5" customHeight="1">
      <c r="A5" s="5" t="s">
        <v>11</v>
      </c>
      <c r="B5" s="5" t="s">
        <v>26</v>
      </c>
      <c r="C5" s="13">
        <v>938.0</v>
      </c>
      <c r="D5" s="13">
        <v>6.0</v>
      </c>
      <c r="E5" s="21">
        <v>0.0064</v>
      </c>
      <c r="F5" s="13">
        <v>23.0</v>
      </c>
      <c r="G5" s="21">
        <v>0.0245</v>
      </c>
      <c r="H5" s="13" t="s">
        <v>30</v>
      </c>
      <c r="I5" s="13">
        <v>108.0</v>
      </c>
      <c r="J5" s="21">
        <v>0.1263</v>
      </c>
      <c r="K5" s="18">
        <f>100-1.62</f>
        <v>98.38</v>
      </c>
    </row>
    <row r="6" ht="22.5" customHeight="1">
      <c r="A6" s="5" t="s">
        <v>11</v>
      </c>
      <c r="B6" s="5" t="s">
        <v>33</v>
      </c>
      <c r="C6" s="13">
        <v>822.0</v>
      </c>
      <c r="D6" s="13">
        <v>3.0</v>
      </c>
      <c r="E6" s="21">
        <v>0.0036</v>
      </c>
      <c r="F6" s="13">
        <v>13.0</v>
      </c>
      <c r="G6" s="21">
        <v>0.0158</v>
      </c>
      <c r="H6" s="13" t="s">
        <v>34</v>
      </c>
      <c r="I6" s="13">
        <v>128.0</v>
      </c>
      <c r="J6" s="21">
        <v>0.1899</v>
      </c>
      <c r="K6" s="18">
        <f>100-1.53</f>
        <v>98.47</v>
      </c>
    </row>
    <row r="7" ht="22.5" customHeight="1">
      <c r="A7" s="5" t="s">
        <v>11</v>
      </c>
      <c r="B7" s="5" t="s">
        <v>39</v>
      </c>
      <c r="C7" s="13">
        <v>846.0</v>
      </c>
      <c r="D7" s="13">
        <v>3.0</v>
      </c>
      <c r="E7" s="21">
        <v>0.0035</v>
      </c>
      <c r="F7" s="13">
        <v>22.0</v>
      </c>
      <c r="G7" s="21">
        <v>0.026</v>
      </c>
      <c r="H7" s="13" t="s">
        <v>40</v>
      </c>
      <c r="I7" s="13">
        <v>133.0</v>
      </c>
      <c r="J7" s="21">
        <v>0.179</v>
      </c>
      <c r="K7" s="18">
        <f>100-2.48</f>
        <v>97.52</v>
      </c>
    </row>
    <row r="8" ht="22.5" customHeight="1">
      <c r="A8" s="5" t="s">
        <v>11</v>
      </c>
      <c r="B8" s="5" t="s">
        <v>45</v>
      </c>
      <c r="C8" s="13">
        <v>748.0</v>
      </c>
      <c r="D8" s="13">
        <v>2.0</v>
      </c>
      <c r="E8" s="21">
        <v>0.0027</v>
      </c>
      <c r="F8" s="13">
        <v>16.0</v>
      </c>
      <c r="G8" s="21">
        <v>0.0214</v>
      </c>
      <c r="H8" s="13" t="s">
        <v>47</v>
      </c>
      <c r="I8" s="13">
        <v>65.0</v>
      </c>
      <c r="J8" s="21">
        <v>0.0979</v>
      </c>
      <c r="K8" s="18">
        <f>100-0.48</f>
        <v>99.52</v>
      </c>
    </row>
    <row r="9" ht="22.5" customHeight="1">
      <c r="A9" s="5" t="s">
        <v>11</v>
      </c>
      <c r="B9" s="5" t="s">
        <v>49</v>
      </c>
      <c r="C9" s="29">
        <v>790.0</v>
      </c>
      <c r="D9" s="29" t="s">
        <v>17</v>
      </c>
      <c r="E9" s="29" t="s">
        <v>17</v>
      </c>
      <c r="F9" s="29">
        <v>15.0</v>
      </c>
      <c r="G9" s="30">
        <v>0.019</v>
      </c>
      <c r="H9" s="29" t="s">
        <v>52</v>
      </c>
      <c r="I9" s="29">
        <v>58.0</v>
      </c>
      <c r="J9" s="30">
        <v>0.0799</v>
      </c>
      <c r="K9" s="18">
        <f>100-1.27</f>
        <v>98.73</v>
      </c>
    </row>
    <row r="10" ht="22.5" customHeight="1">
      <c r="A10" s="5" t="s">
        <v>11</v>
      </c>
      <c r="B10" s="5" t="s">
        <v>27</v>
      </c>
      <c r="C10" s="13">
        <v>716.0</v>
      </c>
      <c r="D10" s="13">
        <v>1.0</v>
      </c>
      <c r="E10" s="21">
        <v>0.0014</v>
      </c>
      <c r="F10" s="13">
        <v>14.0</v>
      </c>
      <c r="G10" s="21">
        <v>0.0196</v>
      </c>
      <c r="H10" s="13" t="s">
        <v>55</v>
      </c>
      <c r="I10" s="13">
        <v>110.0</v>
      </c>
      <c r="J10" s="21">
        <v>0.1763</v>
      </c>
      <c r="K10" s="18">
        <f>100-1.1</f>
        <v>98.9</v>
      </c>
    </row>
    <row r="11" ht="22.5" customHeight="1">
      <c r="A11" s="5" t="s">
        <v>11</v>
      </c>
      <c r="B11" s="5" t="s">
        <v>59</v>
      </c>
      <c r="C11" s="27">
        <v>656.0</v>
      </c>
      <c r="D11" s="27" t="s">
        <v>17</v>
      </c>
      <c r="E11" s="27" t="s">
        <v>17</v>
      </c>
      <c r="F11" s="27">
        <v>15.0</v>
      </c>
      <c r="G11" s="32">
        <v>0.0229</v>
      </c>
      <c r="H11" s="27" t="s">
        <v>60</v>
      </c>
      <c r="I11" s="27">
        <v>64.0</v>
      </c>
      <c r="J11" s="32">
        <v>0.1127</v>
      </c>
      <c r="K11" s="18">
        <f>100-7.3</f>
        <v>92.7</v>
      </c>
    </row>
    <row r="12" ht="22.5" customHeight="1">
      <c r="A12" s="5" t="s">
        <v>11</v>
      </c>
      <c r="B12" s="5" t="s">
        <v>63</v>
      </c>
      <c r="C12" s="27">
        <v>703.0</v>
      </c>
      <c r="D12" s="27">
        <v>3.0</v>
      </c>
      <c r="E12" s="32">
        <v>0.0042</v>
      </c>
      <c r="F12" s="27">
        <v>15.0</v>
      </c>
      <c r="G12" s="32">
        <v>0.0213</v>
      </c>
      <c r="H12" s="27" t="s">
        <v>65</v>
      </c>
      <c r="I12" s="27">
        <v>114.0</v>
      </c>
      <c r="J12" s="32">
        <v>0.1767</v>
      </c>
      <c r="K12" s="18">
        <f>100-1.39</f>
        <v>98.61</v>
      </c>
    </row>
    <row r="13" ht="22.5" customHeight="1">
      <c r="A13" s="5" t="s">
        <v>11</v>
      </c>
      <c r="B13" s="5" t="s">
        <v>58</v>
      </c>
      <c r="C13" s="27">
        <v>519.0</v>
      </c>
      <c r="D13" s="27" t="s">
        <v>17</v>
      </c>
      <c r="E13" s="27" t="s">
        <v>17</v>
      </c>
      <c r="F13" s="27">
        <v>24.0</v>
      </c>
      <c r="G13" s="32">
        <v>0.0462</v>
      </c>
      <c r="H13" s="27" t="s">
        <v>69</v>
      </c>
      <c r="I13" s="27">
        <v>67.0</v>
      </c>
      <c r="J13" s="32">
        <v>0.1387</v>
      </c>
      <c r="K13" s="18">
        <f>100-1.74</f>
        <v>98.26</v>
      </c>
    </row>
    <row r="14" ht="22.5" customHeight="1">
      <c r="A14" s="5" t="s">
        <v>11</v>
      </c>
      <c r="B14" s="5" t="s">
        <v>72</v>
      </c>
      <c r="C14" s="27">
        <v>554.0</v>
      </c>
      <c r="D14" s="27">
        <v>1.0</v>
      </c>
      <c r="E14" s="32">
        <v>0.0018</v>
      </c>
      <c r="F14" s="27">
        <v>8.0</v>
      </c>
      <c r="G14" s="32">
        <v>0.0144</v>
      </c>
      <c r="H14" s="27" t="s">
        <v>76</v>
      </c>
      <c r="I14" s="27">
        <v>29.0</v>
      </c>
      <c r="J14" s="32">
        <v>0.0572</v>
      </c>
      <c r="K14" s="18">
        <f>100-0.06</f>
        <v>99.94</v>
      </c>
    </row>
    <row r="15" ht="22.5" customHeight="1">
      <c r="A15" s="5" t="s">
        <v>11</v>
      </c>
      <c r="B15" s="35" t="s">
        <v>79</v>
      </c>
      <c r="C15" s="27">
        <v>560.0</v>
      </c>
      <c r="D15" s="27" t="s">
        <v>17</v>
      </c>
      <c r="E15" s="27" t="s">
        <v>17</v>
      </c>
      <c r="F15" s="27">
        <v>11.0</v>
      </c>
      <c r="G15" s="32">
        <v>0.0196</v>
      </c>
      <c r="H15" s="27" t="s">
        <v>83</v>
      </c>
      <c r="I15" s="27">
        <v>47.0</v>
      </c>
      <c r="J15" s="32">
        <v>0.0882</v>
      </c>
      <c r="K15" s="18">
        <f>100-0.96</f>
        <v>99.04</v>
      </c>
    </row>
    <row r="16" ht="22.5" customHeight="1">
      <c r="A16" s="5" t="s">
        <v>11</v>
      </c>
      <c r="B16" s="5" t="s">
        <v>85</v>
      </c>
      <c r="C16" s="27">
        <v>475.0</v>
      </c>
      <c r="D16" s="27">
        <v>2.0</v>
      </c>
      <c r="E16" s="32">
        <v>0.0042</v>
      </c>
      <c r="F16" s="27">
        <v>15.0</v>
      </c>
      <c r="G16" s="32">
        <v>0.0316</v>
      </c>
      <c r="H16" s="27" t="s">
        <v>89</v>
      </c>
      <c r="I16" s="27">
        <v>55.0</v>
      </c>
      <c r="J16" s="32">
        <v>0.1276</v>
      </c>
      <c r="K16" s="18">
        <f>100-3.38</f>
        <v>96.62</v>
      </c>
    </row>
    <row r="17" ht="22.5" customHeight="1">
      <c r="A17" s="5" t="s">
        <v>11</v>
      </c>
      <c r="B17" s="5" t="s">
        <v>71</v>
      </c>
      <c r="C17" s="27">
        <v>429.0</v>
      </c>
      <c r="D17" s="27">
        <v>1.0</v>
      </c>
      <c r="E17" s="32">
        <v>0.0023</v>
      </c>
      <c r="F17" s="27">
        <v>6.0</v>
      </c>
      <c r="G17" s="32">
        <v>0.014</v>
      </c>
      <c r="H17" s="27" t="s">
        <v>92</v>
      </c>
      <c r="I17" s="27">
        <v>48.0</v>
      </c>
      <c r="J17" s="32">
        <v>0.129</v>
      </c>
      <c r="K17" s="18">
        <f t="shared" ref="K17:K18" si="1">100-1.65</f>
        <v>98.35</v>
      </c>
    </row>
    <row r="18" ht="22.5" customHeight="1">
      <c r="A18" s="5" t="s">
        <v>11</v>
      </c>
      <c r="B18" s="5" t="s">
        <v>96</v>
      </c>
      <c r="C18" s="27">
        <v>446.0</v>
      </c>
      <c r="D18" s="27">
        <v>2.0</v>
      </c>
      <c r="E18" s="32">
        <v>0.0045</v>
      </c>
      <c r="F18" s="27">
        <v>11.0</v>
      </c>
      <c r="G18" s="32">
        <v>0.0247</v>
      </c>
      <c r="H18" s="27" t="s">
        <v>98</v>
      </c>
      <c r="I18" s="27">
        <v>35.0</v>
      </c>
      <c r="J18" s="32">
        <v>0.0868</v>
      </c>
      <c r="K18" s="18">
        <f t="shared" si="1"/>
        <v>98.35</v>
      </c>
    </row>
    <row r="19" ht="22.5" customHeight="1">
      <c r="A19" s="5" t="s">
        <v>11</v>
      </c>
      <c r="B19" s="5" t="s">
        <v>77</v>
      </c>
      <c r="C19" s="27">
        <v>389.0</v>
      </c>
      <c r="D19" s="27">
        <v>6.0</v>
      </c>
      <c r="E19" s="32">
        <v>0.0152</v>
      </c>
      <c r="F19" s="27">
        <v>7.0</v>
      </c>
      <c r="G19" s="32">
        <v>0.018</v>
      </c>
      <c r="H19" s="27" t="s">
        <v>102</v>
      </c>
      <c r="I19" s="27">
        <v>52.0</v>
      </c>
      <c r="J19" s="32">
        <v>0.1457</v>
      </c>
      <c r="K19" s="18">
        <f>100-3.75</f>
        <v>96.25</v>
      </c>
    </row>
    <row r="20" ht="22.5" customHeight="1">
      <c r="A20" s="5" t="s">
        <v>11</v>
      </c>
      <c r="B20" s="5" t="s">
        <v>15</v>
      </c>
      <c r="C20" s="11">
        <v>412.0</v>
      </c>
      <c r="D20" s="11">
        <v>4.0</v>
      </c>
      <c r="E20" s="16">
        <v>0.0096</v>
      </c>
      <c r="F20" s="11">
        <v>8.0</v>
      </c>
      <c r="G20" s="16">
        <v>0.0194</v>
      </c>
      <c r="H20" s="11" t="s">
        <v>108</v>
      </c>
      <c r="I20" s="11">
        <v>51.0</v>
      </c>
      <c r="J20" s="16">
        <v>0.1449</v>
      </c>
      <c r="K20" s="18">
        <f>100-7.69</f>
        <v>92.31</v>
      </c>
    </row>
    <row r="21" ht="22.5" customHeight="1">
      <c r="A21" s="5" t="s">
        <v>11</v>
      </c>
      <c r="B21" s="5" t="s">
        <v>109</v>
      </c>
      <c r="C21" s="27">
        <v>475.0</v>
      </c>
      <c r="D21" s="27">
        <v>1.0</v>
      </c>
      <c r="E21" s="32">
        <v>0.0021</v>
      </c>
      <c r="F21" s="27">
        <v>6.0</v>
      </c>
      <c r="G21" s="32">
        <v>0.0126</v>
      </c>
      <c r="H21" s="27" t="s">
        <v>111</v>
      </c>
      <c r="I21" s="27">
        <v>21.0</v>
      </c>
      <c r="J21" s="32">
        <v>0.0477</v>
      </c>
      <c r="K21" s="18">
        <f>100-3.84</f>
        <v>96.16</v>
      </c>
    </row>
    <row r="22" ht="22.5" customHeight="1">
      <c r="A22" s="5" t="s">
        <v>11</v>
      </c>
      <c r="B22" s="5" t="s">
        <v>115</v>
      </c>
      <c r="C22" s="27">
        <v>440.0</v>
      </c>
      <c r="D22" s="27" t="s">
        <v>17</v>
      </c>
      <c r="E22" s="27" t="s">
        <v>17</v>
      </c>
      <c r="F22" s="27">
        <v>5.0</v>
      </c>
      <c r="G22" s="32">
        <v>0.0114</v>
      </c>
      <c r="H22" s="27" t="s">
        <v>120</v>
      </c>
      <c r="I22" s="27">
        <v>50.0</v>
      </c>
      <c r="J22" s="32">
        <v>0.1299</v>
      </c>
      <c r="K22" s="18">
        <f>100-2.15</f>
        <v>97.85</v>
      </c>
    </row>
    <row r="23" ht="22.5" customHeight="1">
      <c r="A23" s="5" t="s">
        <v>11</v>
      </c>
      <c r="B23" s="5" t="s">
        <v>123</v>
      </c>
      <c r="C23" s="27">
        <v>451.0</v>
      </c>
      <c r="D23" s="27" t="s">
        <v>17</v>
      </c>
      <c r="E23" s="27" t="s">
        <v>17</v>
      </c>
      <c r="F23" s="27">
        <v>10.0</v>
      </c>
      <c r="G23" s="32">
        <v>0.0222</v>
      </c>
      <c r="H23" s="27" t="s">
        <v>125</v>
      </c>
      <c r="I23" s="27">
        <v>42.0</v>
      </c>
      <c r="J23" s="32">
        <v>0.1029</v>
      </c>
      <c r="K23" s="18">
        <f>100-3.44</f>
        <v>96.56</v>
      </c>
    </row>
    <row r="24" ht="22.5" customHeight="1">
      <c r="A24" s="5" t="s">
        <v>11</v>
      </c>
      <c r="B24" s="5" t="s">
        <v>90</v>
      </c>
      <c r="C24" s="27">
        <v>452.0</v>
      </c>
      <c r="D24" s="27">
        <v>2.0</v>
      </c>
      <c r="E24" s="32">
        <v>0.0044</v>
      </c>
      <c r="F24" s="27">
        <v>12.0</v>
      </c>
      <c r="G24" s="32">
        <v>0.0265</v>
      </c>
      <c r="H24" s="27" t="s">
        <v>129</v>
      </c>
      <c r="I24" s="27">
        <v>42.0</v>
      </c>
      <c r="J24" s="32">
        <v>0.0995</v>
      </c>
      <c r="K24" s="18">
        <f>100-2.07</f>
        <v>97.93</v>
      </c>
    </row>
    <row r="25" ht="22.5" customHeight="1">
      <c r="A25" s="5" t="s">
        <v>11</v>
      </c>
      <c r="B25" s="5" t="s">
        <v>94</v>
      </c>
      <c r="C25" s="27">
        <v>384.0</v>
      </c>
      <c r="D25" s="27" t="s">
        <v>17</v>
      </c>
      <c r="E25" s="27" t="s">
        <v>17</v>
      </c>
      <c r="F25" s="27">
        <v>6.0</v>
      </c>
      <c r="G25" s="32">
        <v>0.0156</v>
      </c>
      <c r="H25" s="27" t="s">
        <v>133</v>
      </c>
      <c r="I25" s="27">
        <v>55.0</v>
      </c>
      <c r="J25" s="32">
        <v>0.1763</v>
      </c>
      <c r="K25" s="18">
        <f>100-3.8</f>
        <v>96.2</v>
      </c>
    </row>
    <row r="26" ht="22.5" customHeight="1">
      <c r="A26" s="5" t="s">
        <v>11</v>
      </c>
      <c r="B26" s="5" t="s">
        <v>64</v>
      </c>
      <c r="C26" s="27">
        <v>327.0</v>
      </c>
      <c r="D26" s="27" t="s">
        <v>17</v>
      </c>
      <c r="E26" s="27" t="s">
        <v>17</v>
      </c>
      <c r="F26" s="27">
        <v>4.0</v>
      </c>
      <c r="G26" s="32">
        <v>0.0122</v>
      </c>
      <c r="H26" s="27" t="s">
        <v>137</v>
      </c>
      <c r="I26" s="27">
        <v>58.0</v>
      </c>
      <c r="J26" s="32">
        <v>0.2042</v>
      </c>
      <c r="K26" s="18">
        <f>100-4.74</f>
        <v>95.26</v>
      </c>
    </row>
    <row r="27" ht="22.5" customHeight="1">
      <c r="A27" s="5" t="s">
        <v>11</v>
      </c>
      <c r="B27" s="5" t="s">
        <v>82</v>
      </c>
      <c r="C27" s="27">
        <v>425.0</v>
      </c>
      <c r="D27" s="27">
        <v>1.0</v>
      </c>
      <c r="E27" s="32">
        <v>0.0023</v>
      </c>
      <c r="F27" s="27">
        <v>10.0</v>
      </c>
      <c r="G27" s="32">
        <v>0.0235</v>
      </c>
      <c r="H27" s="27" t="s">
        <v>141</v>
      </c>
      <c r="I27" s="27">
        <v>61.0</v>
      </c>
      <c r="J27" s="32">
        <v>0.1593</v>
      </c>
      <c r="K27" s="18">
        <f>100-6.44</f>
        <v>93.56</v>
      </c>
    </row>
    <row r="28" ht="22.5" customHeight="1">
      <c r="A28" s="5" t="s">
        <v>11</v>
      </c>
      <c r="B28" s="5" t="s">
        <v>136</v>
      </c>
      <c r="C28" s="27">
        <v>372.0</v>
      </c>
      <c r="D28" s="27">
        <v>1.0</v>
      </c>
      <c r="E28" s="32">
        <v>0.0027</v>
      </c>
      <c r="F28" s="27">
        <v>3.0</v>
      </c>
      <c r="G28" s="32">
        <v>0.0081</v>
      </c>
      <c r="H28" s="27" t="s">
        <v>146</v>
      </c>
      <c r="I28" s="27">
        <v>64.0</v>
      </c>
      <c r="J28" s="32">
        <v>0.1934</v>
      </c>
      <c r="K28" s="18">
        <f>100-9.26</f>
        <v>90.74</v>
      </c>
    </row>
    <row r="29" ht="22.5" customHeight="1">
      <c r="A29" s="5" t="s">
        <v>11</v>
      </c>
      <c r="B29" s="5" t="s">
        <v>50</v>
      </c>
      <c r="C29" s="27">
        <v>395.0</v>
      </c>
      <c r="D29" s="27" t="s">
        <v>17</v>
      </c>
      <c r="E29" s="27" t="s">
        <v>17</v>
      </c>
      <c r="F29" s="27">
        <v>16.0</v>
      </c>
      <c r="G29" s="32">
        <v>0.0405</v>
      </c>
      <c r="H29" s="27" t="s">
        <v>150</v>
      </c>
      <c r="I29" s="27">
        <v>61.0</v>
      </c>
      <c r="J29" s="32">
        <v>0.2068</v>
      </c>
      <c r="K29" s="18">
        <f>100-7</f>
        <v>93</v>
      </c>
    </row>
    <row r="30" ht="22.5" customHeight="1">
      <c r="A30" s="5" t="s">
        <v>11</v>
      </c>
      <c r="B30" s="5" t="s">
        <v>153</v>
      </c>
      <c r="C30" s="27">
        <v>296.0</v>
      </c>
      <c r="D30" s="27">
        <v>1.0</v>
      </c>
      <c r="E30" s="32">
        <v>0.0034</v>
      </c>
      <c r="F30" s="27">
        <v>7.0</v>
      </c>
      <c r="G30" s="32">
        <v>0.0236</v>
      </c>
      <c r="H30" s="27" t="s">
        <v>154</v>
      </c>
      <c r="I30" s="27">
        <v>10.0</v>
      </c>
      <c r="J30" s="32">
        <v>0.0353</v>
      </c>
      <c r="K30" s="18">
        <f>100-3.44</f>
        <v>96.56</v>
      </c>
    </row>
    <row r="31" ht="22.5" customHeight="1">
      <c r="A31" s="5" t="s">
        <v>11</v>
      </c>
      <c r="B31" s="5" t="s">
        <v>156</v>
      </c>
      <c r="C31" s="27">
        <v>314.0</v>
      </c>
      <c r="D31" s="27" t="s">
        <v>17</v>
      </c>
      <c r="E31" s="27" t="s">
        <v>17</v>
      </c>
      <c r="F31" s="27">
        <v>3.0</v>
      </c>
      <c r="G31" s="32">
        <v>0.0096</v>
      </c>
      <c r="H31" s="27" t="s">
        <v>157</v>
      </c>
      <c r="I31" s="27">
        <v>36.0</v>
      </c>
      <c r="J31" s="32">
        <v>0.1314</v>
      </c>
      <c r="K31" s="18">
        <f>100-12.9</f>
        <v>87.1</v>
      </c>
    </row>
    <row r="32" ht="22.5" customHeight="1">
      <c r="A32" s="5" t="s">
        <v>11</v>
      </c>
      <c r="B32" s="5" t="s">
        <v>159</v>
      </c>
      <c r="C32" s="27">
        <v>365.0</v>
      </c>
      <c r="D32" s="27">
        <v>1.0</v>
      </c>
      <c r="E32" s="32">
        <v>0.0027</v>
      </c>
      <c r="F32" s="27">
        <v>14.0</v>
      </c>
      <c r="G32" s="32">
        <v>0.0384</v>
      </c>
      <c r="H32" s="27" t="s">
        <v>160</v>
      </c>
      <c r="I32" s="27">
        <v>39.0</v>
      </c>
      <c r="J32" s="32">
        <v>0.1287</v>
      </c>
      <c r="K32" s="18">
        <f>100-4.56</f>
        <v>95.44</v>
      </c>
    </row>
    <row r="33" ht="22.5" customHeight="1">
      <c r="A33" s="5" t="s">
        <v>11</v>
      </c>
      <c r="B33" s="5" t="s">
        <v>119</v>
      </c>
      <c r="C33" s="27">
        <v>302.0</v>
      </c>
      <c r="D33" s="27" t="s">
        <v>17</v>
      </c>
      <c r="E33" s="27" t="s">
        <v>17</v>
      </c>
      <c r="F33" s="27">
        <v>5.0</v>
      </c>
      <c r="G33" s="32">
        <v>0.0166</v>
      </c>
      <c r="H33" s="27" t="s">
        <v>162</v>
      </c>
      <c r="I33" s="27">
        <v>40.0</v>
      </c>
      <c r="J33" s="32">
        <v>0.1444</v>
      </c>
      <c r="K33" s="18">
        <f>100-10.18</f>
        <v>89.82</v>
      </c>
    </row>
    <row r="34" ht="22.5" customHeight="1">
      <c r="A34" s="5" t="s">
        <v>11</v>
      </c>
      <c r="B34" s="5" t="s">
        <v>114</v>
      </c>
      <c r="C34" s="27">
        <v>345.0</v>
      </c>
      <c r="D34" s="27">
        <v>1.0</v>
      </c>
      <c r="E34" s="32">
        <v>0.0029</v>
      </c>
      <c r="F34" s="27">
        <v>7.0</v>
      </c>
      <c r="G34" s="32">
        <v>0.0203</v>
      </c>
      <c r="H34" s="27" t="s">
        <v>164</v>
      </c>
      <c r="I34" s="27">
        <v>69.0</v>
      </c>
      <c r="J34" s="32">
        <v>0.2347</v>
      </c>
      <c r="K34" s="18">
        <f>100-1.59</f>
        <v>98.41</v>
      </c>
    </row>
    <row r="35" ht="22.5" customHeight="1">
      <c r="A35" s="5" t="s">
        <v>11</v>
      </c>
      <c r="B35" s="5" t="s">
        <v>145</v>
      </c>
      <c r="C35" s="27">
        <v>313.0</v>
      </c>
      <c r="D35" s="27">
        <v>4.0</v>
      </c>
      <c r="E35" s="32">
        <v>0.0126</v>
      </c>
      <c r="F35" s="27">
        <v>18.0</v>
      </c>
      <c r="G35" s="32">
        <v>0.0575</v>
      </c>
      <c r="H35" s="27" t="s">
        <v>168</v>
      </c>
      <c r="I35" s="27">
        <v>46.0</v>
      </c>
      <c r="J35" s="32">
        <v>0.1762</v>
      </c>
      <c r="K35" s="18">
        <f>100-4.54</f>
        <v>95.46</v>
      </c>
    </row>
    <row r="36" ht="22.5" customHeight="1">
      <c r="A36" s="5" t="s">
        <v>11</v>
      </c>
      <c r="B36" s="5" t="s">
        <v>170</v>
      </c>
      <c r="C36" s="27">
        <v>314.0</v>
      </c>
      <c r="D36" s="27">
        <v>1.0</v>
      </c>
      <c r="E36" s="32">
        <v>0.0032</v>
      </c>
      <c r="F36" s="27">
        <v>5.0</v>
      </c>
      <c r="G36" s="32">
        <v>0.0159</v>
      </c>
      <c r="H36" s="27" t="s">
        <v>171</v>
      </c>
      <c r="I36" s="27">
        <v>78.0</v>
      </c>
      <c r="J36" s="32">
        <v>0.2796</v>
      </c>
      <c r="K36" s="18">
        <f>100-5.53</f>
        <v>94.47</v>
      </c>
    </row>
    <row r="37" ht="22.5" customHeight="1">
      <c r="A37" s="5" t="s">
        <v>11</v>
      </c>
      <c r="B37" s="5" t="s">
        <v>126</v>
      </c>
      <c r="C37" s="27">
        <v>263.0</v>
      </c>
      <c r="D37" s="27" t="s">
        <v>17</v>
      </c>
      <c r="E37" s="27" t="s">
        <v>17</v>
      </c>
      <c r="F37" s="27">
        <v>2.0</v>
      </c>
      <c r="G37" s="32">
        <v>0.0076</v>
      </c>
      <c r="H37" s="27" t="s">
        <v>176</v>
      </c>
      <c r="I37" s="27">
        <v>23.0</v>
      </c>
      <c r="J37" s="32">
        <v>0.0954</v>
      </c>
      <c r="K37" s="18">
        <f>100-1.37</f>
        <v>98.63</v>
      </c>
    </row>
    <row r="38" ht="22.5" customHeight="1">
      <c r="A38" s="5" t="s">
        <v>11</v>
      </c>
      <c r="B38" s="5" t="s">
        <v>104</v>
      </c>
      <c r="C38" s="27">
        <v>164.0</v>
      </c>
      <c r="D38" s="27">
        <v>1.0</v>
      </c>
      <c r="E38" s="32">
        <v>0.0061</v>
      </c>
      <c r="F38" s="27">
        <v>1.0</v>
      </c>
      <c r="G38" s="32">
        <v>0.0064</v>
      </c>
      <c r="H38" s="27" t="s">
        <v>180</v>
      </c>
      <c r="I38" s="27">
        <v>0.0</v>
      </c>
      <c r="J38" s="27">
        <v>0.0</v>
      </c>
      <c r="K38" s="27">
        <v>100.0</v>
      </c>
    </row>
    <row r="39" ht="22.5" customHeight="1">
      <c r="A39" s="5" t="s">
        <v>11</v>
      </c>
      <c r="B39" s="5" t="s">
        <v>46</v>
      </c>
      <c r="C39" s="27">
        <v>88.0</v>
      </c>
      <c r="D39" s="27">
        <v>1.0</v>
      </c>
      <c r="E39" s="32">
        <v>0.0112</v>
      </c>
      <c r="F39" s="27">
        <v>1.0</v>
      </c>
      <c r="G39" s="32">
        <v>0.0114</v>
      </c>
      <c r="H39" s="27" t="s">
        <v>105</v>
      </c>
      <c r="I39" s="27">
        <v>9.0</v>
      </c>
      <c r="J39" s="32">
        <v>0.1216</v>
      </c>
      <c r="K39" s="18">
        <f>100-4.99</f>
        <v>95.01</v>
      </c>
    </row>
    <row r="40" ht="22.5" customHeight="1">
      <c r="A40" s="5" t="s">
        <v>185</v>
      </c>
      <c r="B40" s="5" t="s">
        <v>136</v>
      </c>
      <c r="C40" s="13">
        <v>85.0</v>
      </c>
      <c r="D40" s="42">
        <v>1.0</v>
      </c>
      <c r="E40" s="42" t="s">
        <v>187</v>
      </c>
      <c r="F40" s="42">
        <v>5.0</v>
      </c>
      <c r="G40" s="42" t="s">
        <v>188</v>
      </c>
      <c r="H40" s="43" t="s">
        <v>189</v>
      </c>
      <c r="I40" s="44">
        <v>40.0</v>
      </c>
      <c r="J40" s="42" t="s">
        <v>190</v>
      </c>
      <c r="K40" s="46" t="s">
        <v>192</v>
      </c>
    </row>
    <row r="41" ht="22.5" customHeight="1">
      <c r="A41" s="5" t="s">
        <v>185</v>
      </c>
      <c r="B41" s="5" t="s">
        <v>33</v>
      </c>
      <c r="C41" s="13">
        <v>294.0</v>
      </c>
      <c r="D41" s="42">
        <v>2.0</v>
      </c>
      <c r="E41" s="42" t="s">
        <v>196</v>
      </c>
      <c r="F41" s="42">
        <v>11.0</v>
      </c>
      <c r="G41" s="42" t="s">
        <v>198</v>
      </c>
      <c r="H41" s="43" t="s">
        <v>199</v>
      </c>
      <c r="I41" s="44">
        <v>150.0</v>
      </c>
      <c r="J41" s="42" t="s">
        <v>200</v>
      </c>
      <c r="K41" s="46" t="s">
        <v>201</v>
      </c>
    </row>
    <row r="42" ht="22.5" customHeight="1">
      <c r="A42" s="5" t="s">
        <v>185</v>
      </c>
      <c r="B42" s="5" t="s">
        <v>26</v>
      </c>
      <c r="C42" s="13">
        <v>528.0</v>
      </c>
      <c r="D42" s="13">
        <v>4.0</v>
      </c>
      <c r="E42" s="13" t="s">
        <v>207</v>
      </c>
      <c r="F42" s="13">
        <v>21.0</v>
      </c>
      <c r="G42" s="13" t="s">
        <v>208</v>
      </c>
      <c r="H42" s="43" t="s">
        <v>209</v>
      </c>
      <c r="I42" s="44">
        <v>83.0</v>
      </c>
      <c r="J42" s="42" t="s">
        <v>210</v>
      </c>
      <c r="K42" s="46" t="s">
        <v>211</v>
      </c>
    </row>
    <row r="43" ht="22.5" customHeight="1">
      <c r="A43" s="5" t="s">
        <v>185</v>
      </c>
      <c r="B43" s="5" t="s">
        <v>63</v>
      </c>
      <c r="C43" s="13">
        <v>1134.0</v>
      </c>
      <c r="D43" s="42">
        <v>4.0</v>
      </c>
      <c r="E43" s="42" t="s">
        <v>215</v>
      </c>
      <c r="F43" s="42">
        <v>27.0</v>
      </c>
      <c r="G43" s="42" t="s">
        <v>217</v>
      </c>
      <c r="H43" s="43" t="s">
        <v>219</v>
      </c>
      <c r="I43" s="44">
        <v>452.0</v>
      </c>
      <c r="J43" s="42" t="s">
        <v>220</v>
      </c>
      <c r="K43" s="46" t="s">
        <v>221</v>
      </c>
    </row>
    <row r="44" ht="22.5" customHeight="1">
      <c r="A44" s="5" t="s">
        <v>185</v>
      </c>
      <c r="B44" s="5" t="s">
        <v>13</v>
      </c>
      <c r="C44" s="13">
        <v>731.0</v>
      </c>
      <c r="D44" s="42">
        <v>1.0</v>
      </c>
      <c r="E44" s="42" t="s">
        <v>225</v>
      </c>
      <c r="F44" s="42">
        <v>29.0</v>
      </c>
      <c r="G44" s="42" t="s">
        <v>226</v>
      </c>
      <c r="H44" s="43" t="s">
        <v>228</v>
      </c>
      <c r="I44" s="44">
        <v>269.0</v>
      </c>
      <c r="J44" s="42" t="s">
        <v>229</v>
      </c>
      <c r="K44" s="46" t="s">
        <v>230</v>
      </c>
    </row>
    <row r="45" ht="22.5" customHeight="1">
      <c r="A45" s="5" t="s">
        <v>185</v>
      </c>
      <c r="B45" s="5" t="s">
        <v>153</v>
      </c>
      <c r="C45" s="13">
        <v>166.0</v>
      </c>
      <c r="D45" s="42">
        <v>1.0</v>
      </c>
      <c r="E45" s="42" t="s">
        <v>238</v>
      </c>
      <c r="F45" s="42">
        <v>6.0</v>
      </c>
      <c r="G45" s="42" t="s">
        <v>241</v>
      </c>
      <c r="H45" s="43">
        <v>16936.0</v>
      </c>
      <c r="I45" s="44">
        <v>88.0</v>
      </c>
      <c r="J45" s="42" t="s">
        <v>243</v>
      </c>
      <c r="K45" s="46" t="s">
        <v>244</v>
      </c>
    </row>
    <row r="46" ht="22.5" customHeight="1">
      <c r="A46" s="5" t="s">
        <v>185</v>
      </c>
      <c r="B46" s="5" t="s">
        <v>19</v>
      </c>
      <c r="C46" s="13">
        <v>380.0</v>
      </c>
      <c r="D46" s="42">
        <v>2.0</v>
      </c>
      <c r="E46" s="42" t="s">
        <v>247</v>
      </c>
      <c r="F46" s="42">
        <v>12.0</v>
      </c>
      <c r="G46" s="42" t="s">
        <v>249</v>
      </c>
      <c r="H46" s="43" t="s">
        <v>251</v>
      </c>
      <c r="I46" s="44">
        <v>170.0</v>
      </c>
      <c r="J46" s="42" t="s">
        <v>252</v>
      </c>
      <c r="K46" s="46" t="s">
        <v>253</v>
      </c>
    </row>
    <row r="47" ht="22.5" customHeight="1">
      <c r="A47" s="5" t="s">
        <v>185</v>
      </c>
      <c r="B47" s="5" t="s">
        <v>15</v>
      </c>
      <c r="C47" s="13">
        <v>59.0</v>
      </c>
      <c r="D47" s="42">
        <v>0.0</v>
      </c>
      <c r="E47" s="42" t="s">
        <v>258</v>
      </c>
      <c r="F47" s="42">
        <v>1.0</v>
      </c>
      <c r="G47" s="42" t="s">
        <v>260</v>
      </c>
      <c r="H47" s="43" t="s">
        <v>261</v>
      </c>
      <c r="I47" s="44">
        <v>8.0</v>
      </c>
      <c r="J47" s="42" t="s">
        <v>263</v>
      </c>
      <c r="K47" s="46" t="s">
        <v>264</v>
      </c>
    </row>
    <row r="48" ht="22.5" customHeight="1">
      <c r="A48" s="5" t="s">
        <v>185</v>
      </c>
      <c r="B48" s="5" t="s">
        <v>82</v>
      </c>
      <c r="C48" s="13">
        <v>155.0</v>
      </c>
      <c r="D48" s="42">
        <v>0.0</v>
      </c>
      <c r="E48" s="42" t="s">
        <v>258</v>
      </c>
      <c r="F48" s="42">
        <v>0.0</v>
      </c>
      <c r="G48" s="42" t="s">
        <v>258</v>
      </c>
      <c r="H48" s="13">
        <v>0.0</v>
      </c>
      <c r="I48" s="44">
        <v>79.0</v>
      </c>
      <c r="J48" s="42" t="s">
        <v>270</v>
      </c>
      <c r="K48" s="46" t="s">
        <v>271</v>
      </c>
    </row>
    <row r="49" ht="22.5" customHeight="1">
      <c r="A49" s="5" t="s">
        <v>185</v>
      </c>
      <c r="B49" s="5" t="s">
        <v>59</v>
      </c>
      <c r="C49" s="13">
        <v>123.0</v>
      </c>
      <c r="D49" s="42">
        <v>0.0</v>
      </c>
      <c r="E49" s="42" t="s">
        <v>258</v>
      </c>
      <c r="F49" s="42">
        <v>2.0</v>
      </c>
      <c r="G49" s="42" t="s">
        <v>273</v>
      </c>
      <c r="H49" s="43">
        <v>6844.0</v>
      </c>
      <c r="I49" s="44">
        <v>52.0</v>
      </c>
      <c r="J49" s="42" t="s">
        <v>276</v>
      </c>
      <c r="K49" s="46" t="s">
        <v>278</v>
      </c>
    </row>
    <row r="50" ht="22.5" customHeight="1">
      <c r="A50" s="5" t="s">
        <v>185</v>
      </c>
      <c r="B50" s="35" t="s">
        <v>79</v>
      </c>
      <c r="C50" s="13">
        <v>253.0</v>
      </c>
      <c r="D50" s="42">
        <v>1.0</v>
      </c>
      <c r="E50" s="42" t="s">
        <v>280</v>
      </c>
      <c r="F50" s="42">
        <v>5.0</v>
      </c>
      <c r="G50" s="42" t="s">
        <v>283</v>
      </c>
      <c r="H50" s="43">
        <v>50460.0</v>
      </c>
      <c r="I50" s="44">
        <v>114.0</v>
      </c>
      <c r="J50" s="42" t="s">
        <v>285</v>
      </c>
      <c r="K50" s="46" t="s">
        <v>287</v>
      </c>
    </row>
    <row r="51" ht="22.5" customHeight="1">
      <c r="A51" s="5" t="s">
        <v>185</v>
      </c>
      <c r="B51" s="5" t="s">
        <v>45</v>
      </c>
      <c r="C51" s="13">
        <v>245.0</v>
      </c>
      <c r="D51" s="42">
        <v>1.0</v>
      </c>
      <c r="E51" s="42" t="s">
        <v>280</v>
      </c>
      <c r="F51" s="42">
        <v>8.0</v>
      </c>
      <c r="G51" s="42" t="s">
        <v>288</v>
      </c>
      <c r="H51" s="43">
        <v>5452.0</v>
      </c>
      <c r="I51" s="44">
        <v>25.0</v>
      </c>
      <c r="J51" s="42" t="s">
        <v>292</v>
      </c>
      <c r="K51" s="46" t="s">
        <v>295</v>
      </c>
    </row>
    <row r="52" ht="22.5" customHeight="1">
      <c r="A52" s="5" t="s">
        <v>185</v>
      </c>
      <c r="B52" s="5" t="s">
        <v>39</v>
      </c>
      <c r="C52" s="13">
        <v>52.0</v>
      </c>
      <c r="D52" s="42">
        <v>0.0</v>
      </c>
      <c r="E52" s="42" t="s">
        <v>258</v>
      </c>
      <c r="F52" s="42">
        <v>2.0</v>
      </c>
      <c r="G52" s="42" t="s">
        <v>300</v>
      </c>
      <c r="H52" s="13">
        <v>0.0</v>
      </c>
      <c r="I52" s="44">
        <v>33.0</v>
      </c>
      <c r="J52" s="42" t="s">
        <v>302</v>
      </c>
      <c r="K52" s="46" t="s">
        <v>303</v>
      </c>
    </row>
    <row r="53" ht="22.5" customHeight="1">
      <c r="A53" s="5" t="s">
        <v>185</v>
      </c>
      <c r="B53" s="5" t="s">
        <v>114</v>
      </c>
      <c r="C53" s="13">
        <v>132.0</v>
      </c>
      <c r="D53" s="42">
        <v>3.0</v>
      </c>
      <c r="E53" s="42" t="s">
        <v>306</v>
      </c>
      <c r="F53" s="42">
        <v>4.0</v>
      </c>
      <c r="G53" s="42" t="s">
        <v>309</v>
      </c>
      <c r="H53" s="43" t="s">
        <v>310</v>
      </c>
      <c r="I53" s="44">
        <v>99.0</v>
      </c>
      <c r="J53" s="42" t="s">
        <v>311</v>
      </c>
      <c r="K53" s="46" t="s">
        <v>314</v>
      </c>
    </row>
    <row r="54" ht="22.5" customHeight="1">
      <c r="A54" s="5" t="s">
        <v>185</v>
      </c>
      <c r="B54" s="5" t="s">
        <v>77</v>
      </c>
      <c r="C54" s="13">
        <v>131.0</v>
      </c>
      <c r="D54" s="42">
        <v>0.0</v>
      </c>
      <c r="E54" s="42" t="s">
        <v>258</v>
      </c>
      <c r="F54" s="42">
        <v>8.0</v>
      </c>
      <c r="G54" s="42" t="s">
        <v>319</v>
      </c>
      <c r="H54" s="43" t="s">
        <v>321</v>
      </c>
      <c r="I54" s="44">
        <v>61.0</v>
      </c>
      <c r="J54" s="42" t="s">
        <v>323</v>
      </c>
      <c r="K54" s="46" t="s">
        <v>325</v>
      </c>
    </row>
    <row r="55" ht="22.5" customHeight="1">
      <c r="A55" s="5" t="s">
        <v>185</v>
      </c>
      <c r="B55" s="5" t="s">
        <v>58</v>
      </c>
      <c r="C55" s="13">
        <v>248.0</v>
      </c>
      <c r="D55" s="42">
        <v>3.0</v>
      </c>
      <c r="E55" s="42" t="s">
        <v>330</v>
      </c>
      <c r="F55" s="42">
        <v>14.0</v>
      </c>
      <c r="G55" s="42" t="s">
        <v>332</v>
      </c>
      <c r="H55" s="43" t="s">
        <v>333</v>
      </c>
      <c r="I55" s="44">
        <v>164.0</v>
      </c>
      <c r="J55" s="42" t="s">
        <v>334</v>
      </c>
      <c r="K55" s="46" t="s">
        <v>335</v>
      </c>
    </row>
    <row r="56" ht="22.5" customHeight="1">
      <c r="A56" s="5" t="s">
        <v>185</v>
      </c>
      <c r="B56" s="5" t="s">
        <v>27</v>
      </c>
      <c r="C56" s="13">
        <v>200.0</v>
      </c>
      <c r="D56" s="42">
        <v>0.0</v>
      </c>
      <c r="E56" s="42" t="s">
        <v>258</v>
      </c>
      <c r="F56" s="42">
        <v>4.0</v>
      </c>
      <c r="G56" s="42" t="s">
        <v>340</v>
      </c>
      <c r="H56" s="43">
        <v>42688.0</v>
      </c>
      <c r="I56" s="44">
        <v>117.0</v>
      </c>
      <c r="J56" s="42" t="s">
        <v>343</v>
      </c>
      <c r="K56" s="46" t="s">
        <v>345</v>
      </c>
    </row>
    <row r="57" ht="22.5" customHeight="1">
      <c r="A57" s="5" t="s">
        <v>185</v>
      </c>
      <c r="B57" s="5" t="s">
        <v>23</v>
      </c>
      <c r="C57" s="13">
        <v>295.0</v>
      </c>
      <c r="D57" s="42">
        <v>1.0</v>
      </c>
      <c r="E57" s="42" t="s">
        <v>348</v>
      </c>
      <c r="F57" s="42">
        <v>10.0</v>
      </c>
      <c r="G57" s="42" t="s">
        <v>349</v>
      </c>
      <c r="H57" s="43" t="s">
        <v>350</v>
      </c>
      <c r="I57" s="44">
        <v>152.0</v>
      </c>
      <c r="J57" s="42" t="s">
        <v>351</v>
      </c>
      <c r="K57" s="46" t="s">
        <v>353</v>
      </c>
    </row>
    <row r="58" ht="22.5" customHeight="1">
      <c r="A58" s="5" t="s">
        <v>185</v>
      </c>
      <c r="B58" s="5" t="s">
        <v>170</v>
      </c>
      <c r="C58" s="13">
        <v>89.0</v>
      </c>
      <c r="D58" s="42">
        <v>0.0</v>
      </c>
      <c r="E58" s="42" t="s">
        <v>258</v>
      </c>
      <c r="F58" s="42">
        <v>2.0</v>
      </c>
      <c r="G58" s="42" t="s">
        <v>359</v>
      </c>
      <c r="H58" s="53">
        <v>1193461.0</v>
      </c>
      <c r="I58" s="13">
        <v>37.0</v>
      </c>
      <c r="J58" s="46" t="s">
        <v>361</v>
      </c>
      <c r="K58" s="46" t="s">
        <v>363</v>
      </c>
    </row>
    <row r="59" ht="22.5" customHeight="1">
      <c r="A59" s="5" t="s">
        <v>185</v>
      </c>
      <c r="B59" s="5" t="s">
        <v>85</v>
      </c>
      <c r="C59" s="13">
        <v>166.0</v>
      </c>
      <c r="D59" s="42">
        <v>1.0</v>
      </c>
      <c r="E59" s="42" t="s">
        <v>369</v>
      </c>
      <c r="F59" s="42">
        <v>6.0</v>
      </c>
      <c r="G59" s="42" t="s">
        <v>349</v>
      </c>
      <c r="H59" s="43" t="s">
        <v>373</v>
      </c>
      <c r="I59" s="44">
        <v>75.0</v>
      </c>
      <c r="J59" s="42" t="s">
        <v>375</v>
      </c>
      <c r="K59" s="46" t="s">
        <v>376</v>
      </c>
    </row>
    <row r="60" ht="22.5" customHeight="1">
      <c r="A60" s="5" t="s">
        <v>185</v>
      </c>
      <c r="B60" s="5" t="s">
        <v>90</v>
      </c>
      <c r="C60" s="13">
        <v>17.0</v>
      </c>
      <c r="D60" s="42">
        <v>0.0</v>
      </c>
      <c r="E60" s="42" t="s">
        <v>258</v>
      </c>
      <c r="F60" s="42">
        <v>0.0</v>
      </c>
      <c r="G60" s="42" t="s">
        <v>258</v>
      </c>
      <c r="H60" s="13">
        <v>0.0</v>
      </c>
      <c r="I60" s="44">
        <v>9.0</v>
      </c>
      <c r="J60" s="42" t="s">
        <v>384</v>
      </c>
      <c r="K60" s="46" t="s">
        <v>385</v>
      </c>
    </row>
    <row r="61" ht="22.5" customHeight="1">
      <c r="A61" s="5" t="s">
        <v>383</v>
      </c>
      <c r="B61" s="5" t="s">
        <v>13</v>
      </c>
      <c r="C61" s="62">
        <v>296.0</v>
      </c>
      <c r="D61" s="62">
        <v>2.0</v>
      </c>
      <c r="E61" s="63">
        <v>0.007</v>
      </c>
      <c r="F61" s="64">
        <v>10.0</v>
      </c>
      <c r="G61" s="63">
        <v>0.034</v>
      </c>
      <c r="H61" s="66" t="s">
        <v>388</v>
      </c>
      <c r="I61" s="64">
        <v>4.0</v>
      </c>
      <c r="J61" s="63">
        <v>0.014</v>
      </c>
      <c r="K61" s="67">
        <v>0.9308</v>
      </c>
    </row>
    <row r="62" ht="22.5" customHeight="1">
      <c r="A62" s="5" t="s">
        <v>383</v>
      </c>
      <c r="B62" s="5" t="s">
        <v>26</v>
      </c>
      <c r="C62" s="27">
        <v>234.0</v>
      </c>
      <c r="D62" s="62">
        <v>0.0</v>
      </c>
      <c r="E62" s="63">
        <v>0.0</v>
      </c>
      <c r="F62" s="64">
        <v>7.0</v>
      </c>
      <c r="G62" s="63">
        <v>0.03</v>
      </c>
      <c r="H62" s="66" t="s">
        <v>388</v>
      </c>
      <c r="I62" s="64">
        <v>3.0</v>
      </c>
      <c r="J62" s="63">
        <v>0.013</v>
      </c>
      <c r="K62" s="32">
        <v>0.9552</v>
      </c>
    </row>
    <row r="63" ht="22.5" customHeight="1">
      <c r="A63" s="5" t="s">
        <v>383</v>
      </c>
      <c r="B63" s="5" t="s">
        <v>19</v>
      </c>
      <c r="C63" s="62">
        <v>192.0</v>
      </c>
      <c r="D63" s="62">
        <v>0.0</v>
      </c>
      <c r="E63" s="63">
        <v>0.0</v>
      </c>
      <c r="F63" s="64">
        <v>7.0</v>
      </c>
      <c r="G63" s="63">
        <v>0.036</v>
      </c>
      <c r="H63" s="66" t="s">
        <v>388</v>
      </c>
      <c r="I63" s="64">
        <v>29.0</v>
      </c>
      <c r="J63" s="63">
        <v>0.163</v>
      </c>
      <c r="K63" s="32">
        <v>0.8882</v>
      </c>
    </row>
    <row r="64" ht="22.5" customHeight="1">
      <c r="A64" s="5" t="s">
        <v>383</v>
      </c>
      <c r="B64" s="5" t="s">
        <v>23</v>
      </c>
      <c r="C64" s="62">
        <v>160.0</v>
      </c>
      <c r="D64" s="62">
        <v>0.0</v>
      </c>
      <c r="E64" s="63">
        <v>0.0</v>
      </c>
      <c r="F64" s="64">
        <v>5.0</v>
      </c>
      <c r="G64" s="63">
        <v>0.031</v>
      </c>
      <c r="H64" s="66" t="s">
        <v>388</v>
      </c>
      <c r="I64" s="64">
        <v>5.0</v>
      </c>
      <c r="J64" s="63">
        <v>0.032</v>
      </c>
      <c r="K64" s="32">
        <v>1.0</v>
      </c>
    </row>
    <row r="65" ht="22.5" customHeight="1">
      <c r="A65" s="5" t="s">
        <v>383</v>
      </c>
      <c r="B65" s="5" t="s">
        <v>33</v>
      </c>
      <c r="C65" s="62">
        <v>123.0</v>
      </c>
      <c r="D65" s="62">
        <v>0.0</v>
      </c>
      <c r="E65" s="63">
        <v>0.0</v>
      </c>
      <c r="F65" s="64">
        <v>3.0</v>
      </c>
      <c r="G65" s="63">
        <v>0.024</v>
      </c>
      <c r="H65" s="66" t="s">
        <v>388</v>
      </c>
      <c r="I65" s="64">
        <v>16.0</v>
      </c>
      <c r="J65" s="63">
        <v>0.13</v>
      </c>
      <c r="K65" s="32">
        <v>0.9329</v>
      </c>
    </row>
    <row r="66" ht="22.5" customHeight="1">
      <c r="A66" s="5" t="s">
        <v>383</v>
      </c>
      <c r="B66" s="35" t="s">
        <v>79</v>
      </c>
      <c r="C66" s="27">
        <v>115.0</v>
      </c>
      <c r="D66" s="27">
        <v>0.0</v>
      </c>
      <c r="E66" s="32">
        <v>0.0</v>
      </c>
      <c r="F66" s="27">
        <v>3.0</v>
      </c>
      <c r="G66" s="32">
        <v>0.026</v>
      </c>
      <c r="H66" s="66" t="s">
        <v>388</v>
      </c>
      <c r="I66" s="27">
        <v>2.0</v>
      </c>
      <c r="J66" s="32">
        <v>0.017</v>
      </c>
      <c r="K66" s="32">
        <v>0.9965</v>
      </c>
    </row>
    <row r="67" ht="22.5" customHeight="1">
      <c r="A67" s="5" t="s">
        <v>383</v>
      </c>
      <c r="B67" s="5" t="s">
        <v>63</v>
      </c>
      <c r="C67" s="62">
        <v>113.0</v>
      </c>
      <c r="D67" s="62">
        <v>1.0</v>
      </c>
      <c r="E67" s="63">
        <v>0.009</v>
      </c>
      <c r="F67" s="64">
        <v>2.0</v>
      </c>
      <c r="G67" s="63">
        <v>0.018</v>
      </c>
      <c r="H67" s="66" t="s">
        <v>388</v>
      </c>
      <c r="I67" s="64">
        <v>4.0</v>
      </c>
      <c r="J67" s="63">
        <v>0.036</v>
      </c>
      <c r="K67" s="32">
        <v>0.9978</v>
      </c>
    </row>
    <row r="68" ht="22.5" customHeight="1">
      <c r="A68" s="5" t="s">
        <v>383</v>
      </c>
      <c r="B68" s="5" t="s">
        <v>77</v>
      </c>
      <c r="C68" s="62">
        <v>106.0</v>
      </c>
      <c r="D68" s="62">
        <v>3.0</v>
      </c>
      <c r="E68" s="63">
        <v>0.028</v>
      </c>
      <c r="F68" s="64">
        <v>3.0</v>
      </c>
      <c r="G68" s="63">
        <v>0.028</v>
      </c>
      <c r="H68" s="66" t="s">
        <v>388</v>
      </c>
      <c r="I68" s="64">
        <v>0.0</v>
      </c>
      <c r="J68" s="63">
        <v>0.0</v>
      </c>
      <c r="K68" s="32">
        <v>0.9563</v>
      </c>
    </row>
    <row r="69" ht="22.5" customHeight="1">
      <c r="A69" s="5" t="s">
        <v>383</v>
      </c>
      <c r="B69" s="5" t="s">
        <v>58</v>
      </c>
      <c r="C69" s="27">
        <v>104.0</v>
      </c>
      <c r="D69" s="27">
        <v>0.0</v>
      </c>
      <c r="E69" s="32">
        <v>0.0</v>
      </c>
      <c r="F69" s="27">
        <v>9.0</v>
      </c>
      <c r="G69" s="32">
        <v>0.087</v>
      </c>
      <c r="H69" s="66" t="s">
        <v>388</v>
      </c>
      <c r="I69" s="27">
        <v>2.0</v>
      </c>
      <c r="J69" s="32">
        <v>0.02</v>
      </c>
      <c r="K69" s="32">
        <v>0.9989</v>
      </c>
    </row>
    <row r="70" ht="22.5" customHeight="1">
      <c r="A70" s="5" t="s">
        <v>383</v>
      </c>
      <c r="B70" s="5" t="s">
        <v>45</v>
      </c>
      <c r="C70" s="27">
        <v>91.0</v>
      </c>
      <c r="D70" s="27">
        <v>3.0</v>
      </c>
      <c r="E70" s="32">
        <v>0.032</v>
      </c>
      <c r="F70" s="27">
        <v>5.0</v>
      </c>
      <c r="G70" s="32">
        <v>0.053</v>
      </c>
      <c r="H70" s="66" t="s">
        <v>388</v>
      </c>
      <c r="I70" s="27">
        <v>1.0</v>
      </c>
      <c r="J70" s="32">
        <v>0.011</v>
      </c>
      <c r="K70" s="32">
        <v>1.0</v>
      </c>
    </row>
    <row r="71" ht="22.5" customHeight="1">
      <c r="A71" s="5" t="s">
        <v>383</v>
      </c>
      <c r="B71" s="5" t="s">
        <v>114</v>
      </c>
      <c r="C71" s="27">
        <v>82.0</v>
      </c>
      <c r="D71" s="27">
        <v>0.0</v>
      </c>
      <c r="E71" s="32">
        <v>0.0</v>
      </c>
      <c r="F71" s="27">
        <v>2.0</v>
      </c>
      <c r="G71" s="32">
        <v>0.024</v>
      </c>
      <c r="H71" s="66" t="s">
        <v>388</v>
      </c>
      <c r="I71" s="27">
        <v>6.0</v>
      </c>
      <c r="J71" s="32">
        <v>0.075</v>
      </c>
      <c r="K71" s="32">
        <v>0.9358</v>
      </c>
    </row>
    <row r="72" ht="22.5" customHeight="1">
      <c r="A72" s="5" t="s">
        <v>383</v>
      </c>
      <c r="B72" s="5" t="s">
        <v>27</v>
      </c>
      <c r="C72" s="27">
        <v>68.0</v>
      </c>
      <c r="D72" s="27">
        <v>0.0</v>
      </c>
      <c r="E72" s="32">
        <v>0.0</v>
      </c>
      <c r="F72" s="27">
        <v>3.0</v>
      </c>
      <c r="G72" s="32">
        <v>0.044</v>
      </c>
      <c r="H72" s="66" t="s">
        <v>388</v>
      </c>
      <c r="I72" s="27">
        <v>2.0</v>
      </c>
      <c r="J72" s="32">
        <v>0.03</v>
      </c>
      <c r="K72" s="32">
        <v>0.9569</v>
      </c>
    </row>
    <row r="73" ht="22.5" customHeight="1">
      <c r="A73" s="5" t="s">
        <v>383</v>
      </c>
      <c r="B73" s="5" t="s">
        <v>85</v>
      </c>
      <c r="C73" s="62">
        <v>64.0</v>
      </c>
      <c r="D73" s="62">
        <v>0.0</v>
      </c>
      <c r="E73" s="63">
        <v>0.0</v>
      </c>
      <c r="F73" s="64">
        <v>6.0</v>
      </c>
      <c r="G73" s="71">
        <v>0.094</v>
      </c>
      <c r="H73" s="66" t="s">
        <v>388</v>
      </c>
      <c r="I73" s="27">
        <v>2.0</v>
      </c>
      <c r="J73" s="32">
        <v>0.032</v>
      </c>
      <c r="K73" s="65">
        <v>0.9241</v>
      </c>
    </row>
    <row r="74" ht="22.5" customHeight="1">
      <c r="A74" s="5" t="s">
        <v>383</v>
      </c>
      <c r="B74" s="5" t="s">
        <v>153</v>
      </c>
      <c r="C74" s="62">
        <v>55.0</v>
      </c>
      <c r="D74" s="62">
        <v>0.0</v>
      </c>
      <c r="E74" s="63">
        <v>0.0</v>
      </c>
      <c r="F74" s="64">
        <v>3.0</v>
      </c>
      <c r="G74" s="63">
        <v>0.055</v>
      </c>
      <c r="H74" s="66" t="s">
        <v>388</v>
      </c>
      <c r="I74" s="27">
        <v>2.0</v>
      </c>
      <c r="J74" s="32">
        <v>0.037</v>
      </c>
      <c r="K74" s="32">
        <v>0.9787</v>
      </c>
    </row>
    <row r="75" ht="22.5" customHeight="1">
      <c r="A75" s="5" t="s">
        <v>383</v>
      </c>
      <c r="B75" s="5" t="s">
        <v>136</v>
      </c>
      <c r="C75" s="27">
        <v>48.0</v>
      </c>
      <c r="D75" s="27">
        <v>1.0</v>
      </c>
      <c r="E75" s="32">
        <v>0.02</v>
      </c>
      <c r="F75" s="27">
        <v>0.0</v>
      </c>
      <c r="G75" s="32">
        <v>0.0</v>
      </c>
      <c r="H75" s="66" t="s">
        <v>388</v>
      </c>
      <c r="I75" s="27">
        <v>0.0</v>
      </c>
      <c r="J75" s="32">
        <v>0.0</v>
      </c>
      <c r="K75" s="32">
        <v>0.8694</v>
      </c>
    </row>
    <row r="76" ht="22.5" customHeight="1">
      <c r="A76" s="5" t="s">
        <v>383</v>
      </c>
      <c r="B76" s="5" t="s">
        <v>15</v>
      </c>
      <c r="C76" s="62">
        <v>45.0</v>
      </c>
      <c r="D76" s="62">
        <v>0.0</v>
      </c>
      <c r="E76" s="63">
        <v>0.0</v>
      </c>
      <c r="F76" s="64">
        <v>2.0</v>
      </c>
      <c r="G76" s="63">
        <v>0.044</v>
      </c>
      <c r="H76" s="66" t="s">
        <v>388</v>
      </c>
      <c r="I76" s="27">
        <v>1.0</v>
      </c>
      <c r="J76" s="32">
        <v>0.023</v>
      </c>
      <c r="K76" s="32">
        <v>0.91</v>
      </c>
    </row>
    <row r="77" ht="22.5" customHeight="1">
      <c r="A77" s="5" t="s">
        <v>383</v>
      </c>
      <c r="B77" s="5" t="s">
        <v>82</v>
      </c>
      <c r="C77" s="27">
        <v>44.0</v>
      </c>
      <c r="D77" s="27">
        <v>0.0</v>
      </c>
      <c r="E77" s="32">
        <v>0.0</v>
      </c>
      <c r="F77" s="27">
        <v>0.0</v>
      </c>
      <c r="G77" s="32">
        <v>0.0</v>
      </c>
      <c r="H77" s="66" t="s">
        <v>388</v>
      </c>
      <c r="I77" s="27">
        <v>1.0</v>
      </c>
      <c r="J77" s="32">
        <v>0.023</v>
      </c>
      <c r="K77" s="32">
        <v>0.991</v>
      </c>
    </row>
    <row r="78" ht="22.5" customHeight="1">
      <c r="A78" s="5" t="s">
        <v>383</v>
      </c>
      <c r="B78" s="5" t="s">
        <v>123</v>
      </c>
      <c r="C78" s="62">
        <v>37.0</v>
      </c>
      <c r="D78" s="62">
        <v>0.0</v>
      </c>
      <c r="E78" s="63">
        <v>0.0</v>
      </c>
      <c r="F78" s="64">
        <v>1.0</v>
      </c>
      <c r="G78" s="63">
        <v>0.027</v>
      </c>
      <c r="H78" s="66" t="s">
        <v>388</v>
      </c>
      <c r="I78" s="27">
        <v>0.0</v>
      </c>
      <c r="J78" s="32">
        <v>0.0</v>
      </c>
      <c r="K78" s="32">
        <v>0.9665</v>
      </c>
    </row>
    <row r="79" ht="22.5" customHeight="1">
      <c r="A79" s="5" t="s">
        <v>383</v>
      </c>
      <c r="B79" s="5" t="s">
        <v>159</v>
      </c>
      <c r="C79" s="62">
        <v>36.0</v>
      </c>
      <c r="D79" s="62">
        <v>0.0</v>
      </c>
      <c r="E79" s="63">
        <v>0.0</v>
      </c>
      <c r="F79" s="64">
        <v>1.0</v>
      </c>
      <c r="G79" s="63">
        <v>0.028</v>
      </c>
      <c r="H79" s="66" t="s">
        <v>388</v>
      </c>
      <c r="I79" s="64">
        <v>0.0</v>
      </c>
      <c r="J79" s="63">
        <v>0.0</v>
      </c>
      <c r="K79" s="32">
        <v>0.992</v>
      </c>
    </row>
    <row r="80" ht="22.5" customHeight="1">
      <c r="A80" s="5" t="s">
        <v>383</v>
      </c>
      <c r="B80" s="5" t="s">
        <v>59</v>
      </c>
      <c r="C80" s="62">
        <v>28.0</v>
      </c>
      <c r="D80" s="62">
        <v>1.0</v>
      </c>
      <c r="E80" s="63">
        <v>0.034</v>
      </c>
      <c r="F80" s="64">
        <v>1.0</v>
      </c>
      <c r="G80" s="63">
        <v>0.034</v>
      </c>
      <c r="H80" s="66" t="s">
        <v>388</v>
      </c>
      <c r="I80" s="27">
        <v>2.0</v>
      </c>
      <c r="J80" s="32">
        <v>0.071</v>
      </c>
      <c r="K80" s="32">
        <v>0.9466</v>
      </c>
    </row>
    <row r="81" ht="22.5" customHeight="1">
      <c r="A81" s="5" t="s">
        <v>383</v>
      </c>
      <c r="B81" s="5" t="s">
        <v>39</v>
      </c>
      <c r="C81" s="62">
        <v>27.0</v>
      </c>
      <c r="D81" s="62">
        <v>1.0</v>
      </c>
      <c r="E81" s="63">
        <v>0.036</v>
      </c>
      <c r="F81" s="64">
        <v>1.0</v>
      </c>
      <c r="G81" s="63">
        <v>0.036</v>
      </c>
      <c r="H81" s="66" t="s">
        <v>388</v>
      </c>
      <c r="I81" s="27">
        <v>3.0</v>
      </c>
      <c r="J81" s="32">
        <v>0.13</v>
      </c>
      <c r="K81" s="32">
        <v>1.0</v>
      </c>
    </row>
    <row r="82" ht="22.5" customHeight="1">
      <c r="A82" s="78"/>
      <c r="B82" s="78"/>
      <c r="C82" s="18"/>
      <c r="D82" s="18"/>
      <c r="E82" s="18"/>
      <c r="F82" s="18"/>
      <c r="G82" s="18"/>
      <c r="H82" s="66" t="s">
        <v>388</v>
      </c>
      <c r="I82" s="18"/>
      <c r="J82" s="18"/>
      <c r="K82" s="18"/>
    </row>
    <row r="83">
      <c r="C83" s="79"/>
      <c r="D83" s="79"/>
      <c r="E83" s="79"/>
      <c r="F83" s="79"/>
      <c r="G83" s="79"/>
      <c r="H83" s="79"/>
      <c r="I83" s="79"/>
      <c r="J83" s="79"/>
      <c r="K83" s="79"/>
    </row>
    <row r="84">
      <c r="C84" s="79"/>
      <c r="D84" s="79"/>
      <c r="E84" s="79"/>
      <c r="F84" s="79"/>
      <c r="G84" s="79"/>
      <c r="H84" s="79"/>
      <c r="I84" s="79"/>
      <c r="J84" s="79"/>
      <c r="K84" s="79"/>
    </row>
    <row r="85">
      <c r="C85" s="79"/>
      <c r="D85" s="79"/>
      <c r="E85" s="79"/>
      <c r="F85" s="79"/>
      <c r="G85" s="79"/>
      <c r="H85" s="79"/>
      <c r="I85" s="79"/>
      <c r="J85" s="79"/>
      <c r="K85" s="79"/>
    </row>
    <row r="86">
      <c r="C86" s="79"/>
      <c r="D86" s="79"/>
      <c r="E86" s="79"/>
      <c r="F86" s="79"/>
      <c r="G86" s="79"/>
      <c r="H86" s="79"/>
      <c r="I86" s="79"/>
      <c r="J86" s="79"/>
      <c r="K86" s="79"/>
    </row>
    <row r="87">
      <c r="C87" s="79"/>
      <c r="D87" s="79"/>
      <c r="E87" s="79"/>
      <c r="F87" s="79"/>
      <c r="G87" s="79"/>
      <c r="H87" s="79"/>
      <c r="I87" s="79"/>
      <c r="J87" s="79"/>
      <c r="K87" s="79"/>
    </row>
    <row r="88">
      <c r="C88" s="79"/>
      <c r="D88" s="79"/>
      <c r="E88" s="79"/>
      <c r="F88" s="79"/>
      <c r="G88" s="79"/>
      <c r="H88" s="79"/>
      <c r="I88" s="79"/>
      <c r="J88" s="79"/>
      <c r="K88" s="79"/>
    </row>
    <row r="89">
      <c r="C89" s="79"/>
      <c r="D89" s="79"/>
      <c r="E89" s="79"/>
      <c r="F89" s="79"/>
      <c r="G89" s="79"/>
      <c r="H89" s="79"/>
      <c r="I89" s="79"/>
      <c r="J89" s="79"/>
      <c r="K89" s="79"/>
    </row>
    <row r="90">
      <c r="C90" s="79"/>
      <c r="D90" s="79"/>
      <c r="E90" s="79"/>
      <c r="F90" s="79"/>
      <c r="G90" s="79"/>
      <c r="H90" s="79"/>
      <c r="I90" s="79"/>
      <c r="J90" s="79"/>
      <c r="K90" s="79"/>
    </row>
    <row r="91">
      <c r="C91" s="79"/>
      <c r="D91" s="79"/>
      <c r="E91" s="79"/>
      <c r="F91" s="79"/>
      <c r="G91" s="79"/>
      <c r="H91" s="79"/>
      <c r="I91" s="79"/>
      <c r="J91" s="79"/>
      <c r="K91" s="79"/>
    </row>
    <row r="92">
      <c r="C92" s="79"/>
      <c r="D92" s="79"/>
      <c r="E92" s="79"/>
      <c r="F92" s="79"/>
      <c r="G92" s="79"/>
      <c r="H92" s="79"/>
      <c r="I92" s="79"/>
      <c r="J92" s="79"/>
      <c r="K92" s="79"/>
    </row>
    <row r="93">
      <c r="C93" s="79"/>
      <c r="D93" s="79"/>
      <c r="E93" s="79"/>
      <c r="F93" s="79"/>
      <c r="G93" s="79"/>
      <c r="H93" s="79"/>
      <c r="I93" s="79"/>
      <c r="J93" s="79"/>
      <c r="K93" s="79"/>
    </row>
    <row r="94">
      <c r="C94" s="79"/>
      <c r="D94" s="79"/>
      <c r="E94" s="79"/>
      <c r="F94" s="79"/>
      <c r="G94" s="79"/>
      <c r="H94" s="79"/>
      <c r="I94" s="79"/>
      <c r="J94" s="79"/>
      <c r="K94" s="79"/>
    </row>
    <row r="95">
      <c r="C95" s="79"/>
      <c r="D95" s="79"/>
      <c r="E95" s="79"/>
      <c r="F95" s="79"/>
      <c r="G95" s="79"/>
      <c r="H95" s="79"/>
      <c r="I95" s="79"/>
      <c r="J95" s="79"/>
      <c r="K95" s="79"/>
    </row>
    <row r="96">
      <c r="C96" s="79"/>
      <c r="D96" s="79"/>
      <c r="E96" s="79"/>
      <c r="F96" s="79"/>
      <c r="G96" s="79"/>
      <c r="H96" s="79"/>
      <c r="I96" s="79"/>
      <c r="J96" s="79"/>
      <c r="K96" s="79"/>
    </row>
    <row r="97">
      <c r="C97" s="79"/>
      <c r="D97" s="79"/>
      <c r="E97" s="79"/>
      <c r="F97" s="79"/>
      <c r="G97" s="79"/>
      <c r="H97" s="79"/>
      <c r="I97" s="79"/>
      <c r="J97" s="79"/>
      <c r="K97" s="79"/>
    </row>
    <row r="98">
      <c r="C98" s="79"/>
      <c r="D98" s="79"/>
      <c r="E98" s="79"/>
      <c r="F98" s="79"/>
      <c r="G98" s="79"/>
      <c r="H98" s="79"/>
      <c r="I98" s="79"/>
      <c r="J98" s="79"/>
      <c r="K98" s="79"/>
    </row>
    <row r="99">
      <c r="C99" s="79"/>
      <c r="D99" s="79"/>
      <c r="E99" s="79"/>
      <c r="F99" s="79"/>
      <c r="G99" s="79"/>
      <c r="H99" s="79"/>
      <c r="I99" s="79"/>
      <c r="J99" s="79"/>
      <c r="K99" s="79"/>
    </row>
    <row r="100">
      <c r="C100" s="79"/>
      <c r="D100" s="79"/>
      <c r="E100" s="79"/>
      <c r="F100" s="79"/>
      <c r="G100" s="79"/>
      <c r="H100" s="79"/>
      <c r="I100" s="79"/>
      <c r="J100" s="79"/>
      <c r="K100" s="79"/>
    </row>
    <row r="101">
      <c r="C101" s="79"/>
      <c r="D101" s="79"/>
      <c r="E101" s="79"/>
      <c r="F101" s="79"/>
      <c r="G101" s="79"/>
      <c r="H101" s="79"/>
      <c r="I101" s="79"/>
      <c r="J101" s="79"/>
      <c r="K101" s="79"/>
    </row>
    <row r="102">
      <c r="C102" s="79"/>
      <c r="D102" s="79"/>
      <c r="E102" s="79"/>
      <c r="F102" s="79"/>
      <c r="G102" s="79"/>
      <c r="H102" s="79"/>
      <c r="I102" s="79"/>
      <c r="J102" s="79"/>
      <c r="K102" s="79"/>
    </row>
    <row r="103">
      <c r="C103" s="79"/>
      <c r="D103" s="79"/>
      <c r="E103" s="79"/>
      <c r="F103" s="79"/>
      <c r="G103" s="79"/>
      <c r="H103" s="79"/>
      <c r="I103" s="79"/>
      <c r="J103" s="79"/>
      <c r="K103" s="79"/>
    </row>
    <row r="104">
      <c r="C104" s="79"/>
      <c r="D104" s="79"/>
      <c r="E104" s="79"/>
      <c r="F104" s="79"/>
      <c r="G104" s="79"/>
      <c r="H104" s="79"/>
      <c r="I104" s="79"/>
      <c r="J104" s="79"/>
      <c r="K104" s="79"/>
    </row>
    <row r="105">
      <c r="C105" s="79"/>
      <c r="D105" s="79"/>
      <c r="E105" s="79"/>
      <c r="F105" s="79"/>
      <c r="G105" s="79"/>
      <c r="H105" s="79"/>
      <c r="I105" s="79"/>
      <c r="J105" s="79"/>
      <c r="K105" s="79"/>
    </row>
    <row r="106">
      <c r="C106" s="79"/>
      <c r="D106" s="79"/>
      <c r="E106" s="79"/>
      <c r="F106" s="79"/>
      <c r="G106" s="79"/>
      <c r="H106" s="79"/>
      <c r="I106" s="79"/>
      <c r="J106" s="79"/>
      <c r="K106" s="79"/>
    </row>
    <row r="107">
      <c r="C107" s="79"/>
      <c r="D107" s="79"/>
      <c r="E107" s="79"/>
      <c r="F107" s="79"/>
      <c r="G107" s="79"/>
      <c r="H107" s="79"/>
      <c r="I107" s="79"/>
      <c r="J107" s="79"/>
      <c r="K107" s="79"/>
    </row>
    <row r="108">
      <c r="C108" s="79"/>
      <c r="D108" s="79"/>
      <c r="E108" s="79"/>
      <c r="F108" s="79"/>
      <c r="G108" s="79"/>
      <c r="H108" s="79"/>
      <c r="I108" s="79"/>
      <c r="J108" s="79"/>
      <c r="K108" s="79"/>
    </row>
    <row r="109">
      <c r="C109" s="79"/>
      <c r="D109" s="79"/>
      <c r="E109" s="79"/>
      <c r="F109" s="79"/>
      <c r="G109" s="79"/>
      <c r="H109" s="79"/>
      <c r="I109" s="79"/>
      <c r="J109" s="79"/>
      <c r="K109" s="79"/>
    </row>
    <row r="110">
      <c r="C110" s="79"/>
      <c r="D110" s="79"/>
      <c r="E110" s="79"/>
      <c r="F110" s="79"/>
      <c r="G110" s="79"/>
      <c r="H110" s="79"/>
      <c r="I110" s="79"/>
      <c r="J110" s="79"/>
      <c r="K110" s="79"/>
    </row>
    <row r="111">
      <c r="C111" s="79"/>
      <c r="D111" s="79"/>
      <c r="E111" s="79"/>
      <c r="F111" s="79"/>
      <c r="G111" s="79"/>
      <c r="H111" s="79"/>
      <c r="I111" s="79"/>
      <c r="J111" s="79"/>
      <c r="K111" s="79"/>
    </row>
    <row r="112">
      <c r="C112" s="79"/>
      <c r="D112" s="79"/>
      <c r="E112" s="79"/>
      <c r="F112" s="79"/>
      <c r="G112" s="79"/>
      <c r="H112" s="79"/>
      <c r="I112" s="79"/>
      <c r="J112" s="79"/>
      <c r="K112" s="79"/>
    </row>
    <row r="113">
      <c r="C113" s="79"/>
      <c r="D113" s="79"/>
      <c r="E113" s="79"/>
      <c r="F113" s="79"/>
      <c r="G113" s="79"/>
      <c r="H113" s="79"/>
      <c r="I113" s="79"/>
      <c r="J113" s="79"/>
      <c r="K113" s="79"/>
    </row>
    <row r="114">
      <c r="C114" s="79"/>
      <c r="D114" s="79"/>
      <c r="E114" s="79"/>
      <c r="F114" s="79"/>
      <c r="G114" s="79"/>
      <c r="H114" s="79"/>
      <c r="I114" s="79"/>
      <c r="J114" s="79"/>
      <c r="K114" s="79"/>
    </row>
    <row r="115">
      <c r="C115" s="79"/>
      <c r="D115" s="79"/>
      <c r="E115" s="79"/>
      <c r="F115" s="79"/>
      <c r="G115" s="79"/>
      <c r="H115" s="79"/>
      <c r="I115" s="79"/>
      <c r="J115" s="79"/>
      <c r="K115" s="79"/>
    </row>
    <row r="116">
      <c r="C116" s="79"/>
      <c r="D116" s="79"/>
      <c r="E116" s="79"/>
      <c r="F116" s="79"/>
      <c r="G116" s="79"/>
      <c r="H116" s="79"/>
      <c r="I116" s="79"/>
      <c r="J116" s="79"/>
      <c r="K116" s="79"/>
    </row>
    <row r="117">
      <c r="C117" s="79"/>
      <c r="D117" s="79"/>
      <c r="E117" s="79"/>
      <c r="F117" s="79"/>
      <c r="G117" s="79"/>
      <c r="H117" s="79"/>
      <c r="I117" s="79"/>
      <c r="J117" s="79"/>
      <c r="K117" s="79"/>
    </row>
    <row r="118">
      <c r="C118" s="79"/>
      <c r="D118" s="79"/>
      <c r="E118" s="79"/>
      <c r="F118" s="79"/>
      <c r="G118" s="79"/>
      <c r="H118" s="79"/>
      <c r="I118" s="79"/>
      <c r="J118" s="79"/>
      <c r="K118" s="79"/>
    </row>
    <row r="119">
      <c r="C119" s="79"/>
      <c r="D119" s="79"/>
      <c r="E119" s="79"/>
      <c r="F119" s="79"/>
      <c r="G119" s="79"/>
      <c r="H119" s="79"/>
      <c r="I119" s="79"/>
      <c r="J119" s="79"/>
      <c r="K119" s="79"/>
    </row>
    <row r="120">
      <c r="C120" s="79"/>
      <c r="D120" s="79"/>
      <c r="E120" s="79"/>
      <c r="F120" s="79"/>
      <c r="G120" s="79"/>
      <c r="H120" s="79"/>
      <c r="I120" s="79"/>
      <c r="J120" s="79"/>
      <c r="K120" s="79"/>
    </row>
    <row r="121">
      <c r="C121" s="79"/>
      <c r="D121" s="79"/>
      <c r="E121" s="79"/>
      <c r="F121" s="79"/>
      <c r="G121" s="79"/>
      <c r="H121" s="79"/>
      <c r="I121" s="79"/>
      <c r="J121" s="79"/>
      <c r="K121" s="79"/>
    </row>
    <row r="122">
      <c r="C122" s="79"/>
      <c r="D122" s="79"/>
      <c r="E122" s="79"/>
      <c r="F122" s="79"/>
      <c r="G122" s="79"/>
      <c r="H122" s="79"/>
      <c r="I122" s="79"/>
      <c r="J122" s="79"/>
      <c r="K122" s="79"/>
    </row>
    <row r="123">
      <c r="C123" s="79"/>
      <c r="D123" s="79"/>
      <c r="E123" s="79"/>
      <c r="F123" s="79"/>
      <c r="G123" s="79"/>
      <c r="H123" s="79"/>
      <c r="I123" s="79"/>
      <c r="J123" s="79"/>
      <c r="K123" s="79"/>
    </row>
    <row r="124">
      <c r="C124" s="79"/>
      <c r="D124" s="79"/>
      <c r="E124" s="79"/>
      <c r="F124" s="79"/>
      <c r="G124" s="79"/>
      <c r="H124" s="79"/>
      <c r="I124" s="79"/>
      <c r="J124" s="79"/>
      <c r="K124" s="79"/>
    </row>
    <row r="125">
      <c r="C125" s="79"/>
      <c r="D125" s="79"/>
      <c r="E125" s="79"/>
      <c r="F125" s="79"/>
      <c r="G125" s="79"/>
      <c r="H125" s="79"/>
      <c r="I125" s="79"/>
      <c r="J125" s="79"/>
      <c r="K125" s="79"/>
    </row>
    <row r="126">
      <c r="C126" s="79"/>
      <c r="D126" s="79"/>
      <c r="E126" s="79"/>
      <c r="F126" s="79"/>
      <c r="G126" s="79"/>
      <c r="H126" s="79"/>
      <c r="I126" s="79"/>
      <c r="J126" s="79"/>
      <c r="K126" s="79"/>
    </row>
    <row r="127">
      <c r="C127" s="79"/>
      <c r="D127" s="79"/>
      <c r="E127" s="79"/>
      <c r="F127" s="79"/>
      <c r="G127" s="79"/>
      <c r="H127" s="79"/>
      <c r="I127" s="79"/>
      <c r="J127" s="79"/>
      <c r="K127" s="79"/>
    </row>
    <row r="128">
      <c r="C128" s="79"/>
      <c r="D128" s="79"/>
      <c r="E128" s="79"/>
      <c r="F128" s="79"/>
      <c r="G128" s="79"/>
      <c r="H128" s="79"/>
      <c r="I128" s="79"/>
      <c r="J128" s="79"/>
      <c r="K128" s="79"/>
    </row>
    <row r="129">
      <c r="C129" s="79"/>
      <c r="D129" s="79"/>
      <c r="E129" s="79"/>
      <c r="F129" s="79"/>
      <c r="G129" s="79"/>
      <c r="H129" s="79"/>
      <c r="I129" s="79"/>
      <c r="J129" s="79"/>
      <c r="K129" s="79"/>
    </row>
    <row r="130">
      <c r="C130" s="79"/>
      <c r="D130" s="79"/>
      <c r="E130" s="79"/>
      <c r="F130" s="79"/>
      <c r="G130" s="79"/>
      <c r="H130" s="79"/>
      <c r="I130" s="79"/>
      <c r="J130" s="79"/>
      <c r="K130" s="79"/>
    </row>
    <row r="131">
      <c r="C131" s="79"/>
      <c r="D131" s="79"/>
      <c r="E131" s="79"/>
      <c r="F131" s="79"/>
      <c r="G131" s="79"/>
      <c r="H131" s="79"/>
      <c r="I131" s="79"/>
      <c r="J131" s="79"/>
      <c r="K131" s="79"/>
    </row>
    <row r="132">
      <c r="C132" s="79"/>
      <c r="D132" s="79"/>
      <c r="E132" s="79"/>
      <c r="F132" s="79"/>
      <c r="G132" s="79"/>
      <c r="H132" s="79"/>
      <c r="I132" s="79"/>
      <c r="J132" s="79"/>
      <c r="K132" s="79"/>
    </row>
    <row r="133">
      <c r="C133" s="79"/>
      <c r="D133" s="79"/>
      <c r="E133" s="79"/>
      <c r="F133" s="79"/>
      <c r="G133" s="79"/>
      <c r="H133" s="79"/>
      <c r="I133" s="79"/>
      <c r="J133" s="79"/>
      <c r="K133" s="79"/>
    </row>
    <row r="134">
      <c r="C134" s="79"/>
      <c r="D134" s="79"/>
      <c r="E134" s="79"/>
      <c r="F134" s="79"/>
      <c r="G134" s="79"/>
      <c r="H134" s="79"/>
      <c r="I134" s="79"/>
      <c r="J134" s="79"/>
      <c r="K134" s="79"/>
    </row>
    <row r="135">
      <c r="C135" s="79"/>
      <c r="D135" s="79"/>
      <c r="E135" s="79"/>
      <c r="F135" s="79"/>
      <c r="G135" s="79"/>
      <c r="H135" s="79"/>
      <c r="I135" s="79"/>
      <c r="J135" s="79"/>
      <c r="K135" s="79"/>
    </row>
    <row r="136">
      <c r="C136" s="79"/>
      <c r="D136" s="79"/>
      <c r="E136" s="79"/>
      <c r="F136" s="79"/>
      <c r="G136" s="79"/>
      <c r="H136" s="79"/>
      <c r="I136" s="79"/>
      <c r="J136" s="79"/>
      <c r="K136" s="79"/>
    </row>
    <row r="137">
      <c r="C137" s="79"/>
      <c r="D137" s="79"/>
      <c r="E137" s="79"/>
      <c r="F137" s="79"/>
      <c r="G137" s="79"/>
      <c r="H137" s="79"/>
      <c r="I137" s="79"/>
      <c r="J137" s="79"/>
      <c r="K137" s="79"/>
    </row>
    <row r="138">
      <c r="C138" s="79"/>
      <c r="D138" s="79"/>
      <c r="E138" s="79"/>
      <c r="F138" s="79"/>
      <c r="G138" s="79"/>
      <c r="H138" s="79"/>
      <c r="I138" s="79"/>
      <c r="J138" s="79"/>
      <c r="K138" s="79"/>
    </row>
    <row r="139">
      <c r="C139" s="79"/>
      <c r="D139" s="79"/>
      <c r="E139" s="79"/>
      <c r="F139" s="79"/>
      <c r="G139" s="79"/>
      <c r="H139" s="79"/>
      <c r="I139" s="79"/>
      <c r="J139" s="79"/>
      <c r="K139" s="79"/>
    </row>
    <row r="140">
      <c r="C140" s="79"/>
      <c r="D140" s="79"/>
      <c r="E140" s="79"/>
      <c r="F140" s="79"/>
      <c r="G140" s="79"/>
      <c r="H140" s="79"/>
      <c r="I140" s="79"/>
      <c r="J140" s="79"/>
      <c r="K140" s="79"/>
    </row>
    <row r="141">
      <c r="C141" s="79"/>
      <c r="D141" s="79"/>
      <c r="E141" s="79"/>
      <c r="F141" s="79"/>
      <c r="G141" s="79"/>
      <c r="H141" s="79"/>
      <c r="I141" s="79"/>
      <c r="J141" s="79"/>
      <c r="K141" s="79"/>
    </row>
    <row r="142">
      <c r="C142" s="79"/>
      <c r="D142" s="79"/>
      <c r="E142" s="79"/>
      <c r="F142" s="79"/>
      <c r="G142" s="79"/>
      <c r="H142" s="79"/>
      <c r="I142" s="79"/>
      <c r="J142" s="79"/>
      <c r="K142" s="79"/>
    </row>
    <row r="143">
      <c r="C143" s="79"/>
      <c r="D143" s="79"/>
      <c r="E143" s="79"/>
      <c r="F143" s="79"/>
      <c r="G143" s="79"/>
      <c r="H143" s="79"/>
      <c r="I143" s="79"/>
      <c r="J143" s="79"/>
      <c r="K143" s="79"/>
    </row>
    <row r="144">
      <c r="C144" s="79"/>
      <c r="D144" s="79"/>
      <c r="E144" s="79"/>
      <c r="F144" s="79"/>
      <c r="G144" s="79"/>
      <c r="H144" s="79"/>
      <c r="I144" s="79"/>
      <c r="J144" s="79"/>
      <c r="K144" s="79"/>
    </row>
    <row r="145">
      <c r="C145" s="79"/>
      <c r="D145" s="79"/>
      <c r="E145" s="79"/>
      <c r="F145" s="79"/>
      <c r="G145" s="79"/>
      <c r="H145" s="79"/>
      <c r="I145" s="79"/>
      <c r="J145" s="79"/>
      <c r="K145" s="79"/>
    </row>
    <row r="146">
      <c r="C146" s="79"/>
      <c r="D146" s="79"/>
      <c r="E146" s="79"/>
      <c r="F146" s="79"/>
      <c r="G146" s="79"/>
      <c r="H146" s="79"/>
      <c r="I146" s="79"/>
      <c r="J146" s="79"/>
      <c r="K146" s="79"/>
    </row>
    <row r="147">
      <c r="C147" s="79"/>
      <c r="D147" s="79"/>
      <c r="E147" s="79"/>
      <c r="F147" s="79"/>
      <c r="G147" s="79"/>
      <c r="H147" s="79"/>
      <c r="I147" s="79"/>
      <c r="J147" s="79"/>
      <c r="K147" s="79"/>
    </row>
    <row r="148">
      <c r="C148" s="79"/>
      <c r="D148" s="79"/>
      <c r="E148" s="79"/>
      <c r="F148" s="79"/>
      <c r="G148" s="79"/>
      <c r="H148" s="79"/>
      <c r="I148" s="79"/>
      <c r="J148" s="79"/>
      <c r="K148" s="79"/>
    </row>
    <row r="149">
      <c r="C149" s="79"/>
      <c r="D149" s="79"/>
      <c r="E149" s="79"/>
      <c r="F149" s="79"/>
      <c r="G149" s="79"/>
      <c r="H149" s="79"/>
      <c r="I149" s="79"/>
      <c r="J149" s="79"/>
      <c r="K149" s="79"/>
    </row>
    <row r="150">
      <c r="C150" s="79"/>
      <c r="D150" s="79"/>
      <c r="E150" s="79"/>
      <c r="F150" s="79"/>
      <c r="G150" s="79"/>
      <c r="H150" s="79"/>
      <c r="I150" s="79"/>
      <c r="J150" s="79"/>
      <c r="K150" s="79"/>
    </row>
    <row r="151">
      <c r="C151" s="79"/>
      <c r="D151" s="79"/>
      <c r="E151" s="79"/>
      <c r="F151" s="79"/>
      <c r="G151" s="79"/>
      <c r="H151" s="79"/>
      <c r="I151" s="79"/>
      <c r="J151" s="79"/>
      <c r="K151" s="79"/>
    </row>
    <row r="152">
      <c r="C152" s="79"/>
      <c r="D152" s="79"/>
      <c r="E152" s="79"/>
      <c r="F152" s="79"/>
      <c r="G152" s="79"/>
      <c r="H152" s="79"/>
      <c r="I152" s="79"/>
      <c r="J152" s="79"/>
      <c r="K152" s="79"/>
    </row>
    <row r="153">
      <c r="C153" s="79"/>
      <c r="D153" s="79"/>
      <c r="E153" s="79"/>
      <c r="F153" s="79"/>
      <c r="G153" s="79"/>
      <c r="H153" s="79"/>
      <c r="I153" s="79"/>
      <c r="J153" s="79"/>
      <c r="K153" s="79"/>
    </row>
    <row r="154">
      <c r="C154" s="79"/>
      <c r="D154" s="79"/>
      <c r="E154" s="79"/>
      <c r="F154" s="79"/>
      <c r="G154" s="79"/>
      <c r="H154" s="79"/>
      <c r="I154" s="79"/>
      <c r="J154" s="79"/>
      <c r="K154" s="79"/>
    </row>
    <row r="155">
      <c r="C155" s="79"/>
      <c r="D155" s="79"/>
      <c r="E155" s="79"/>
      <c r="F155" s="79"/>
      <c r="G155" s="79"/>
      <c r="H155" s="79"/>
      <c r="I155" s="79"/>
      <c r="J155" s="79"/>
      <c r="K155" s="79"/>
    </row>
    <row r="156">
      <c r="C156" s="79"/>
      <c r="D156" s="79"/>
      <c r="E156" s="79"/>
      <c r="F156" s="79"/>
      <c r="G156" s="79"/>
      <c r="H156" s="79"/>
      <c r="I156" s="79"/>
      <c r="J156" s="79"/>
      <c r="K156" s="79"/>
    </row>
    <row r="157">
      <c r="C157" s="79"/>
      <c r="D157" s="79"/>
      <c r="E157" s="79"/>
      <c r="F157" s="79"/>
      <c r="G157" s="79"/>
      <c r="H157" s="79"/>
      <c r="I157" s="79"/>
      <c r="J157" s="79"/>
      <c r="K157" s="79"/>
    </row>
    <row r="158">
      <c r="C158" s="79"/>
      <c r="D158" s="79"/>
      <c r="E158" s="79"/>
      <c r="F158" s="79"/>
      <c r="G158" s="79"/>
      <c r="H158" s="79"/>
      <c r="I158" s="79"/>
      <c r="J158" s="79"/>
      <c r="K158" s="79"/>
    </row>
    <row r="159">
      <c r="C159" s="79"/>
      <c r="D159" s="79"/>
      <c r="E159" s="79"/>
      <c r="F159" s="79"/>
      <c r="G159" s="79"/>
      <c r="H159" s="79"/>
      <c r="I159" s="79"/>
      <c r="J159" s="79"/>
      <c r="K159" s="79"/>
    </row>
    <row r="160">
      <c r="C160" s="79"/>
      <c r="D160" s="79"/>
      <c r="E160" s="79"/>
      <c r="F160" s="79"/>
      <c r="G160" s="79"/>
      <c r="H160" s="79"/>
      <c r="I160" s="79"/>
      <c r="J160" s="79"/>
      <c r="K160" s="79"/>
    </row>
    <row r="161">
      <c r="C161" s="79"/>
      <c r="D161" s="79"/>
      <c r="E161" s="79"/>
      <c r="F161" s="79"/>
      <c r="G161" s="79"/>
      <c r="H161" s="79"/>
      <c r="I161" s="79"/>
      <c r="J161" s="79"/>
      <c r="K161" s="79"/>
    </row>
    <row r="162">
      <c r="C162" s="79"/>
      <c r="D162" s="79"/>
      <c r="E162" s="79"/>
      <c r="F162" s="79"/>
      <c r="G162" s="79"/>
      <c r="H162" s="79"/>
      <c r="I162" s="79"/>
      <c r="J162" s="79"/>
      <c r="K162" s="79"/>
    </row>
    <row r="163">
      <c r="C163" s="79"/>
      <c r="D163" s="79"/>
      <c r="E163" s="79"/>
      <c r="F163" s="79"/>
      <c r="G163" s="79"/>
      <c r="H163" s="79"/>
      <c r="I163" s="79"/>
      <c r="J163" s="79"/>
      <c r="K163" s="79"/>
    </row>
    <row r="164">
      <c r="C164" s="79"/>
      <c r="D164" s="79"/>
      <c r="E164" s="79"/>
      <c r="F164" s="79"/>
      <c r="G164" s="79"/>
      <c r="H164" s="79"/>
      <c r="I164" s="79"/>
      <c r="J164" s="79"/>
      <c r="K164" s="79"/>
    </row>
    <row r="165">
      <c r="C165" s="79"/>
      <c r="D165" s="79"/>
      <c r="E165" s="79"/>
      <c r="F165" s="79"/>
      <c r="G165" s="79"/>
      <c r="H165" s="79"/>
      <c r="I165" s="79"/>
      <c r="J165" s="79"/>
      <c r="K165" s="79"/>
    </row>
    <row r="166">
      <c r="C166" s="79"/>
      <c r="D166" s="79"/>
      <c r="E166" s="79"/>
      <c r="F166" s="79"/>
      <c r="G166" s="79"/>
      <c r="H166" s="79"/>
      <c r="I166" s="79"/>
      <c r="J166" s="79"/>
      <c r="K166" s="79"/>
    </row>
    <row r="167">
      <c r="C167" s="79"/>
      <c r="D167" s="79"/>
      <c r="E167" s="79"/>
      <c r="F167" s="79"/>
      <c r="G167" s="79"/>
      <c r="H167" s="79"/>
      <c r="I167" s="79"/>
      <c r="J167" s="79"/>
      <c r="K167" s="79"/>
    </row>
    <row r="168">
      <c r="C168" s="79"/>
      <c r="D168" s="79"/>
      <c r="E168" s="79"/>
      <c r="F168" s="79"/>
      <c r="G168" s="79"/>
      <c r="H168" s="79"/>
      <c r="I168" s="79"/>
      <c r="J168" s="79"/>
      <c r="K168" s="79"/>
    </row>
    <row r="169">
      <c r="C169" s="79"/>
      <c r="D169" s="79"/>
      <c r="E169" s="79"/>
      <c r="F169" s="79"/>
      <c r="G169" s="79"/>
      <c r="H169" s="79"/>
      <c r="I169" s="79"/>
      <c r="J169" s="79"/>
      <c r="K169" s="79"/>
    </row>
    <row r="170">
      <c r="C170" s="79"/>
      <c r="D170" s="79"/>
      <c r="E170" s="79"/>
      <c r="F170" s="79"/>
      <c r="G170" s="79"/>
      <c r="H170" s="79"/>
      <c r="I170" s="79"/>
      <c r="J170" s="79"/>
      <c r="K170" s="79"/>
    </row>
    <row r="171">
      <c r="C171" s="79"/>
      <c r="D171" s="79"/>
      <c r="E171" s="79"/>
      <c r="F171" s="79"/>
      <c r="G171" s="79"/>
      <c r="H171" s="79"/>
      <c r="I171" s="79"/>
      <c r="J171" s="79"/>
      <c r="K171" s="79"/>
    </row>
    <row r="172">
      <c r="C172" s="79"/>
      <c r="D172" s="79"/>
      <c r="E172" s="79"/>
      <c r="F172" s="79"/>
      <c r="G172" s="79"/>
      <c r="H172" s="79"/>
      <c r="I172" s="79"/>
      <c r="J172" s="79"/>
      <c r="K172" s="79"/>
    </row>
    <row r="173">
      <c r="C173" s="79"/>
      <c r="D173" s="79"/>
      <c r="E173" s="79"/>
      <c r="F173" s="79"/>
      <c r="G173" s="79"/>
      <c r="H173" s="79"/>
      <c r="I173" s="79"/>
      <c r="J173" s="79"/>
      <c r="K173" s="79"/>
    </row>
    <row r="174">
      <c r="C174" s="79"/>
      <c r="D174" s="79"/>
      <c r="E174" s="79"/>
      <c r="F174" s="79"/>
      <c r="G174" s="79"/>
      <c r="H174" s="79"/>
      <c r="I174" s="79"/>
      <c r="J174" s="79"/>
      <c r="K174" s="79"/>
    </row>
    <row r="175">
      <c r="C175" s="79"/>
      <c r="D175" s="79"/>
      <c r="E175" s="79"/>
      <c r="F175" s="79"/>
      <c r="G175" s="79"/>
      <c r="H175" s="79"/>
      <c r="I175" s="79"/>
      <c r="J175" s="79"/>
      <c r="K175" s="79"/>
    </row>
    <row r="176">
      <c r="C176" s="79"/>
      <c r="D176" s="79"/>
      <c r="E176" s="79"/>
      <c r="F176" s="79"/>
      <c r="G176" s="79"/>
      <c r="H176" s="79"/>
      <c r="I176" s="79"/>
      <c r="J176" s="79"/>
      <c r="K176" s="79"/>
    </row>
    <row r="177">
      <c r="C177" s="79"/>
      <c r="D177" s="79"/>
      <c r="E177" s="79"/>
      <c r="F177" s="79"/>
      <c r="G177" s="79"/>
      <c r="H177" s="79"/>
      <c r="I177" s="79"/>
      <c r="J177" s="79"/>
      <c r="K177" s="79"/>
    </row>
    <row r="178">
      <c r="C178" s="79"/>
      <c r="D178" s="79"/>
      <c r="E178" s="79"/>
      <c r="F178" s="79"/>
      <c r="G178" s="79"/>
      <c r="H178" s="79"/>
      <c r="I178" s="79"/>
      <c r="J178" s="79"/>
      <c r="K178" s="79"/>
    </row>
    <row r="179">
      <c r="C179" s="79"/>
      <c r="D179" s="79"/>
      <c r="E179" s="79"/>
      <c r="F179" s="79"/>
      <c r="G179" s="79"/>
      <c r="H179" s="79"/>
      <c r="I179" s="79"/>
      <c r="J179" s="79"/>
      <c r="K179" s="79"/>
    </row>
    <row r="180">
      <c r="C180" s="79"/>
      <c r="D180" s="79"/>
      <c r="E180" s="79"/>
      <c r="F180" s="79"/>
      <c r="G180" s="79"/>
      <c r="H180" s="79"/>
      <c r="I180" s="79"/>
      <c r="J180" s="79"/>
      <c r="K180" s="79"/>
    </row>
    <row r="181">
      <c r="C181" s="79"/>
      <c r="D181" s="79"/>
      <c r="E181" s="79"/>
      <c r="F181" s="79"/>
      <c r="G181" s="79"/>
      <c r="H181" s="79"/>
      <c r="I181" s="79"/>
      <c r="J181" s="79"/>
      <c r="K181" s="79"/>
    </row>
    <row r="182">
      <c r="C182" s="79"/>
      <c r="D182" s="79"/>
      <c r="E182" s="79"/>
      <c r="F182" s="79"/>
      <c r="G182" s="79"/>
      <c r="H182" s="79"/>
      <c r="I182" s="79"/>
      <c r="J182" s="79"/>
      <c r="K182" s="79"/>
    </row>
    <row r="183">
      <c r="C183" s="79"/>
      <c r="D183" s="79"/>
      <c r="E183" s="79"/>
      <c r="F183" s="79"/>
      <c r="G183" s="79"/>
      <c r="H183" s="79"/>
      <c r="I183" s="79"/>
      <c r="J183" s="79"/>
      <c r="K183" s="79"/>
    </row>
    <row r="184">
      <c r="C184" s="79"/>
      <c r="D184" s="79"/>
      <c r="E184" s="79"/>
      <c r="F184" s="79"/>
      <c r="G184" s="79"/>
      <c r="H184" s="79"/>
      <c r="I184" s="79"/>
      <c r="J184" s="79"/>
      <c r="K184" s="79"/>
    </row>
    <row r="185">
      <c r="C185" s="79"/>
      <c r="D185" s="79"/>
      <c r="E185" s="79"/>
      <c r="F185" s="79"/>
      <c r="G185" s="79"/>
      <c r="H185" s="79"/>
      <c r="I185" s="79"/>
      <c r="J185" s="79"/>
      <c r="K185" s="79"/>
    </row>
    <row r="186">
      <c r="C186" s="79"/>
      <c r="D186" s="79"/>
      <c r="E186" s="79"/>
      <c r="F186" s="79"/>
      <c r="G186" s="79"/>
      <c r="H186" s="79"/>
      <c r="I186" s="79"/>
      <c r="J186" s="79"/>
      <c r="K186" s="79"/>
    </row>
    <row r="187">
      <c r="C187" s="79"/>
      <c r="D187" s="79"/>
      <c r="E187" s="79"/>
      <c r="F187" s="79"/>
      <c r="G187" s="79"/>
      <c r="H187" s="79"/>
      <c r="I187" s="79"/>
      <c r="J187" s="79"/>
      <c r="K187" s="79"/>
    </row>
    <row r="188">
      <c r="C188" s="79"/>
      <c r="D188" s="79"/>
      <c r="E188" s="79"/>
      <c r="F188" s="79"/>
      <c r="G188" s="79"/>
      <c r="H188" s="79"/>
      <c r="I188" s="79"/>
      <c r="J188" s="79"/>
      <c r="K188" s="79"/>
    </row>
    <row r="189">
      <c r="C189" s="79"/>
      <c r="D189" s="79"/>
      <c r="E189" s="79"/>
      <c r="F189" s="79"/>
      <c r="G189" s="79"/>
      <c r="H189" s="79"/>
      <c r="I189" s="79"/>
      <c r="J189" s="79"/>
      <c r="K189" s="79"/>
    </row>
    <row r="190">
      <c r="C190" s="79"/>
      <c r="D190" s="79"/>
      <c r="E190" s="79"/>
      <c r="F190" s="79"/>
      <c r="G190" s="79"/>
      <c r="H190" s="79"/>
      <c r="I190" s="79"/>
      <c r="J190" s="79"/>
      <c r="K190" s="79"/>
    </row>
    <row r="191">
      <c r="C191" s="79"/>
      <c r="D191" s="79"/>
      <c r="E191" s="79"/>
      <c r="F191" s="79"/>
      <c r="G191" s="79"/>
      <c r="H191" s="79"/>
      <c r="I191" s="79"/>
      <c r="J191" s="79"/>
      <c r="K191" s="79"/>
    </row>
    <row r="192">
      <c r="C192" s="79"/>
      <c r="D192" s="79"/>
      <c r="E192" s="79"/>
      <c r="F192" s="79"/>
      <c r="G192" s="79"/>
      <c r="H192" s="79"/>
      <c r="I192" s="79"/>
      <c r="J192" s="79"/>
      <c r="K192" s="79"/>
    </row>
    <row r="193">
      <c r="C193" s="79"/>
      <c r="D193" s="79"/>
      <c r="E193" s="79"/>
      <c r="F193" s="79"/>
      <c r="G193" s="79"/>
      <c r="H193" s="79"/>
      <c r="I193" s="79"/>
      <c r="J193" s="79"/>
      <c r="K193" s="79"/>
    </row>
    <row r="194">
      <c r="C194" s="79"/>
      <c r="D194" s="79"/>
      <c r="E194" s="79"/>
      <c r="F194" s="79"/>
      <c r="G194" s="79"/>
      <c r="H194" s="79"/>
      <c r="I194" s="79"/>
      <c r="J194" s="79"/>
      <c r="K194" s="79"/>
    </row>
    <row r="195">
      <c r="C195" s="79"/>
      <c r="D195" s="79"/>
      <c r="E195" s="79"/>
      <c r="F195" s="79"/>
      <c r="G195" s="79"/>
      <c r="H195" s="79"/>
      <c r="I195" s="79"/>
      <c r="J195" s="79"/>
      <c r="K195" s="79"/>
    </row>
    <row r="196">
      <c r="C196" s="79"/>
      <c r="D196" s="79"/>
      <c r="E196" s="79"/>
      <c r="F196" s="79"/>
      <c r="G196" s="79"/>
      <c r="H196" s="79"/>
      <c r="I196" s="79"/>
      <c r="J196" s="79"/>
      <c r="K196" s="79"/>
    </row>
    <row r="197">
      <c r="C197" s="79"/>
      <c r="D197" s="79"/>
      <c r="E197" s="79"/>
      <c r="F197" s="79"/>
      <c r="G197" s="79"/>
      <c r="H197" s="79"/>
      <c r="I197" s="79"/>
      <c r="J197" s="79"/>
      <c r="K197" s="79"/>
    </row>
    <row r="198">
      <c r="C198" s="79"/>
      <c r="D198" s="79"/>
      <c r="E198" s="79"/>
      <c r="F198" s="79"/>
      <c r="G198" s="79"/>
      <c r="H198" s="79"/>
      <c r="I198" s="79"/>
      <c r="J198" s="79"/>
      <c r="K198" s="79"/>
    </row>
    <row r="199">
      <c r="C199" s="79"/>
      <c r="D199" s="79"/>
      <c r="E199" s="79"/>
      <c r="F199" s="79"/>
      <c r="G199" s="79"/>
      <c r="H199" s="79"/>
      <c r="I199" s="79"/>
      <c r="J199" s="79"/>
      <c r="K199" s="79"/>
    </row>
    <row r="200">
      <c r="C200" s="79"/>
      <c r="D200" s="79"/>
      <c r="E200" s="79"/>
      <c r="F200" s="79"/>
      <c r="G200" s="79"/>
      <c r="H200" s="79"/>
      <c r="I200" s="79"/>
      <c r="J200" s="79"/>
      <c r="K200" s="79"/>
    </row>
    <row r="201">
      <c r="C201" s="79"/>
      <c r="D201" s="79"/>
      <c r="E201" s="79"/>
      <c r="F201" s="79"/>
      <c r="G201" s="79"/>
      <c r="H201" s="79"/>
      <c r="I201" s="79"/>
      <c r="J201" s="79"/>
      <c r="K201" s="79"/>
    </row>
    <row r="202">
      <c r="C202" s="79"/>
      <c r="D202" s="79"/>
      <c r="E202" s="79"/>
      <c r="F202" s="79"/>
      <c r="G202" s="79"/>
      <c r="H202" s="79"/>
      <c r="I202" s="79"/>
      <c r="J202" s="79"/>
      <c r="K202" s="79"/>
    </row>
    <row r="203">
      <c r="C203" s="79"/>
      <c r="D203" s="79"/>
      <c r="E203" s="79"/>
      <c r="F203" s="79"/>
      <c r="G203" s="79"/>
      <c r="H203" s="79"/>
      <c r="I203" s="79"/>
      <c r="J203" s="79"/>
      <c r="K203" s="79"/>
    </row>
    <row r="204">
      <c r="C204" s="79"/>
      <c r="D204" s="79"/>
      <c r="E204" s="79"/>
      <c r="F204" s="79"/>
      <c r="G204" s="79"/>
      <c r="H204" s="79"/>
      <c r="I204" s="79"/>
      <c r="J204" s="79"/>
      <c r="K204" s="79"/>
    </row>
    <row r="205">
      <c r="C205" s="79"/>
      <c r="D205" s="79"/>
      <c r="E205" s="79"/>
      <c r="F205" s="79"/>
      <c r="G205" s="79"/>
      <c r="H205" s="79"/>
      <c r="I205" s="79"/>
      <c r="J205" s="79"/>
      <c r="K205" s="79"/>
    </row>
    <row r="206">
      <c r="C206" s="79"/>
      <c r="D206" s="79"/>
      <c r="E206" s="79"/>
      <c r="F206" s="79"/>
      <c r="G206" s="79"/>
      <c r="H206" s="79"/>
      <c r="I206" s="79"/>
      <c r="J206" s="79"/>
      <c r="K206" s="79"/>
    </row>
    <row r="207">
      <c r="C207" s="79"/>
      <c r="D207" s="79"/>
      <c r="E207" s="79"/>
      <c r="F207" s="79"/>
      <c r="G207" s="79"/>
      <c r="H207" s="79"/>
      <c r="I207" s="79"/>
      <c r="J207" s="79"/>
      <c r="K207" s="79"/>
    </row>
    <row r="208">
      <c r="C208" s="79"/>
      <c r="D208" s="79"/>
      <c r="E208" s="79"/>
      <c r="F208" s="79"/>
      <c r="G208" s="79"/>
      <c r="H208" s="79"/>
      <c r="I208" s="79"/>
      <c r="J208" s="79"/>
      <c r="K208" s="79"/>
    </row>
    <row r="209">
      <c r="C209" s="79"/>
      <c r="D209" s="79"/>
      <c r="E209" s="79"/>
      <c r="F209" s="79"/>
      <c r="G209" s="79"/>
      <c r="H209" s="79"/>
      <c r="I209" s="79"/>
      <c r="J209" s="79"/>
      <c r="K209" s="79"/>
    </row>
    <row r="210">
      <c r="C210" s="79"/>
      <c r="D210" s="79"/>
      <c r="E210" s="79"/>
      <c r="F210" s="79"/>
      <c r="G210" s="79"/>
      <c r="H210" s="79"/>
      <c r="I210" s="79"/>
      <c r="J210" s="79"/>
      <c r="K210" s="79"/>
    </row>
    <row r="211">
      <c r="C211" s="79"/>
      <c r="D211" s="79"/>
      <c r="E211" s="79"/>
      <c r="F211" s="79"/>
      <c r="G211" s="79"/>
      <c r="H211" s="79"/>
      <c r="I211" s="79"/>
      <c r="J211" s="79"/>
      <c r="K211" s="79"/>
    </row>
    <row r="212">
      <c r="C212" s="79"/>
      <c r="D212" s="79"/>
      <c r="E212" s="79"/>
      <c r="F212" s="79"/>
      <c r="G212" s="79"/>
      <c r="H212" s="79"/>
      <c r="I212" s="79"/>
      <c r="J212" s="79"/>
      <c r="K212" s="79"/>
    </row>
    <row r="213">
      <c r="C213" s="79"/>
      <c r="D213" s="79"/>
      <c r="E213" s="79"/>
      <c r="F213" s="79"/>
      <c r="G213" s="79"/>
      <c r="H213" s="79"/>
      <c r="I213" s="79"/>
      <c r="J213" s="79"/>
      <c r="K213" s="79"/>
    </row>
    <row r="214">
      <c r="C214" s="79"/>
      <c r="D214" s="79"/>
      <c r="E214" s="79"/>
      <c r="F214" s="79"/>
      <c r="G214" s="79"/>
      <c r="H214" s="79"/>
      <c r="I214" s="79"/>
      <c r="J214" s="79"/>
      <c r="K214" s="79"/>
    </row>
    <row r="215">
      <c r="C215" s="79"/>
      <c r="D215" s="79"/>
      <c r="E215" s="79"/>
      <c r="F215" s="79"/>
      <c r="G215" s="79"/>
      <c r="H215" s="79"/>
      <c r="I215" s="79"/>
      <c r="J215" s="79"/>
      <c r="K215" s="79"/>
    </row>
    <row r="216">
      <c r="C216" s="79"/>
      <c r="D216" s="79"/>
      <c r="E216" s="79"/>
      <c r="F216" s="79"/>
      <c r="G216" s="79"/>
      <c r="H216" s="79"/>
      <c r="I216" s="79"/>
      <c r="J216" s="79"/>
      <c r="K216" s="79"/>
    </row>
    <row r="217">
      <c r="C217" s="79"/>
      <c r="D217" s="79"/>
      <c r="E217" s="79"/>
      <c r="F217" s="79"/>
      <c r="G217" s="79"/>
      <c r="H217" s="79"/>
      <c r="I217" s="79"/>
      <c r="J217" s="79"/>
      <c r="K217" s="79"/>
    </row>
    <row r="218">
      <c r="C218" s="79"/>
      <c r="D218" s="79"/>
      <c r="E218" s="79"/>
      <c r="F218" s="79"/>
      <c r="G218" s="79"/>
      <c r="H218" s="79"/>
      <c r="I218" s="79"/>
      <c r="J218" s="79"/>
      <c r="K218" s="79"/>
    </row>
    <row r="219">
      <c r="C219" s="79"/>
      <c r="D219" s="79"/>
      <c r="E219" s="79"/>
      <c r="F219" s="79"/>
      <c r="G219" s="79"/>
      <c r="H219" s="79"/>
      <c r="I219" s="79"/>
      <c r="J219" s="79"/>
      <c r="K219" s="79"/>
    </row>
    <row r="220">
      <c r="C220" s="79"/>
      <c r="D220" s="79"/>
      <c r="E220" s="79"/>
      <c r="F220" s="79"/>
      <c r="G220" s="79"/>
      <c r="H220" s="79"/>
      <c r="I220" s="79"/>
      <c r="J220" s="79"/>
      <c r="K220" s="79"/>
    </row>
    <row r="221">
      <c r="C221" s="79"/>
      <c r="D221" s="79"/>
      <c r="E221" s="79"/>
      <c r="F221" s="79"/>
      <c r="G221" s="79"/>
      <c r="H221" s="79"/>
      <c r="I221" s="79"/>
      <c r="J221" s="79"/>
      <c r="K221" s="79"/>
    </row>
    <row r="222">
      <c r="C222" s="79"/>
      <c r="D222" s="79"/>
      <c r="E222" s="79"/>
      <c r="F222" s="79"/>
      <c r="G222" s="79"/>
      <c r="H222" s="79"/>
      <c r="I222" s="79"/>
      <c r="J222" s="79"/>
      <c r="K222" s="79"/>
    </row>
    <row r="223">
      <c r="C223" s="79"/>
      <c r="D223" s="79"/>
      <c r="E223" s="79"/>
      <c r="F223" s="79"/>
      <c r="G223" s="79"/>
      <c r="H223" s="79"/>
      <c r="I223" s="79"/>
      <c r="J223" s="79"/>
      <c r="K223" s="79"/>
    </row>
    <row r="224">
      <c r="C224" s="79"/>
      <c r="D224" s="79"/>
      <c r="E224" s="79"/>
      <c r="F224" s="79"/>
      <c r="G224" s="79"/>
      <c r="H224" s="79"/>
      <c r="I224" s="79"/>
      <c r="J224" s="79"/>
      <c r="K224" s="79"/>
    </row>
    <row r="225">
      <c r="C225" s="79"/>
      <c r="D225" s="79"/>
      <c r="E225" s="79"/>
      <c r="F225" s="79"/>
      <c r="G225" s="79"/>
      <c r="H225" s="79"/>
      <c r="I225" s="79"/>
      <c r="J225" s="79"/>
      <c r="K225" s="79"/>
    </row>
    <row r="226">
      <c r="C226" s="79"/>
      <c r="D226" s="79"/>
      <c r="E226" s="79"/>
      <c r="F226" s="79"/>
      <c r="G226" s="79"/>
      <c r="H226" s="79"/>
      <c r="I226" s="79"/>
      <c r="J226" s="79"/>
      <c r="K226" s="79"/>
    </row>
    <row r="227">
      <c r="C227" s="79"/>
      <c r="D227" s="79"/>
      <c r="E227" s="79"/>
      <c r="F227" s="79"/>
      <c r="G227" s="79"/>
      <c r="H227" s="79"/>
      <c r="I227" s="79"/>
      <c r="J227" s="79"/>
      <c r="K227" s="79"/>
    </row>
    <row r="228">
      <c r="C228" s="79"/>
      <c r="D228" s="79"/>
      <c r="E228" s="79"/>
      <c r="F228" s="79"/>
      <c r="G228" s="79"/>
      <c r="H228" s="79"/>
      <c r="I228" s="79"/>
      <c r="J228" s="79"/>
      <c r="K228" s="79"/>
    </row>
    <row r="229">
      <c r="C229" s="79"/>
      <c r="D229" s="79"/>
      <c r="E229" s="79"/>
      <c r="F229" s="79"/>
      <c r="G229" s="79"/>
      <c r="H229" s="79"/>
      <c r="I229" s="79"/>
      <c r="J229" s="79"/>
      <c r="K229" s="79"/>
    </row>
    <row r="230">
      <c r="C230" s="79"/>
      <c r="D230" s="79"/>
      <c r="E230" s="79"/>
      <c r="F230" s="79"/>
      <c r="G230" s="79"/>
      <c r="H230" s="79"/>
      <c r="I230" s="79"/>
      <c r="J230" s="79"/>
      <c r="K230" s="79"/>
    </row>
    <row r="231">
      <c r="C231" s="79"/>
      <c r="D231" s="79"/>
      <c r="E231" s="79"/>
      <c r="F231" s="79"/>
      <c r="G231" s="79"/>
      <c r="H231" s="79"/>
      <c r="I231" s="79"/>
      <c r="J231" s="79"/>
      <c r="K231" s="79"/>
    </row>
    <row r="232">
      <c r="C232" s="79"/>
      <c r="D232" s="79"/>
      <c r="E232" s="79"/>
      <c r="F232" s="79"/>
      <c r="G232" s="79"/>
      <c r="H232" s="79"/>
      <c r="I232" s="79"/>
      <c r="J232" s="79"/>
      <c r="K232" s="79"/>
    </row>
    <row r="233">
      <c r="C233" s="79"/>
      <c r="D233" s="79"/>
      <c r="E233" s="79"/>
      <c r="F233" s="79"/>
      <c r="G233" s="79"/>
      <c r="H233" s="79"/>
      <c r="I233" s="79"/>
      <c r="J233" s="79"/>
      <c r="K233" s="79"/>
    </row>
    <row r="234">
      <c r="C234" s="79"/>
      <c r="D234" s="79"/>
      <c r="E234" s="79"/>
      <c r="F234" s="79"/>
      <c r="G234" s="79"/>
      <c r="H234" s="79"/>
      <c r="I234" s="79"/>
      <c r="J234" s="79"/>
      <c r="K234" s="79"/>
    </row>
    <row r="235">
      <c r="C235" s="79"/>
      <c r="D235" s="79"/>
      <c r="E235" s="79"/>
      <c r="F235" s="79"/>
      <c r="G235" s="79"/>
      <c r="H235" s="79"/>
      <c r="I235" s="79"/>
      <c r="J235" s="79"/>
      <c r="K235" s="79"/>
    </row>
    <row r="236">
      <c r="C236" s="79"/>
      <c r="D236" s="79"/>
      <c r="E236" s="79"/>
      <c r="F236" s="79"/>
      <c r="G236" s="79"/>
      <c r="H236" s="79"/>
      <c r="I236" s="79"/>
      <c r="J236" s="79"/>
      <c r="K236" s="79"/>
    </row>
    <row r="237">
      <c r="C237" s="79"/>
      <c r="D237" s="79"/>
      <c r="E237" s="79"/>
      <c r="F237" s="79"/>
      <c r="G237" s="79"/>
      <c r="H237" s="79"/>
      <c r="I237" s="79"/>
      <c r="J237" s="79"/>
      <c r="K237" s="79"/>
    </row>
    <row r="238">
      <c r="C238" s="79"/>
      <c r="D238" s="79"/>
      <c r="E238" s="79"/>
      <c r="F238" s="79"/>
      <c r="G238" s="79"/>
      <c r="H238" s="79"/>
      <c r="I238" s="79"/>
      <c r="J238" s="79"/>
      <c r="K238" s="79"/>
    </row>
    <row r="239">
      <c r="C239" s="79"/>
      <c r="D239" s="79"/>
      <c r="E239" s="79"/>
      <c r="F239" s="79"/>
      <c r="G239" s="79"/>
      <c r="H239" s="79"/>
      <c r="I239" s="79"/>
      <c r="J239" s="79"/>
      <c r="K239" s="79"/>
    </row>
    <row r="240">
      <c r="C240" s="79"/>
      <c r="D240" s="79"/>
      <c r="E240" s="79"/>
      <c r="F240" s="79"/>
      <c r="G240" s="79"/>
      <c r="H240" s="79"/>
      <c r="I240" s="79"/>
      <c r="J240" s="79"/>
      <c r="K240" s="79"/>
    </row>
    <row r="241">
      <c r="C241" s="79"/>
      <c r="D241" s="79"/>
      <c r="E241" s="79"/>
      <c r="F241" s="79"/>
      <c r="G241" s="79"/>
      <c r="H241" s="79"/>
      <c r="I241" s="79"/>
      <c r="J241" s="79"/>
      <c r="K241" s="79"/>
    </row>
    <row r="242">
      <c r="C242" s="79"/>
      <c r="D242" s="79"/>
      <c r="E242" s="79"/>
      <c r="F242" s="79"/>
      <c r="G242" s="79"/>
      <c r="H242" s="79"/>
      <c r="I242" s="79"/>
      <c r="J242" s="79"/>
      <c r="K242" s="79"/>
    </row>
    <row r="243">
      <c r="C243" s="79"/>
      <c r="D243" s="79"/>
      <c r="E243" s="79"/>
      <c r="F243" s="79"/>
      <c r="G243" s="79"/>
      <c r="H243" s="79"/>
      <c r="I243" s="79"/>
      <c r="J243" s="79"/>
      <c r="K243" s="79"/>
    </row>
    <row r="244">
      <c r="C244" s="79"/>
      <c r="D244" s="79"/>
      <c r="E244" s="79"/>
      <c r="F244" s="79"/>
      <c r="G244" s="79"/>
      <c r="H244" s="79"/>
      <c r="I244" s="79"/>
      <c r="J244" s="79"/>
      <c r="K244" s="79"/>
    </row>
    <row r="245">
      <c r="C245" s="79"/>
      <c r="D245" s="79"/>
      <c r="E245" s="79"/>
      <c r="F245" s="79"/>
      <c r="G245" s="79"/>
      <c r="H245" s="79"/>
      <c r="I245" s="79"/>
      <c r="J245" s="79"/>
      <c r="K245" s="79"/>
    </row>
    <row r="246">
      <c r="C246" s="79"/>
      <c r="D246" s="79"/>
      <c r="E246" s="79"/>
      <c r="F246" s="79"/>
      <c r="G246" s="79"/>
      <c r="H246" s="79"/>
      <c r="I246" s="79"/>
      <c r="J246" s="79"/>
      <c r="K246" s="79"/>
    </row>
    <row r="247">
      <c r="C247" s="79"/>
      <c r="D247" s="79"/>
      <c r="E247" s="79"/>
      <c r="F247" s="79"/>
      <c r="G247" s="79"/>
      <c r="H247" s="79"/>
      <c r="I247" s="79"/>
      <c r="J247" s="79"/>
      <c r="K247" s="79"/>
    </row>
    <row r="248">
      <c r="C248" s="79"/>
      <c r="D248" s="79"/>
      <c r="E248" s="79"/>
      <c r="F248" s="79"/>
      <c r="G248" s="79"/>
      <c r="H248" s="79"/>
      <c r="I248" s="79"/>
      <c r="J248" s="79"/>
      <c r="K248" s="79"/>
    </row>
    <row r="249">
      <c r="C249" s="79"/>
      <c r="D249" s="79"/>
      <c r="E249" s="79"/>
      <c r="F249" s="79"/>
      <c r="G249" s="79"/>
      <c r="H249" s="79"/>
      <c r="I249" s="79"/>
      <c r="J249" s="79"/>
      <c r="K249" s="79"/>
    </row>
    <row r="250">
      <c r="C250" s="79"/>
      <c r="D250" s="79"/>
      <c r="E250" s="79"/>
      <c r="F250" s="79"/>
      <c r="G250" s="79"/>
      <c r="H250" s="79"/>
      <c r="I250" s="79"/>
      <c r="J250" s="79"/>
      <c r="K250" s="79"/>
    </row>
    <row r="251">
      <c r="C251" s="79"/>
      <c r="D251" s="79"/>
      <c r="E251" s="79"/>
      <c r="F251" s="79"/>
      <c r="G251" s="79"/>
      <c r="H251" s="79"/>
      <c r="I251" s="79"/>
      <c r="J251" s="79"/>
      <c r="K251" s="79"/>
    </row>
    <row r="252">
      <c r="C252" s="79"/>
      <c r="D252" s="79"/>
      <c r="E252" s="79"/>
      <c r="F252" s="79"/>
      <c r="G252" s="79"/>
      <c r="H252" s="79"/>
      <c r="I252" s="79"/>
      <c r="J252" s="79"/>
      <c r="K252" s="79"/>
    </row>
    <row r="253">
      <c r="C253" s="79"/>
      <c r="D253" s="79"/>
      <c r="E253" s="79"/>
      <c r="F253" s="79"/>
      <c r="G253" s="79"/>
      <c r="H253" s="79"/>
      <c r="I253" s="79"/>
      <c r="J253" s="79"/>
      <c r="K253" s="79"/>
    </row>
    <row r="254">
      <c r="C254" s="79"/>
      <c r="D254" s="79"/>
      <c r="E254" s="79"/>
      <c r="F254" s="79"/>
      <c r="G254" s="79"/>
      <c r="H254" s="79"/>
      <c r="I254" s="79"/>
      <c r="J254" s="79"/>
      <c r="K254" s="79"/>
    </row>
    <row r="255">
      <c r="C255" s="79"/>
      <c r="D255" s="79"/>
      <c r="E255" s="79"/>
      <c r="F255" s="79"/>
      <c r="G255" s="79"/>
      <c r="H255" s="79"/>
      <c r="I255" s="79"/>
      <c r="J255" s="79"/>
      <c r="K255" s="79"/>
    </row>
    <row r="256">
      <c r="C256" s="79"/>
      <c r="D256" s="79"/>
      <c r="E256" s="79"/>
      <c r="F256" s="79"/>
      <c r="G256" s="79"/>
      <c r="H256" s="79"/>
      <c r="I256" s="79"/>
      <c r="J256" s="79"/>
      <c r="K256" s="79"/>
    </row>
    <row r="257">
      <c r="C257" s="79"/>
      <c r="D257" s="79"/>
      <c r="E257" s="79"/>
      <c r="F257" s="79"/>
      <c r="G257" s="79"/>
      <c r="H257" s="79"/>
      <c r="I257" s="79"/>
      <c r="J257" s="79"/>
      <c r="K257" s="79"/>
    </row>
    <row r="258">
      <c r="C258" s="79"/>
      <c r="D258" s="79"/>
      <c r="E258" s="79"/>
      <c r="F258" s="79"/>
      <c r="G258" s="79"/>
      <c r="H258" s="79"/>
      <c r="I258" s="79"/>
      <c r="J258" s="79"/>
      <c r="K258" s="79"/>
    </row>
    <row r="259">
      <c r="C259" s="79"/>
      <c r="D259" s="79"/>
      <c r="E259" s="79"/>
      <c r="F259" s="79"/>
      <c r="G259" s="79"/>
      <c r="H259" s="79"/>
      <c r="I259" s="79"/>
      <c r="J259" s="79"/>
      <c r="K259" s="79"/>
    </row>
    <row r="260">
      <c r="C260" s="79"/>
      <c r="D260" s="79"/>
      <c r="E260" s="79"/>
      <c r="F260" s="79"/>
      <c r="G260" s="79"/>
      <c r="H260" s="79"/>
      <c r="I260" s="79"/>
      <c r="J260" s="79"/>
      <c r="K260" s="79"/>
    </row>
    <row r="261">
      <c r="C261" s="79"/>
      <c r="D261" s="79"/>
      <c r="E261" s="79"/>
      <c r="F261" s="79"/>
      <c r="G261" s="79"/>
      <c r="H261" s="79"/>
      <c r="I261" s="79"/>
      <c r="J261" s="79"/>
      <c r="K261" s="79"/>
    </row>
    <row r="262">
      <c r="C262" s="79"/>
      <c r="D262" s="79"/>
      <c r="E262" s="79"/>
      <c r="F262" s="79"/>
      <c r="G262" s="79"/>
      <c r="H262" s="79"/>
      <c r="I262" s="79"/>
      <c r="J262" s="79"/>
      <c r="K262" s="79"/>
    </row>
    <row r="263">
      <c r="C263" s="79"/>
      <c r="D263" s="79"/>
      <c r="E263" s="79"/>
      <c r="F263" s="79"/>
      <c r="G263" s="79"/>
      <c r="H263" s="79"/>
      <c r="I263" s="79"/>
      <c r="J263" s="79"/>
      <c r="K263" s="79"/>
    </row>
    <row r="264">
      <c r="C264" s="79"/>
      <c r="D264" s="79"/>
      <c r="E264" s="79"/>
      <c r="F264" s="79"/>
      <c r="G264" s="79"/>
      <c r="H264" s="79"/>
      <c r="I264" s="79"/>
      <c r="J264" s="79"/>
      <c r="K264" s="79"/>
    </row>
    <row r="265">
      <c r="C265" s="79"/>
      <c r="D265" s="79"/>
      <c r="E265" s="79"/>
      <c r="F265" s="79"/>
      <c r="G265" s="79"/>
      <c r="H265" s="79"/>
      <c r="I265" s="79"/>
      <c r="J265" s="79"/>
      <c r="K265" s="79"/>
    </row>
    <row r="266">
      <c r="C266" s="79"/>
      <c r="D266" s="79"/>
      <c r="E266" s="79"/>
      <c r="F266" s="79"/>
      <c r="G266" s="79"/>
      <c r="H266" s="79"/>
      <c r="I266" s="79"/>
      <c r="J266" s="79"/>
      <c r="K266" s="79"/>
    </row>
    <row r="267">
      <c r="C267" s="79"/>
      <c r="D267" s="79"/>
      <c r="E267" s="79"/>
      <c r="F267" s="79"/>
      <c r="G267" s="79"/>
      <c r="H267" s="79"/>
      <c r="I267" s="79"/>
      <c r="J267" s="79"/>
      <c r="K267" s="79"/>
    </row>
    <row r="268">
      <c r="C268" s="79"/>
      <c r="D268" s="79"/>
      <c r="E268" s="79"/>
      <c r="F268" s="79"/>
      <c r="G268" s="79"/>
      <c r="H268" s="79"/>
      <c r="I268" s="79"/>
      <c r="J268" s="79"/>
      <c r="K268" s="79"/>
    </row>
    <row r="269">
      <c r="C269" s="79"/>
      <c r="D269" s="79"/>
      <c r="E269" s="79"/>
      <c r="F269" s="79"/>
      <c r="G269" s="79"/>
      <c r="H269" s="79"/>
      <c r="I269" s="79"/>
      <c r="J269" s="79"/>
      <c r="K269" s="79"/>
    </row>
    <row r="270">
      <c r="C270" s="79"/>
      <c r="D270" s="79"/>
      <c r="E270" s="79"/>
      <c r="F270" s="79"/>
      <c r="G270" s="79"/>
      <c r="H270" s="79"/>
      <c r="I270" s="79"/>
      <c r="J270" s="79"/>
      <c r="K270" s="79"/>
    </row>
    <row r="271">
      <c r="C271" s="79"/>
      <c r="D271" s="79"/>
      <c r="E271" s="79"/>
      <c r="F271" s="79"/>
      <c r="G271" s="79"/>
      <c r="H271" s="79"/>
      <c r="I271" s="79"/>
      <c r="J271" s="79"/>
      <c r="K271" s="79"/>
    </row>
    <row r="272">
      <c r="C272" s="79"/>
      <c r="D272" s="79"/>
      <c r="E272" s="79"/>
      <c r="F272" s="79"/>
      <c r="G272" s="79"/>
      <c r="H272" s="79"/>
      <c r="I272" s="79"/>
      <c r="J272" s="79"/>
      <c r="K272" s="79"/>
    </row>
    <row r="273">
      <c r="C273" s="79"/>
      <c r="D273" s="79"/>
      <c r="E273" s="79"/>
      <c r="F273" s="79"/>
      <c r="G273" s="79"/>
      <c r="H273" s="79"/>
      <c r="I273" s="79"/>
      <c r="J273" s="79"/>
      <c r="K273" s="79"/>
    </row>
    <row r="274">
      <c r="C274" s="79"/>
      <c r="D274" s="79"/>
      <c r="E274" s="79"/>
      <c r="F274" s="79"/>
      <c r="G274" s="79"/>
      <c r="H274" s="79"/>
      <c r="I274" s="79"/>
      <c r="J274" s="79"/>
      <c r="K274" s="79"/>
    </row>
    <row r="275">
      <c r="C275" s="79"/>
      <c r="D275" s="79"/>
      <c r="E275" s="79"/>
      <c r="F275" s="79"/>
      <c r="G275" s="79"/>
      <c r="H275" s="79"/>
      <c r="I275" s="79"/>
      <c r="J275" s="79"/>
      <c r="K275" s="79"/>
    </row>
    <row r="276">
      <c r="C276" s="79"/>
      <c r="D276" s="79"/>
      <c r="E276" s="79"/>
      <c r="F276" s="79"/>
      <c r="G276" s="79"/>
      <c r="H276" s="79"/>
      <c r="I276" s="79"/>
      <c r="J276" s="79"/>
      <c r="K276" s="79"/>
    </row>
    <row r="277">
      <c r="C277" s="79"/>
      <c r="D277" s="79"/>
      <c r="E277" s="79"/>
      <c r="F277" s="79"/>
      <c r="G277" s="79"/>
      <c r="H277" s="79"/>
      <c r="I277" s="79"/>
      <c r="J277" s="79"/>
      <c r="K277" s="79"/>
    </row>
    <row r="278">
      <c r="C278" s="79"/>
      <c r="D278" s="79"/>
      <c r="E278" s="79"/>
      <c r="F278" s="79"/>
      <c r="G278" s="79"/>
      <c r="H278" s="79"/>
      <c r="I278" s="79"/>
      <c r="J278" s="79"/>
      <c r="K278" s="79"/>
    </row>
    <row r="279">
      <c r="C279" s="79"/>
      <c r="D279" s="79"/>
      <c r="E279" s="79"/>
      <c r="F279" s="79"/>
      <c r="G279" s="79"/>
      <c r="H279" s="79"/>
      <c r="I279" s="79"/>
      <c r="J279" s="79"/>
      <c r="K279" s="79"/>
    </row>
    <row r="280">
      <c r="C280" s="79"/>
      <c r="D280" s="79"/>
      <c r="E280" s="79"/>
      <c r="F280" s="79"/>
      <c r="G280" s="79"/>
      <c r="H280" s="79"/>
      <c r="I280" s="79"/>
      <c r="J280" s="79"/>
      <c r="K280" s="79"/>
    </row>
    <row r="281">
      <c r="C281" s="79"/>
      <c r="D281" s="79"/>
      <c r="E281" s="79"/>
      <c r="F281" s="79"/>
      <c r="G281" s="79"/>
      <c r="H281" s="79"/>
      <c r="I281" s="79"/>
      <c r="J281" s="79"/>
      <c r="K281" s="79"/>
    </row>
    <row r="282">
      <c r="C282" s="79"/>
      <c r="D282" s="79"/>
      <c r="E282" s="79"/>
      <c r="F282" s="79"/>
      <c r="G282" s="79"/>
      <c r="H282" s="79"/>
      <c r="I282" s="79"/>
      <c r="J282" s="79"/>
      <c r="K282" s="79"/>
    </row>
    <row r="283">
      <c r="C283" s="79"/>
      <c r="D283" s="79"/>
      <c r="E283" s="79"/>
      <c r="F283" s="79"/>
      <c r="G283" s="79"/>
      <c r="H283" s="79"/>
      <c r="I283" s="79"/>
      <c r="J283" s="79"/>
      <c r="K283" s="79"/>
    </row>
    <row r="284">
      <c r="C284" s="79"/>
      <c r="D284" s="79"/>
      <c r="E284" s="79"/>
      <c r="F284" s="79"/>
      <c r="G284" s="79"/>
      <c r="H284" s="79"/>
      <c r="I284" s="79"/>
      <c r="J284" s="79"/>
      <c r="K284" s="79"/>
    </row>
    <row r="285">
      <c r="C285" s="79"/>
      <c r="D285" s="79"/>
      <c r="E285" s="79"/>
      <c r="F285" s="79"/>
      <c r="G285" s="79"/>
      <c r="H285" s="79"/>
      <c r="I285" s="79"/>
      <c r="J285" s="79"/>
      <c r="K285" s="79"/>
    </row>
    <row r="286">
      <c r="C286" s="79"/>
      <c r="D286" s="79"/>
      <c r="E286" s="79"/>
      <c r="F286" s="79"/>
      <c r="G286" s="79"/>
      <c r="H286" s="79"/>
      <c r="I286" s="79"/>
      <c r="J286" s="79"/>
      <c r="K286" s="79"/>
    </row>
    <row r="287">
      <c r="C287" s="79"/>
      <c r="D287" s="79"/>
      <c r="E287" s="79"/>
      <c r="F287" s="79"/>
      <c r="G287" s="79"/>
      <c r="H287" s="79"/>
      <c r="I287" s="79"/>
      <c r="J287" s="79"/>
      <c r="K287" s="79"/>
    </row>
    <row r="288">
      <c r="C288" s="79"/>
      <c r="D288" s="79"/>
      <c r="E288" s="79"/>
      <c r="F288" s="79"/>
      <c r="G288" s="79"/>
      <c r="H288" s="79"/>
      <c r="I288" s="79"/>
      <c r="J288" s="79"/>
      <c r="K288" s="79"/>
    </row>
    <row r="289">
      <c r="C289" s="79"/>
      <c r="D289" s="79"/>
      <c r="E289" s="79"/>
      <c r="F289" s="79"/>
      <c r="G289" s="79"/>
      <c r="H289" s="79"/>
      <c r="I289" s="79"/>
      <c r="J289" s="79"/>
      <c r="K289" s="79"/>
    </row>
    <row r="290">
      <c r="C290" s="79"/>
      <c r="D290" s="79"/>
      <c r="E290" s="79"/>
      <c r="F290" s="79"/>
      <c r="G290" s="79"/>
      <c r="H290" s="79"/>
      <c r="I290" s="79"/>
      <c r="J290" s="79"/>
      <c r="K290" s="79"/>
    </row>
    <row r="291">
      <c r="C291" s="79"/>
      <c r="D291" s="79"/>
      <c r="E291" s="79"/>
      <c r="F291" s="79"/>
      <c r="G291" s="79"/>
      <c r="H291" s="79"/>
      <c r="I291" s="79"/>
      <c r="J291" s="79"/>
      <c r="K291" s="79"/>
    </row>
    <row r="292">
      <c r="C292" s="79"/>
      <c r="D292" s="79"/>
      <c r="E292" s="79"/>
      <c r="F292" s="79"/>
      <c r="G292" s="79"/>
      <c r="H292" s="79"/>
      <c r="I292" s="79"/>
      <c r="J292" s="79"/>
      <c r="K292" s="79"/>
    </row>
    <row r="293">
      <c r="C293" s="79"/>
      <c r="D293" s="79"/>
      <c r="E293" s="79"/>
      <c r="F293" s="79"/>
      <c r="G293" s="79"/>
      <c r="H293" s="79"/>
      <c r="I293" s="79"/>
      <c r="J293" s="79"/>
      <c r="K293" s="79"/>
    </row>
    <row r="294">
      <c r="C294" s="79"/>
      <c r="D294" s="79"/>
      <c r="E294" s="79"/>
      <c r="F294" s="79"/>
      <c r="G294" s="79"/>
      <c r="H294" s="79"/>
      <c r="I294" s="79"/>
      <c r="J294" s="79"/>
      <c r="K294" s="79"/>
    </row>
    <row r="295">
      <c r="C295" s="79"/>
      <c r="D295" s="79"/>
      <c r="E295" s="79"/>
      <c r="F295" s="79"/>
      <c r="G295" s="79"/>
      <c r="H295" s="79"/>
      <c r="I295" s="79"/>
      <c r="J295" s="79"/>
      <c r="K295" s="79"/>
    </row>
    <row r="296">
      <c r="C296" s="79"/>
      <c r="D296" s="79"/>
      <c r="E296" s="79"/>
      <c r="F296" s="79"/>
      <c r="G296" s="79"/>
      <c r="H296" s="79"/>
      <c r="I296" s="79"/>
      <c r="J296" s="79"/>
      <c r="K296" s="79"/>
    </row>
    <row r="297">
      <c r="C297" s="79"/>
      <c r="D297" s="79"/>
      <c r="E297" s="79"/>
      <c r="F297" s="79"/>
      <c r="G297" s="79"/>
      <c r="H297" s="79"/>
      <c r="I297" s="79"/>
      <c r="J297" s="79"/>
      <c r="K297" s="79"/>
    </row>
    <row r="298">
      <c r="C298" s="79"/>
      <c r="D298" s="79"/>
      <c r="E298" s="79"/>
      <c r="F298" s="79"/>
      <c r="G298" s="79"/>
      <c r="H298" s="79"/>
      <c r="I298" s="79"/>
      <c r="J298" s="79"/>
      <c r="K298" s="79"/>
    </row>
    <row r="299">
      <c r="C299" s="79"/>
      <c r="D299" s="79"/>
      <c r="E299" s="79"/>
      <c r="F299" s="79"/>
      <c r="G299" s="79"/>
      <c r="H299" s="79"/>
      <c r="I299" s="79"/>
      <c r="J299" s="79"/>
      <c r="K299" s="79"/>
    </row>
    <row r="300">
      <c r="C300" s="79"/>
      <c r="D300" s="79"/>
      <c r="E300" s="79"/>
      <c r="F300" s="79"/>
      <c r="G300" s="79"/>
      <c r="H300" s="79"/>
      <c r="I300" s="79"/>
      <c r="J300" s="79"/>
      <c r="K300" s="79"/>
    </row>
    <row r="301">
      <c r="C301" s="79"/>
      <c r="D301" s="79"/>
      <c r="E301" s="79"/>
      <c r="F301" s="79"/>
      <c r="G301" s="79"/>
      <c r="H301" s="79"/>
      <c r="I301" s="79"/>
      <c r="J301" s="79"/>
      <c r="K301" s="79"/>
    </row>
    <row r="302">
      <c r="C302" s="79"/>
      <c r="D302" s="79"/>
      <c r="E302" s="79"/>
      <c r="F302" s="79"/>
      <c r="G302" s="79"/>
      <c r="H302" s="79"/>
      <c r="I302" s="79"/>
      <c r="J302" s="79"/>
      <c r="K302" s="79"/>
    </row>
    <row r="303">
      <c r="C303" s="79"/>
      <c r="D303" s="79"/>
      <c r="E303" s="79"/>
      <c r="F303" s="79"/>
      <c r="G303" s="79"/>
      <c r="H303" s="79"/>
      <c r="I303" s="79"/>
      <c r="J303" s="79"/>
      <c r="K303" s="79"/>
    </row>
    <row r="304">
      <c r="C304" s="79"/>
      <c r="D304" s="79"/>
      <c r="E304" s="79"/>
      <c r="F304" s="79"/>
      <c r="G304" s="79"/>
      <c r="H304" s="79"/>
      <c r="I304" s="79"/>
      <c r="J304" s="79"/>
      <c r="K304" s="79"/>
    </row>
    <row r="305">
      <c r="C305" s="79"/>
      <c r="D305" s="79"/>
      <c r="E305" s="79"/>
      <c r="F305" s="79"/>
      <c r="G305" s="79"/>
      <c r="H305" s="79"/>
      <c r="I305" s="79"/>
      <c r="J305" s="79"/>
      <c r="K305" s="79"/>
    </row>
    <row r="306">
      <c r="C306" s="79"/>
      <c r="D306" s="79"/>
      <c r="E306" s="79"/>
      <c r="F306" s="79"/>
      <c r="G306" s="79"/>
      <c r="H306" s="79"/>
      <c r="I306" s="79"/>
      <c r="J306" s="79"/>
      <c r="K306" s="79"/>
    </row>
    <row r="307">
      <c r="C307" s="79"/>
      <c r="D307" s="79"/>
      <c r="E307" s="79"/>
      <c r="F307" s="79"/>
      <c r="G307" s="79"/>
      <c r="H307" s="79"/>
      <c r="I307" s="79"/>
      <c r="J307" s="79"/>
      <c r="K307" s="79"/>
    </row>
    <row r="308">
      <c r="C308" s="79"/>
      <c r="D308" s="79"/>
      <c r="E308" s="79"/>
      <c r="F308" s="79"/>
      <c r="G308" s="79"/>
      <c r="H308" s="79"/>
      <c r="I308" s="79"/>
      <c r="J308" s="79"/>
      <c r="K308" s="79"/>
    </row>
    <row r="309">
      <c r="C309" s="79"/>
      <c r="D309" s="79"/>
      <c r="E309" s="79"/>
      <c r="F309" s="79"/>
      <c r="G309" s="79"/>
      <c r="H309" s="79"/>
      <c r="I309" s="79"/>
      <c r="J309" s="79"/>
      <c r="K309" s="79"/>
    </row>
    <row r="310">
      <c r="C310" s="79"/>
      <c r="D310" s="79"/>
      <c r="E310" s="79"/>
      <c r="F310" s="79"/>
      <c r="G310" s="79"/>
      <c r="H310" s="79"/>
      <c r="I310" s="79"/>
      <c r="J310" s="79"/>
      <c r="K310" s="79"/>
    </row>
    <row r="311">
      <c r="C311" s="79"/>
      <c r="D311" s="79"/>
      <c r="E311" s="79"/>
      <c r="F311" s="79"/>
      <c r="G311" s="79"/>
      <c r="H311" s="79"/>
      <c r="I311" s="79"/>
      <c r="J311" s="79"/>
      <c r="K311" s="79"/>
    </row>
    <row r="312">
      <c r="C312" s="79"/>
      <c r="D312" s="79"/>
      <c r="E312" s="79"/>
      <c r="F312" s="79"/>
      <c r="G312" s="79"/>
      <c r="H312" s="79"/>
      <c r="I312" s="79"/>
      <c r="J312" s="79"/>
      <c r="K312" s="79"/>
    </row>
    <row r="313">
      <c r="C313" s="79"/>
      <c r="D313" s="79"/>
      <c r="E313" s="79"/>
      <c r="F313" s="79"/>
      <c r="G313" s="79"/>
      <c r="H313" s="79"/>
      <c r="I313" s="79"/>
      <c r="J313" s="79"/>
      <c r="K313" s="79"/>
    </row>
    <row r="314">
      <c r="C314" s="79"/>
      <c r="D314" s="79"/>
      <c r="E314" s="79"/>
      <c r="F314" s="79"/>
      <c r="G314" s="79"/>
      <c r="H314" s="79"/>
      <c r="I314" s="79"/>
      <c r="J314" s="79"/>
      <c r="K314" s="79"/>
    </row>
    <row r="315">
      <c r="C315" s="79"/>
      <c r="D315" s="79"/>
      <c r="E315" s="79"/>
      <c r="F315" s="79"/>
      <c r="G315" s="79"/>
      <c r="H315" s="79"/>
      <c r="I315" s="79"/>
      <c r="J315" s="79"/>
      <c r="K315" s="79"/>
    </row>
    <row r="316">
      <c r="C316" s="79"/>
      <c r="D316" s="79"/>
      <c r="E316" s="79"/>
      <c r="F316" s="79"/>
      <c r="G316" s="79"/>
      <c r="H316" s="79"/>
      <c r="I316" s="79"/>
      <c r="J316" s="79"/>
      <c r="K316" s="79"/>
    </row>
    <row r="317">
      <c r="C317" s="79"/>
      <c r="D317" s="79"/>
      <c r="E317" s="79"/>
      <c r="F317" s="79"/>
      <c r="G317" s="79"/>
      <c r="H317" s="79"/>
      <c r="I317" s="79"/>
      <c r="J317" s="79"/>
      <c r="K317" s="79"/>
    </row>
    <row r="318">
      <c r="C318" s="79"/>
      <c r="D318" s="79"/>
      <c r="E318" s="79"/>
      <c r="F318" s="79"/>
      <c r="G318" s="79"/>
      <c r="H318" s="79"/>
      <c r="I318" s="79"/>
      <c r="J318" s="79"/>
      <c r="K318" s="79"/>
    </row>
    <row r="319">
      <c r="C319" s="79"/>
      <c r="D319" s="79"/>
      <c r="E319" s="79"/>
      <c r="F319" s="79"/>
      <c r="G319" s="79"/>
      <c r="H319" s="79"/>
      <c r="I319" s="79"/>
      <c r="J319" s="79"/>
      <c r="K319" s="79"/>
    </row>
    <row r="320">
      <c r="C320" s="79"/>
      <c r="D320" s="79"/>
      <c r="E320" s="79"/>
      <c r="F320" s="79"/>
      <c r="G320" s="79"/>
      <c r="H320" s="79"/>
      <c r="I320" s="79"/>
      <c r="J320" s="79"/>
      <c r="K320" s="79"/>
    </row>
    <row r="321">
      <c r="C321" s="79"/>
      <c r="D321" s="79"/>
      <c r="E321" s="79"/>
      <c r="F321" s="79"/>
      <c r="G321" s="79"/>
      <c r="H321" s="79"/>
      <c r="I321" s="79"/>
      <c r="J321" s="79"/>
      <c r="K321" s="79"/>
    </row>
    <row r="322">
      <c r="C322" s="79"/>
      <c r="D322" s="79"/>
      <c r="E322" s="79"/>
      <c r="F322" s="79"/>
      <c r="G322" s="79"/>
      <c r="H322" s="79"/>
      <c r="I322" s="79"/>
      <c r="J322" s="79"/>
      <c r="K322" s="79"/>
    </row>
    <row r="323">
      <c r="C323" s="79"/>
      <c r="D323" s="79"/>
      <c r="E323" s="79"/>
      <c r="F323" s="79"/>
      <c r="G323" s="79"/>
      <c r="H323" s="79"/>
      <c r="I323" s="79"/>
      <c r="J323" s="79"/>
      <c r="K323" s="79"/>
    </row>
    <row r="324">
      <c r="C324" s="79"/>
      <c r="D324" s="79"/>
      <c r="E324" s="79"/>
      <c r="F324" s="79"/>
      <c r="G324" s="79"/>
      <c r="H324" s="79"/>
      <c r="I324" s="79"/>
      <c r="J324" s="79"/>
      <c r="K324" s="79"/>
    </row>
    <row r="325">
      <c r="C325" s="79"/>
      <c r="D325" s="79"/>
      <c r="E325" s="79"/>
      <c r="F325" s="79"/>
      <c r="G325" s="79"/>
      <c r="H325" s="79"/>
      <c r="I325" s="79"/>
      <c r="J325" s="79"/>
      <c r="K325" s="79"/>
    </row>
    <row r="326">
      <c r="C326" s="79"/>
      <c r="D326" s="79"/>
      <c r="E326" s="79"/>
      <c r="F326" s="79"/>
      <c r="G326" s="79"/>
      <c r="H326" s="79"/>
      <c r="I326" s="79"/>
      <c r="J326" s="79"/>
      <c r="K326" s="79"/>
    </row>
    <row r="327">
      <c r="C327" s="79"/>
      <c r="D327" s="79"/>
      <c r="E327" s="79"/>
      <c r="F327" s="79"/>
      <c r="G327" s="79"/>
      <c r="H327" s="79"/>
      <c r="I327" s="79"/>
      <c r="J327" s="79"/>
      <c r="K327" s="79"/>
    </row>
    <row r="328">
      <c r="C328" s="79"/>
      <c r="D328" s="79"/>
      <c r="E328" s="79"/>
      <c r="F328" s="79"/>
      <c r="G328" s="79"/>
      <c r="H328" s="79"/>
      <c r="I328" s="79"/>
      <c r="J328" s="79"/>
      <c r="K328" s="79"/>
    </row>
    <row r="329">
      <c r="C329" s="79"/>
      <c r="D329" s="79"/>
      <c r="E329" s="79"/>
      <c r="F329" s="79"/>
      <c r="G329" s="79"/>
      <c r="H329" s="79"/>
      <c r="I329" s="79"/>
      <c r="J329" s="79"/>
      <c r="K329" s="79"/>
    </row>
    <row r="330">
      <c r="C330" s="79"/>
      <c r="D330" s="79"/>
      <c r="E330" s="79"/>
      <c r="F330" s="79"/>
      <c r="G330" s="79"/>
      <c r="H330" s="79"/>
      <c r="I330" s="79"/>
      <c r="J330" s="79"/>
      <c r="K330" s="79"/>
    </row>
    <row r="331">
      <c r="C331" s="79"/>
      <c r="D331" s="79"/>
      <c r="E331" s="79"/>
      <c r="F331" s="79"/>
      <c r="G331" s="79"/>
      <c r="H331" s="79"/>
      <c r="I331" s="79"/>
      <c r="J331" s="79"/>
      <c r="K331" s="79"/>
    </row>
    <row r="332">
      <c r="C332" s="79"/>
      <c r="D332" s="79"/>
      <c r="E332" s="79"/>
      <c r="F332" s="79"/>
      <c r="G332" s="79"/>
      <c r="H332" s="79"/>
      <c r="I332" s="79"/>
      <c r="J332" s="79"/>
      <c r="K332" s="79"/>
    </row>
    <row r="333">
      <c r="C333" s="79"/>
      <c r="D333" s="79"/>
      <c r="E333" s="79"/>
      <c r="F333" s="79"/>
      <c r="G333" s="79"/>
      <c r="H333" s="79"/>
      <c r="I333" s="79"/>
      <c r="J333" s="79"/>
      <c r="K333" s="79"/>
    </row>
    <row r="334">
      <c r="C334" s="79"/>
      <c r="D334" s="79"/>
      <c r="E334" s="79"/>
      <c r="F334" s="79"/>
      <c r="G334" s="79"/>
      <c r="H334" s="79"/>
      <c r="I334" s="79"/>
      <c r="J334" s="79"/>
      <c r="K334" s="79"/>
    </row>
    <row r="335">
      <c r="C335" s="79"/>
      <c r="D335" s="79"/>
      <c r="E335" s="79"/>
      <c r="F335" s="79"/>
      <c r="G335" s="79"/>
      <c r="H335" s="79"/>
      <c r="I335" s="79"/>
      <c r="J335" s="79"/>
      <c r="K335" s="79"/>
    </row>
    <row r="336">
      <c r="C336" s="79"/>
      <c r="D336" s="79"/>
      <c r="E336" s="79"/>
      <c r="F336" s="79"/>
      <c r="G336" s="79"/>
      <c r="H336" s="79"/>
      <c r="I336" s="79"/>
      <c r="J336" s="79"/>
      <c r="K336" s="79"/>
    </row>
    <row r="337">
      <c r="C337" s="79"/>
      <c r="D337" s="79"/>
      <c r="E337" s="79"/>
      <c r="F337" s="79"/>
      <c r="G337" s="79"/>
      <c r="H337" s="79"/>
      <c r="I337" s="79"/>
      <c r="J337" s="79"/>
      <c r="K337" s="79"/>
    </row>
    <row r="338">
      <c r="C338" s="79"/>
      <c r="D338" s="79"/>
      <c r="E338" s="79"/>
      <c r="F338" s="79"/>
      <c r="G338" s="79"/>
      <c r="H338" s="79"/>
      <c r="I338" s="79"/>
      <c r="J338" s="79"/>
      <c r="K338" s="79"/>
    </row>
    <row r="339">
      <c r="C339" s="79"/>
      <c r="D339" s="79"/>
      <c r="E339" s="79"/>
      <c r="F339" s="79"/>
      <c r="G339" s="79"/>
      <c r="H339" s="79"/>
      <c r="I339" s="79"/>
      <c r="J339" s="79"/>
      <c r="K339" s="79"/>
    </row>
    <row r="340">
      <c r="C340" s="79"/>
      <c r="D340" s="79"/>
      <c r="E340" s="79"/>
      <c r="F340" s="79"/>
      <c r="G340" s="79"/>
      <c r="H340" s="79"/>
      <c r="I340" s="79"/>
      <c r="J340" s="79"/>
      <c r="K340" s="79"/>
    </row>
    <row r="341">
      <c r="C341" s="79"/>
      <c r="D341" s="79"/>
      <c r="E341" s="79"/>
      <c r="F341" s="79"/>
      <c r="G341" s="79"/>
      <c r="H341" s="79"/>
      <c r="I341" s="79"/>
      <c r="J341" s="79"/>
      <c r="K341" s="79"/>
    </row>
    <row r="342">
      <c r="C342" s="79"/>
      <c r="D342" s="79"/>
      <c r="E342" s="79"/>
      <c r="F342" s="79"/>
      <c r="G342" s="79"/>
      <c r="H342" s="79"/>
      <c r="I342" s="79"/>
      <c r="J342" s="79"/>
      <c r="K342" s="79"/>
    </row>
    <row r="343">
      <c r="C343" s="79"/>
      <c r="D343" s="79"/>
      <c r="E343" s="79"/>
      <c r="F343" s="79"/>
      <c r="G343" s="79"/>
      <c r="H343" s="79"/>
      <c r="I343" s="79"/>
      <c r="J343" s="79"/>
      <c r="K343" s="79"/>
    </row>
    <row r="344">
      <c r="C344" s="79"/>
      <c r="D344" s="79"/>
      <c r="E344" s="79"/>
      <c r="F344" s="79"/>
      <c r="G344" s="79"/>
      <c r="H344" s="79"/>
      <c r="I344" s="79"/>
      <c r="J344" s="79"/>
      <c r="K344" s="79"/>
    </row>
    <row r="345">
      <c r="C345" s="79"/>
      <c r="D345" s="79"/>
      <c r="E345" s="79"/>
      <c r="F345" s="79"/>
      <c r="G345" s="79"/>
      <c r="H345" s="79"/>
      <c r="I345" s="79"/>
      <c r="J345" s="79"/>
      <c r="K345" s="79"/>
    </row>
    <row r="346">
      <c r="C346" s="79"/>
      <c r="D346" s="79"/>
      <c r="E346" s="79"/>
      <c r="F346" s="79"/>
      <c r="G346" s="79"/>
      <c r="H346" s="79"/>
      <c r="I346" s="79"/>
      <c r="J346" s="79"/>
      <c r="K346" s="79"/>
    </row>
    <row r="347">
      <c r="C347" s="79"/>
      <c r="D347" s="79"/>
      <c r="E347" s="79"/>
      <c r="F347" s="79"/>
      <c r="G347" s="79"/>
      <c r="H347" s="79"/>
      <c r="I347" s="79"/>
      <c r="J347" s="79"/>
      <c r="K347" s="79"/>
    </row>
    <row r="348">
      <c r="C348" s="79"/>
      <c r="D348" s="79"/>
      <c r="E348" s="79"/>
      <c r="F348" s="79"/>
      <c r="G348" s="79"/>
      <c r="H348" s="79"/>
      <c r="I348" s="79"/>
      <c r="J348" s="79"/>
      <c r="K348" s="79"/>
    </row>
    <row r="349">
      <c r="C349" s="79"/>
      <c r="D349" s="79"/>
      <c r="E349" s="79"/>
      <c r="F349" s="79"/>
      <c r="G349" s="79"/>
      <c r="H349" s="79"/>
      <c r="I349" s="79"/>
      <c r="J349" s="79"/>
      <c r="K349" s="79"/>
    </row>
    <row r="350">
      <c r="C350" s="79"/>
      <c r="D350" s="79"/>
      <c r="E350" s="79"/>
      <c r="F350" s="79"/>
      <c r="G350" s="79"/>
      <c r="H350" s="79"/>
      <c r="I350" s="79"/>
      <c r="J350" s="79"/>
      <c r="K350" s="79"/>
    </row>
    <row r="351">
      <c r="C351" s="79"/>
      <c r="D351" s="79"/>
      <c r="E351" s="79"/>
      <c r="F351" s="79"/>
      <c r="G351" s="79"/>
      <c r="H351" s="79"/>
      <c r="I351" s="79"/>
      <c r="J351" s="79"/>
      <c r="K351" s="79"/>
    </row>
    <row r="352">
      <c r="C352" s="79"/>
      <c r="D352" s="79"/>
      <c r="E352" s="79"/>
      <c r="F352" s="79"/>
      <c r="G352" s="79"/>
      <c r="H352" s="79"/>
      <c r="I352" s="79"/>
      <c r="J352" s="79"/>
      <c r="K352" s="79"/>
    </row>
    <row r="353">
      <c r="C353" s="79"/>
      <c r="D353" s="79"/>
      <c r="E353" s="79"/>
      <c r="F353" s="79"/>
      <c r="G353" s="79"/>
      <c r="H353" s="79"/>
      <c r="I353" s="79"/>
      <c r="J353" s="79"/>
      <c r="K353" s="79"/>
    </row>
    <row r="354">
      <c r="C354" s="79"/>
      <c r="D354" s="79"/>
      <c r="E354" s="79"/>
      <c r="F354" s="79"/>
      <c r="G354" s="79"/>
      <c r="H354" s="79"/>
      <c r="I354" s="79"/>
      <c r="J354" s="79"/>
      <c r="K354" s="79"/>
    </row>
    <row r="355">
      <c r="C355" s="79"/>
      <c r="D355" s="79"/>
      <c r="E355" s="79"/>
      <c r="F355" s="79"/>
      <c r="G355" s="79"/>
      <c r="H355" s="79"/>
      <c r="I355" s="79"/>
      <c r="J355" s="79"/>
      <c r="K355" s="79"/>
    </row>
    <row r="356">
      <c r="C356" s="79"/>
      <c r="D356" s="79"/>
      <c r="E356" s="79"/>
      <c r="F356" s="79"/>
      <c r="G356" s="79"/>
      <c r="H356" s="79"/>
      <c r="I356" s="79"/>
      <c r="J356" s="79"/>
      <c r="K356" s="79"/>
    </row>
    <row r="357">
      <c r="C357" s="79"/>
      <c r="D357" s="79"/>
      <c r="E357" s="79"/>
      <c r="F357" s="79"/>
      <c r="G357" s="79"/>
      <c r="H357" s="79"/>
      <c r="I357" s="79"/>
      <c r="J357" s="79"/>
      <c r="K357" s="79"/>
    </row>
    <row r="358">
      <c r="C358" s="79"/>
      <c r="D358" s="79"/>
      <c r="E358" s="79"/>
      <c r="F358" s="79"/>
      <c r="G358" s="79"/>
      <c r="H358" s="79"/>
      <c r="I358" s="79"/>
      <c r="J358" s="79"/>
      <c r="K358" s="79"/>
    </row>
    <row r="359">
      <c r="C359" s="79"/>
      <c r="D359" s="79"/>
      <c r="E359" s="79"/>
      <c r="F359" s="79"/>
      <c r="G359" s="79"/>
      <c r="H359" s="79"/>
      <c r="I359" s="79"/>
      <c r="J359" s="79"/>
      <c r="K359" s="79"/>
    </row>
    <row r="360">
      <c r="C360" s="79"/>
      <c r="D360" s="79"/>
      <c r="E360" s="79"/>
      <c r="F360" s="79"/>
      <c r="G360" s="79"/>
      <c r="H360" s="79"/>
      <c r="I360" s="79"/>
      <c r="J360" s="79"/>
      <c r="K360" s="79"/>
    </row>
    <row r="361">
      <c r="C361" s="79"/>
      <c r="D361" s="79"/>
      <c r="E361" s="79"/>
      <c r="F361" s="79"/>
      <c r="G361" s="79"/>
      <c r="H361" s="79"/>
      <c r="I361" s="79"/>
      <c r="J361" s="79"/>
      <c r="K361" s="79"/>
    </row>
    <row r="362">
      <c r="C362" s="79"/>
      <c r="D362" s="79"/>
      <c r="E362" s="79"/>
      <c r="F362" s="79"/>
      <c r="G362" s="79"/>
      <c r="H362" s="79"/>
      <c r="I362" s="79"/>
      <c r="J362" s="79"/>
      <c r="K362" s="79"/>
    </row>
    <row r="363">
      <c r="C363" s="79"/>
      <c r="D363" s="79"/>
      <c r="E363" s="79"/>
      <c r="F363" s="79"/>
      <c r="G363" s="79"/>
      <c r="H363" s="79"/>
      <c r="I363" s="79"/>
      <c r="J363" s="79"/>
      <c r="K363" s="79"/>
    </row>
    <row r="364">
      <c r="C364" s="79"/>
      <c r="D364" s="79"/>
      <c r="E364" s="79"/>
      <c r="F364" s="79"/>
      <c r="G364" s="79"/>
      <c r="H364" s="79"/>
      <c r="I364" s="79"/>
      <c r="J364" s="79"/>
      <c r="K364" s="79"/>
    </row>
    <row r="365">
      <c r="C365" s="79"/>
      <c r="D365" s="79"/>
      <c r="E365" s="79"/>
      <c r="F365" s="79"/>
      <c r="G365" s="79"/>
      <c r="H365" s="79"/>
      <c r="I365" s="79"/>
      <c r="J365" s="79"/>
      <c r="K365" s="79"/>
    </row>
    <row r="366">
      <c r="C366" s="79"/>
      <c r="D366" s="79"/>
      <c r="E366" s="79"/>
      <c r="F366" s="79"/>
      <c r="G366" s="79"/>
      <c r="H366" s="79"/>
      <c r="I366" s="79"/>
      <c r="J366" s="79"/>
      <c r="K366" s="79"/>
    </row>
    <row r="367">
      <c r="C367" s="79"/>
      <c r="D367" s="79"/>
      <c r="E367" s="79"/>
      <c r="F367" s="79"/>
      <c r="G367" s="79"/>
      <c r="H367" s="79"/>
      <c r="I367" s="79"/>
      <c r="J367" s="79"/>
      <c r="K367" s="79"/>
    </row>
    <row r="368">
      <c r="C368" s="79"/>
      <c r="D368" s="79"/>
      <c r="E368" s="79"/>
      <c r="F368" s="79"/>
      <c r="G368" s="79"/>
      <c r="H368" s="79"/>
      <c r="I368" s="79"/>
      <c r="J368" s="79"/>
      <c r="K368" s="79"/>
    </row>
    <row r="369">
      <c r="C369" s="79"/>
      <c r="D369" s="79"/>
      <c r="E369" s="79"/>
      <c r="F369" s="79"/>
      <c r="G369" s="79"/>
      <c r="H369" s="79"/>
      <c r="I369" s="79"/>
      <c r="J369" s="79"/>
      <c r="K369" s="79"/>
    </row>
    <row r="370">
      <c r="C370" s="79"/>
      <c r="D370" s="79"/>
      <c r="E370" s="79"/>
      <c r="F370" s="79"/>
      <c r="G370" s="79"/>
      <c r="H370" s="79"/>
      <c r="I370" s="79"/>
      <c r="J370" s="79"/>
      <c r="K370" s="79"/>
    </row>
    <row r="371">
      <c r="C371" s="79"/>
      <c r="D371" s="79"/>
      <c r="E371" s="79"/>
      <c r="F371" s="79"/>
      <c r="G371" s="79"/>
      <c r="H371" s="79"/>
      <c r="I371" s="79"/>
      <c r="J371" s="79"/>
      <c r="K371" s="79"/>
    </row>
    <row r="372">
      <c r="C372" s="79"/>
      <c r="D372" s="79"/>
      <c r="E372" s="79"/>
      <c r="F372" s="79"/>
      <c r="G372" s="79"/>
      <c r="H372" s="79"/>
      <c r="I372" s="79"/>
      <c r="J372" s="79"/>
      <c r="K372" s="79"/>
    </row>
    <row r="373">
      <c r="C373" s="79"/>
      <c r="D373" s="79"/>
      <c r="E373" s="79"/>
      <c r="F373" s="79"/>
      <c r="G373" s="79"/>
      <c r="H373" s="79"/>
      <c r="I373" s="79"/>
      <c r="J373" s="79"/>
      <c r="K373" s="79"/>
    </row>
    <row r="374">
      <c r="C374" s="79"/>
      <c r="D374" s="79"/>
      <c r="E374" s="79"/>
      <c r="F374" s="79"/>
      <c r="G374" s="79"/>
      <c r="H374" s="79"/>
      <c r="I374" s="79"/>
      <c r="J374" s="79"/>
      <c r="K374" s="79"/>
    </row>
    <row r="375">
      <c r="C375" s="79"/>
      <c r="D375" s="79"/>
      <c r="E375" s="79"/>
      <c r="F375" s="79"/>
      <c r="G375" s="79"/>
      <c r="H375" s="79"/>
      <c r="I375" s="79"/>
      <c r="J375" s="79"/>
      <c r="K375" s="79"/>
    </row>
    <row r="376">
      <c r="C376" s="79"/>
      <c r="D376" s="79"/>
      <c r="E376" s="79"/>
      <c r="F376" s="79"/>
      <c r="G376" s="79"/>
      <c r="H376" s="79"/>
      <c r="I376" s="79"/>
      <c r="J376" s="79"/>
      <c r="K376" s="79"/>
    </row>
    <row r="377">
      <c r="C377" s="79"/>
      <c r="D377" s="79"/>
      <c r="E377" s="79"/>
      <c r="F377" s="79"/>
      <c r="G377" s="79"/>
      <c r="H377" s="79"/>
      <c r="I377" s="79"/>
      <c r="J377" s="79"/>
      <c r="K377" s="79"/>
    </row>
    <row r="378">
      <c r="C378" s="79"/>
      <c r="D378" s="79"/>
      <c r="E378" s="79"/>
      <c r="F378" s="79"/>
      <c r="G378" s="79"/>
      <c r="H378" s="79"/>
      <c r="I378" s="79"/>
      <c r="J378" s="79"/>
      <c r="K378" s="79"/>
    </row>
    <row r="379">
      <c r="C379" s="79"/>
      <c r="D379" s="79"/>
      <c r="E379" s="79"/>
      <c r="F379" s="79"/>
      <c r="G379" s="79"/>
      <c r="H379" s="79"/>
      <c r="I379" s="79"/>
      <c r="J379" s="79"/>
      <c r="K379" s="79"/>
    </row>
    <row r="380">
      <c r="C380" s="79"/>
      <c r="D380" s="79"/>
      <c r="E380" s="79"/>
      <c r="F380" s="79"/>
      <c r="G380" s="79"/>
      <c r="H380" s="79"/>
      <c r="I380" s="79"/>
      <c r="J380" s="79"/>
      <c r="K380" s="79"/>
    </row>
    <row r="381">
      <c r="C381" s="79"/>
      <c r="D381" s="79"/>
      <c r="E381" s="79"/>
      <c r="F381" s="79"/>
      <c r="G381" s="79"/>
      <c r="H381" s="79"/>
      <c r="I381" s="79"/>
      <c r="J381" s="79"/>
      <c r="K381" s="79"/>
    </row>
    <row r="382">
      <c r="C382" s="79"/>
      <c r="D382" s="79"/>
      <c r="E382" s="79"/>
      <c r="F382" s="79"/>
      <c r="G382" s="79"/>
      <c r="H382" s="79"/>
      <c r="I382" s="79"/>
      <c r="J382" s="79"/>
      <c r="K382" s="79"/>
    </row>
    <row r="383">
      <c r="C383" s="79"/>
      <c r="D383" s="79"/>
      <c r="E383" s="79"/>
      <c r="F383" s="79"/>
      <c r="G383" s="79"/>
      <c r="H383" s="79"/>
      <c r="I383" s="79"/>
      <c r="J383" s="79"/>
      <c r="K383" s="79"/>
    </row>
    <row r="384">
      <c r="C384" s="79"/>
      <c r="D384" s="79"/>
      <c r="E384" s="79"/>
      <c r="F384" s="79"/>
      <c r="G384" s="79"/>
      <c r="H384" s="79"/>
      <c r="I384" s="79"/>
      <c r="J384" s="79"/>
      <c r="K384" s="79"/>
    </row>
    <row r="385">
      <c r="C385" s="79"/>
      <c r="D385" s="79"/>
      <c r="E385" s="79"/>
      <c r="F385" s="79"/>
      <c r="G385" s="79"/>
      <c r="H385" s="79"/>
      <c r="I385" s="79"/>
      <c r="J385" s="79"/>
      <c r="K385" s="79"/>
    </row>
    <row r="386">
      <c r="C386" s="79"/>
      <c r="D386" s="79"/>
      <c r="E386" s="79"/>
      <c r="F386" s="79"/>
      <c r="G386" s="79"/>
      <c r="H386" s="79"/>
      <c r="I386" s="79"/>
      <c r="J386" s="79"/>
      <c r="K386" s="79"/>
    </row>
    <row r="387">
      <c r="C387" s="79"/>
      <c r="D387" s="79"/>
      <c r="E387" s="79"/>
      <c r="F387" s="79"/>
      <c r="G387" s="79"/>
      <c r="H387" s="79"/>
      <c r="I387" s="79"/>
      <c r="J387" s="79"/>
      <c r="K387" s="79"/>
    </row>
    <row r="388">
      <c r="C388" s="79"/>
      <c r="D388" s="79"/>
      <c r="E388" s="79"/>
      <c r="F388" s="79"/>
      <c r="G388" s="79"/>
      <c r="H388" s="79"/>
      <c r="I388" s="79"/>
      <c r="J388" s="79"/>
      <c r="K388" s="79"/>
    </row>
    <row r="389">
      <c r="C389" s="79"/>
      <c r="D389" s="79"/>
      <c r="E389" s="79"/>
      <c r="F389" s="79"/>
      <c r="G389" s="79"/>
      <c r="H389" s="79"/>
      <c r="I389" s="79"/>
      <c r="J389" s="79"/>
      <c r="K389" s="79"/>
    </row>
    <row r="390">
      <c r="C390" s="79"/>
      <c r="D390" s="79"/>
      <c r="E390" s="79"/>
      <c r="F390" s="79"/>
      <c r="G390" s="79"/>
      <c r="H390" s="79"/>
      <c r="I390" s="79"/>
      <c r="J390" s="79"/>
      <c r="K390" s="79"/>
    </row>
    <row r="391">
      <c r="C391" s="79"/>
      <c r="D391" s="79"/>
      <c r="E391" s="79"/>
      <c r="F391" s="79"/>
      <c r="G391" s="79"/>
      <c r="H391" s="79"/>
      <c r="I391" s="79"/>
      <c r="J391" s="79"/>
      <c r="K391" s="79"/>
    </row>
    <row r="392">
      <c r="C392" s="79"/>
      <c r="D392" s="79"/>
      <c r="E392" s="79"/>
      <c r="F392" s="79"/>
      <c r="G392" s="79"/>
      <c r="H392" s="79"/>
      <c r="I392" s="79"/>
      <c r="J392" s="79"/>
      <c r="K392" s="79"/>
    </row>
    <row r="393">
      <c r="C393" s="79"/>
      <c r="D393" s="79"/>
      <c r="E393" s="79"/>
      <c r="F393" s="79"/>
      <c r="G393" s="79"/>
      <c r="H393" s="79"/>
      <c r="I393" s="79"/>
      <c r="J393" s="79"/>
      <c r="K393" s="79"/>
    </row>
    <row r="394">
      <c r="C394" s="79"/>
      <c r="D394" s="79"/>
      <c r="E394" s="79"/>
      <c r="F394" s="79"/>
      <c r="G394" s="79"/>
      <c r="H394" s="79"/>
      <c r="I394" s="79"/>
      <c r="J394" s="79"/>
      <c r="K394" s="79"/>
    </row>
    <row r="395">
      <c r="C395" s="79"/>
      <c r="D395" s="79"/>
      <c r="E395" s="79"/>
      <c r="F395" s="79"/>
      <c r="G395" s="79"/>
      <c r="H395" s="79"/>
      <c r="I395" s="79"/>
      <c r="J395" s="79"/>
      <c r="K395" s="79"/>
    </row>
    <row r="396">
      <c r="C396" s="79"/>
      <c r="D396" s="79"/>
      <c r="E396" s="79"/>
      <c r="F396" s="79"/>
      <c r="G396" s="79"/>
      <c r="H396" s="79"/>
      <c r="I396" s="79"/>
      <c r="J396" s="79"/>
      <c r="K396" s="79"/>
    </row>
    <row r="397">
      <c r="C397" s="79"/>
      <c r="D397" s="79"/>
      <c r="E397" s="79"/>
      <c r="F397" s="79"/>
      <c r="G397" s="79"/>
      <c r="H397" s="79"/>
      <c r="I397" s="79"/>
      <c r="J397" s="79"/>
      <c r="K397" s="79"/>
    </row>
    <row r="398">
      <c r="C398" s="79"/>
      <c r="D398" s="79"/>
      <c r="E398" s="79"/>
      <c r="F398" s="79"/>
      <c r="G398" s="79"/>
      <c r="H398" s="79"/>
      <c r="I398" s="79"/>
      <c r="J398" s="79"/>
      <c r="K398" s="79"/>
    </row>
    <row r="399">
      <c r="C399" s="79"/>
      <c r="D399" s="79"/>
      <c r="E399" s="79"/>
      <c r="F399" s="79"/>
      <c r="G399" s="79"/>
      <c r="H399" s="79"/>
      <c r="I399" s="79"/>
      <c r="J399" s="79"/>
      <c r="K399" s="79"/>
    </row>
    <row r="400">
      <c r="C400" s="79"/>
      <c r="D400" s="79"/>
      <c r="E400" s="79"/>
      <c r="F400" s="79"/>
      <c r="G400" s="79"/>
      <c r="H400" s="79"/>
      <c r="I400" s="79"/>
      <c r="J400" s="79"/>
      <c r="K400" s="79"/>
    </row>
    <row r="401">
      <c r="C401" s="79"/>
      <c r="D401" s="79"/>
      <c r="E401" s="79"/>
      <c r="F401" s="79"/>
      <c r="G401" s="79"/>
      <c r="H401" s="79"/>
      <c r="I401" s="79"/>
      <c r="J401" s="79"/>
      <c r="K401" s="79"/>
    </row>
    <row r="402">
      <c r="C402" s="79"/>
      <c r="D402" s="79"/>
      <c r="E402" s="79"/>
      <c r="F402" s="79"/>
      <c r="G402" s="79"/>
      <c r="H402" s="79"/>
      <c r="I402" s="79"/>
      <c r="J402" s="79"/>
      <c r="K402" s="79"/>
    </row>
    <row r="403">
      <c r="C403" s="79"/>
      <c r="D403" s="79"/>
      <c r="E403" s="79"/>
      <c r="F403" s="79"/>
      <c r="G403" s="79"/>
      <c r="H403" s="79"/>
      <c r="I403" s="79"/>
      <c r="J403" s="79"/>
      <c r="K403" s="79"/>
    </row>
    <row r="404">
      <c r="C404" s="79"/>
      <c r="D404" s="79"/>
      <c r="E404" s="79"/>
      <c r="F404" s="79"/>
      <c r="G404" s="79"/>
      <c r="H404" s="79"/>
      <c r="I404" s="79"/>
      <c r="J404" s="79"/>
      <c r="K404" s="79"/>
    </row>
    <row r="405">
      <c r="C405" s="79"/>
      <c r="D405" s="79"/>
      <c r="E405" s="79"/>
      <c r="F405" s="79"/>
      <c r="G405" s="79"/>
      <c r="H405" s="79"/>
      <c r="I405" s="79"/>
      <c r="J405" s="79"/>
      <c r="K405" s="79"/>
    </row>
    <row r="406">
      <c r="C406" s="79"/>
      <c r="D406" s="79"/>
      <c r="E406" s="79"/>
      <c r="F406" s="79"/>
      <c r="G406" s="79"/>
      <c r="H406" s="79"/>
      <c r="I406" s="79"/>
      <c r="J406" s="79"/>
      <c r="K406" s="79"/>
    </row>
    <row r="407">
      <c r="C407" s="79"/>
      <c r="D407" s="79"/>
      <c r="E407" s="79"/>
      <c r="F407" s="79"/>
      <c r="G407" s="79"/>
      <c r="H407" s="79"/>
      <c r="I407" s="79"/>
      <c r="J407" s="79"/>
      <c r="K407" s="79"/>
    </row>
    <row r="408">
      <c r="C408" s="79"/>
      <c r="D408" s="79"/>
      <c r="E408" s="79"/>
      <c r="F408" s="79"/>
      <c r="G408" s="79"/>
      <c r="H408" s="79"/>
      <c r="I408" s="79"/>
      <c r="J408" s="79"/>
      <c r="K408" s="79"/>
    </row>
    <row r="409">
      <c r="C409" s="79"/>
      <c r="D409" s="79"/>
      <c r="E409" s="79"/>
      <c r="F409" s="79"/>
      <c r="G409" s="79"/>
      <c r="H409" s="79"/>
      <c r="I409" s="79"/>
      <c r="J409" s="79"/>
      <c r="K409" s="79"/>
    </row>
    <row r="410">
      <c r="C410" s="79"/>
      <c r="D410" s="79"/>
      <c r="E410" s="79"/>
      <c r="F410" s="79"/>
      <c r="G410" s="79"/>
      <c r="H410" s="79"/>
      <c r="I410" s="79"/>
      <c r="J410" s="79"/>
      <c r="K410" s="79"/>
    </row>
    <row r="411">
      <c r="C411" s="79"/>
      <c r="D411" s="79"/>
      <c r="E411" s="79"/>
      <c r="F411" s="79"/>
      <c r="G411" s="79"/>
      <c r="H411" s="79"/>
      <c r="I411" s="79"/>
      <c r="J411" s="79"/>
      <c r="K411" s="79"/>
    </row>
    <row r="412">
      <c r="C412" s="79"/>
      <c r="D412" s="79"/>
      <c r="E412" s="79"/>
      <c r="F412" s="79"/>
      <c r="G412" s="79"/>
      <c r="H412" s="79"/>
      <c r="I412" s="79"/>
      <c r="J412" s="79"/>
      <c r="K412" s="79"/>
    </row>
    <row r="413">
      <c r="C413" s="79"/>
      <c r="D413" s="79"/>
      <c r="E413" s="79"/>
      <c r="F413" s="79"/>
      <c r="G413" s="79"/>
      <c r="H413" s="79"/>
      <c r="I413" s="79"/>
      <c r="J413" s="79"/>
      <c r="K413" s="79"/>
    </row>
    <row r="414">
      <c r="C414" s="79"/>
      <c r="D414" s="79"/>
      <c r="E414" s="79"/>
      <c r="F414" s="79"/>
      <c r="G414" s="79"/>
      <c r="H414" s="79"/>
      <c r="I414" s="79"/>
      <c r="J414" s="79"/>
      <c r="K414" s="79"/>
    </row>
    <row r="415">
      <c r="C415" s="79"/>
      <c r="D415" s="79"/>
      <c r="E415" s="79"/>
      <c r="F415" s="79"/>
      <c r="G415" s="79"/>
      <c r="H415" s="79"/>
      <c r="I415" s="79"/>
      <c r="J415" s="79"/>
      <c r="K415" s="79"/>
    </row>
    <row r="416">
      <c r="C416" s="79"/>
      <c r="D416" s="79"/>
      <c r="E416" s="79"/>
      <c r="F416" s="79"/>
      <c r="G416" s="79"/>
      <c r="H416" s="79"/>
      <c r="I416" s="79"/>
      <c r="J416" s="79"/>
      <c r="K416" s="79"/>
    </row>
    <row r="417">
      <c r="C417" s="79"/>
      <c r="D417" s="79"/>
      <c r="E417" s="79"/>
      <c r="F417" s="79"/>
      <c r="G417" s="79"/>
      <c r="H417" s="79"/>
      <c r="I417" s="79"/>
      <c r="J417" s="79"/>
      <c r="K417" s="79"/>
    </row>
    <row r="418">
      <c r="C418" s="79"/>
      <c r="D418" s="79"/>
      <c r="E418" s="79"/>
      <c r="F418" s="79"/>
      <c r="G418" s="79"/>
      <c r="H418" s="79"/>
      <c r="I418" s="79"/>
      <c r="J418" s="79"/>
      <c r="K418" s="79"/>
    </row>
    <row r="419">
      <c r="C419" s="79"/>
      <c r="D419" s="79"/>
      <c r="E419" s="79"/>
      <c r="F419" s="79"/>
      <c r="G419" s="79"/>
      <c r="H419" s="79"/>
      <c r="I419" s="79"/>
      <c r="J419" s="79"/>
      <c r="K419" s="79"/>
    </row>
    <row r="420">
      <c r="C420" s="79"/>
      <c r="D420" s="79"/>
      <c r="E420" s="79"/>
      <c r="F420" s="79"/>
      <c r="G420" s="79"/>
      <c r="H420" s="79"/>
      <c r="I420" s="79"/>
      <c r="J420" s="79"/>
      <c r="K420" s="79"/>
    </row>
    <row r="421">
      <c r="C421" s="79"/>
      <c r="D421" s="79"/>
      <c r="E421" s="79"/>
      <c r="F421" s="79"/>
      <c r="G421" s="79"/>
      <c r="H421" s="79"/>
      <c r="I421" s="79"/>
      <c r="J421" s="79"/>
      <c r="K421" s="79"/>
    </row>
    <row r="422">
      <c r="C422" s="79"/>
      <c r="D422" s="79"/>
      <c r="E422" s="79"/>
      <c r="F422" s="79"/>
      <c r="G422" s="79"/>
      <c r="H422" s="79"/>
      <c r="I422" s="79"/>
      <c r="J422" s="79"/>
      <c r="K422" s="79"/>
    </row>
    <row r="423">
      <c r="C423" s="79"/>
      <c r="D423" s="79"/>
      <c r="E423" s="79"/>
      <c r="F423" s="79"/>
      <c r="G423" s="79"/>
      <c r="H423" s="79"/>
      <c r="I423" s="79"/>
      <c r="J423" s="79"/>
      <c r="K423" s="79"/>
    </row>
    <row r="424">
      <c r="C424" s="79"/>
      <c r="D424" s="79"/>
      <c r="E424" s="79"/>
      <c r="F424" s="79"/>
      <c r="G424" s="79"/>
      <c r="H424" s="79"/>
      <c r="I424" s="79"/>
      <c r="J424" s="79"/>
      <c r="K424" s="79"/>
    </row>
    <row r="425">
      <c r="C425" s="79"/>
      <c r="D425" s="79"/>
      <c r="E425" s="79"/>
      <c r="F425" s="79"/>
      <c r="G425" s="79"/>
      <c r="H425" s="79"/>
      <c r="I425" s="79"/>
      <c r="J425" s="79"/>
      <c r="K425" s="79"/>
    </row>
    <row r="426">
      <c r="C426" s="79"/>
      <c r="D426" s="79"/>
      <c r="E426" s="79"/>
      <c r="F426" s="79"/>
      <c r="G426" s="79"/>
      <c r="H426" s="79"/>
      <c r="I426" s="79"/>
      <c r="J426" s="79"/>
      <c r="K426" s="79"/>
    </row>
    <row r="427">
      <c r="C427" s="79"/>
      <c r="D427" s="79"/>
      <c r="E427" s="79"/>
      <c r="F427" s="79"/>
      <c r="G427" s="79"/>
      <c r="H427" s="79"/>
      <c r="I427" s="79"/>
      <c r="J427" s="79"/>
      <c r="K427" s="79"/>
    </row>
    <row r="428">
      <c r="C428" s="79"/>
      <c r="D428" s="79"/>
      <c r="E428" s="79"/>
      <c r="F428" s="79"/>
      <c r="G428" s="79"/>
      <c r="H428" s="79"/>
      <c r="I428" s="79"/>
      <c r="J428" s="79"/>
      <c r="K428" s="79"/>
    </row>
    <row r="429">
      <c r="C429" s="79"/>
      <c r="D429" s="79"/>
      <c r="E429" s="79"/>
      <c r="F429" s="79"/>
      <c r="G429" s="79"/>
      <c r="H429" s="79"/>
      <c r="I429" s="79"/>
      <c r="J429" s="79"/>
      <c r="K429" s="79"/>
    </row>
    <row r="430">
      <c r="C430" s="79"/>
      <c r="D430" s="79"/>
      <c r="E430" s="79"/>
      <c r="F430" s="79"/>
      <c r="G430" s="79"/>
      <c r="H430" s="79"/>
      <c r="I430" s="79"/>
      <c r="J430" s="79"/>
      <c r="K430" s="79"/>
    </row>
    <row r="431">
      <c r="C431" s="79"/>
      <c r="D431" s="79"/>
      <c r="E431" s="79"/>
      <c r="F431" s="79"/>
      <c r="G431" s="79"/>
      <c r="H431" s="79"/>
      <c r="I431" s="79"/>
      <c r="J431" s="79"/>
      <c r="K431" s="79"/>
    </row>
    <row r="432">
      <c r="C432" s="79"/>
      <c r="D432" s="79"/>
      <c r="E432" s="79"/>
      <c r="F432" s="79"/>
      <c r="G432" s="79"/>
      <c r="H432" s="79"/>
      <c r="I432" s="79"/>
      <c r="J432" s="79"/>
      <c r="K432" s="79"/>
    </row>
    <row r="433">
      <c r="C433" s="79"/>
      <c r="D433" s="79"/>
      <c r="E433" s="79"/>
      <c r="F433" s="79"/>
      <c r="G433" s="79"/>
      <c r="H433" s="79"/>
      <c r="I433" s="79"/>
      <c r="J433" s="79"/>
      <c r="K433" s="79"/>
    </row>
    <row r="434">
      <c r="C434" s="79"/>
      <c r="D434" s="79"/>
      <c r="E434" s="79"/>
      <c r="F434" s="79"/>
      <c r="G434" s="79"/>
      <c r="H434" s="79"/>
      <c r="I434" s="79"/>
      <c r="J434" s="79"/>
      <c r="K434" s="79"/>
    </row>
    <row r="435">
      <c r="C435" s="79"/>
      <c r="D435" s="79"/>
      <c r="E435" s="79"/>
      <c r="F435" s="79"/>
      <c r="G435" s="79"/>
      <c r="H435" s="79"/>
      <c r="I435" s="79"/>
      <c r="J435" s="79"/>
      <c r="K435" s="79"/>
    </row>
    <row r="436">
      <c r="C436" s="79"/>
      <c r="D436" s="79"/>
      <c r="E436" s="79"/>
      <c r="F436" s="79"/>
      <c r="G436" s="79"/>
      <c r="H436" s="79"/>
      <c r="I436" s="79"/>
      <c r="J436" s="79"/>
      <c r="K436" s="79"/>
    </row>
    <row r="437">
      <c r="C437" s="79"/>
      <c r="D437" s="79"/>
      <c r="E437" s="79"/>
      <c r="F437" s="79"/>
      <c r="G437" s="79"/>
      <c r="H437" s="79"/>
      <c r="I437" s="79"/>
      <c r="J437" s="79"/>
      <c r="K437" s="79"/>
    </row>
    <row r="438">
      <c r="C438" s="79"/>
      <c r="D438" s="79"/>
      <c r="E438" s="79"/>
      <c r="F438" s="79"/>
      <c r="G438" s="79"/>
      <c r="H438" s="79"/>
      <c r="I438" s="79"/>
      <c r="J438" s="79"/>
      <c r="K438" s="79"/>
    </row>
    <row r="439">
      <c r="C439" s="79"/>
      <c r="D439" s="79"/>
      <c r="E439" s="79"/>
      <c r="F439" s="79"/>
      <c r="G439" s="79"/>
      <c r="H439" s="79"/>
      <c r="I439" s="79"/>
      <c r="J439" s="79"/>
      <c r="K439" s="79"/>
    </row>
    <row r="440">
      <c r="C440" s="79"/>
      <c r="D440" s="79"/>
      <c r="E440" s="79"/>
      <c r="F440" s="79"/>
      <c r="G440" s="79"/>
      <c r="H440" s="79"/>
      <c r="I440" s="79"/>
      <c r="J440" s="79"/>
      <c r="K440" s="79"/>
    </row>
    <row r="441">
      <c r="C441" s="79"/>
      <c r="D441" s="79"/>
      <c r="E441" s="79"/>
      <c r="F441" s="79"/>
      <c r="G441" s="79"/>
      <c r="H441" s="79"/>
      <c r="I441" s="79"/>
      <c r="J441" s="79"/>
      <c r="K441" s="79"/>
    </row>
    <row r="442">
      <c r="C442" s="79"/>
      <c r="D442" s="79"/>
      <c r="E442" s="79"/>
      <c r="F442" s="79"/>
      <c r="G442" s="79"/>
      <c r="H442" s="79"/>
      <c r="I442" s="79"/>
      <c r="J442" s="79"/>
      <c r="K442" s="79"/>
    </row>
    <row r="443">
      <c r="C443" s="79"/>
      <c r="D443" s="79"/>
      <c r="E443" s="79"/>
      <c r="F443" s="79"/>
      <c r="G443" s="79"/>
      <c r="H443" s="79"/>
      <c r="I443" s="79"/>
      <c r="J443" s="79"/>
      <c r="K443" s="79"/>
    </row>
    <row r="444">
      <c r="C444" s="79"/>
      <c r="D444" s="79"/>
      <c r="E444" s="79"/>
      <c r="F444" s="79"/>
      <c r="G444" s="79"/>
      <c r="H444" s="79"/>
      <c r="I444" s="79"/>
      <c r="J444" s="79"/>
      <c r="K444" s="79"/>
    </row>
    <row r="445">
      <c r="C445" s="79"/>
      <c r="D445" s="79"/>
      <c r="E445" s="79"/>
      <c r="F445" s="79"/>
      <c r="G445" s="79"/>
      <c r="H445" s="79"/>
      <c r="I445" s="79"/>
      <c r="J445" s="79"/>
      <c r="K445" s="79"/>
    </row>
    <row r="446">
      <c r="C446" s="79"/>
      <c r="D446" s="79"/>
      <c r="E446" s="79"/>
      <c r="F446" s="79"/>
      <c r="G446" s="79"/>
      <c r="H446" s="79"/>
      <c r="I446" s="79"/>
      <c r="J446" s="79"/>
      <c r="K446" s="79"/>
    </row>
    <row r="447">
      <c r="C447" s="79"/>
      <c r="D447" s="79"/>
      <c r="E447" s="79"/>
      <c r="F447" s="79"/>
      <c r="G447" s="79"/>
      <c r="H447" s="79"/>
      <c r="I447" s="79"/>
      <c r="J447" s="79"/>
      <c r="K447" s="79"/>
    </row>
    <row r="448">
      <c r="C448" s="79"/>
      <c r="D448" s="79"/>
      <c r="E448" s="79"/>
      <c r="F448" s="79"/>
      <c r="G448" s="79"/>
      <c r="H448" s="79"/>
      <c r="I448" s="79"/>
      <c r="J448" s="79"/>
      <c r="K448" s="79"/>
    </row>
    <row r="449">
      <c r="C449" s="79"/>
      <c r="D449" s="79"/>
      <c r="E449" s="79"/>
      <c r="F449" s="79"/>
      <c r="G449" s="79"/>
      <c r="H449" s="79"/>
      <c r="I449" s="79"/>
      <c r="J449" s="79"/>
      <c r="K449" s="79"/>
    </row>
    <row r="450">
      <c r="C450" s="79"/>
      <c r="D450" s="79"/>
      <c r="E450" s="79"/>
      <c r="F450" s="79"/>
      <c r="G450" s="79"/>
      <c r="H450" s="79"/>
      <c r="I450" s="79"/>
      <c r="J450" s="79"/>
      <c r="K450" s="79"/>
    </row>
    <row r="451">
      <c r="C451" s="79"/>
      <c r="D451" s="79"/>
      <c r="E451" s="79"/>
      <c r="F451" s="79"/>
      <c r="G451" s="79"/>
      <c r="H451" s="79"/>
      <c r="I451" s="79"/>
      <c r="J451" s="79"/>
      <c r="K451" s="79"/>
    </row>
    <row r="452">
      <c r="C452" s="79"/>
      <c r="D452" s="79"/>
      <c r="E452" s="79"/>
      <c r="F452" s="79"/>
      <c r="G452" s="79"/>
      <c r="H452" s="79"/>
      <c r="I452" s="79"/>
      <c r="J452" s="79"/>
      <c r="K452" s="79"/>
    </row>
    <row r="453">
      <c r="C453" s="79"/>
      <c r="D453" s="79"/>
      <c r="E453" s="79"/>
      <c r="F453" s="79"/>
      <c r="G453" s="79"/>
      <c r="H453" s="79"/>
      <c r="I453" s="79"/>
      <c r="J453" s="79"/>
      <c r="K453" s="79"/>
    </row>
    <row r="454">
      <c r="C454" s="79"/>
      <c r="D454" s="79"/>
      <c r="E454" s="79"/>
      <c r="F454" s="79"/>
      <c r="G454" s="79"/>
      <c r="H454" s="79"/>
      <c r="I454" s="79"/>
      <c r="J454" s="79"/>
      <c r="K454" s="79"/>
    </row>
    <row r="455">
      <c r="C455" s="79"/>
      <c r="D455" s="79"/>
      <c r="E455" s="79"/>
      <c r="F455" s="79"/>
      <c r="G455" s="79"/>
      <c r="H455" s="79"/>
      <c r="I455" s="79"/>
      <c r="J455" s="79"/>
      <c r="K455" s="79"/>
    </row>
    <row r="456">
      <c r="C456" s="79"/>
      <c r="D456" s="79"/>
      <c r="E456" s="79"/>
      <c r="F456" s="79"/>
      <c r="G456" s="79"/>
      <c r="H456" s="79"/>
      <c r="I456" s="79"/>
      <c r="J456" s="79"/>
      <c r="K456" s="79"/>
    </row>
    <row r="457">
      <c r="C457" s="79"/>
      <c r="D457" s="79"/>
      <c r="E457" s="79"/>
      <c r="F457" s="79"/>
      <c r="G457" s="79"/>
      <c r="H457" s="79"/>
      <c r="I457" s="79"/>
      <c r="J457" s="79"/>
      <c r="K457" s="79"/>
    </row>
    <row r="458">
      <c r="C458" s="79"/>
      <c r="D458" s="79"/>
      <c r="E458" s="79"/>
      <c r="F458" s="79"/>
      <c r="G458" s="79"/>
      <c r="H458" s="79"/>
      <c r="I458" s="79"/>
      <c r="J458" s="79"/>
      <c r="K458" s="79"/>
    </row>
    <row r="459">
      <c r="C459" s="79"/>
      <c r="D459" s="79"/>
      <c r="E459" s="79"/>
      <c r="F459" s="79"/>
      <c r="G459" s="79"/>
      <c r="H459" s="79"/>
      <c r="I459" s="79"/>
      <c r="J459" s="79"/>
      <c r="K459" s="79"/>
    </row>
    <row r="460">
      <c r="C460" s="79"/>
      <c r="D460" s="79"/>
      <c r="E460" s="79"/>
      <c r="F460" s="79"/>
      <c r="G460" s="79"/>
      <c r="H460" s="79"/>
      <c r="I460" s="79"/>
      <c r="J460" s="79"/>
      <c r="K460" s="79"/>
    </row>
    <row r="461">
      <c r="C461" s="79"/>
      <c r="D461" s="79"/>
      <c r="E461" s="79"/>
      <c r="F461" s="79"/>
      <c r="G461" s="79"/>
      <c r="H461" s="79"/>
      <c r="I461" s="79"/>
      <c r="J461" s="79"/>
      <c r="K461" s="79"/>
    </row>
    <row r="462">
      <c r="C462" s="79"/>
      <c r="D462" s="79"/>
      <c r="E462" s="79"/>
      <c r="F462" s="79"/>
      <c r="G462" s="79"/>
      <c r="H462" s="79"/>
      <c r="I462" s="79"/>
      <c r="J462" s="79"/>
      <c r="K462" s="79"/>
    </row>
    <row r="463">
      <c r="C463" s="79"/>
      <c r="D463" s="79"/>
      <c r="E463" s="79"/>
      <c r="F463" s="79"/>
      <c r="G463" s="79"/>
      <c r="H463" s="79"/>
      <c r="I463" s="79"/>
      <c r="J463" s="79"/>
      <c r="K463" s="79"/>
    </row>
    <row r="464">
      <c r="C464" s="79"/>
      <c r="D464" s="79"/>
      <c r="E464" s="79"/>
      <c r="F464" s="79"/>
      <c r="G464" s="79"/>
      <c r="H464" s="79"/>
      <c r="I464" s="79"/>
      <c r="J464" s="79"/>
      <c r="K464" s="79"/>
    </row>
    <row r="465">
      <c r="C465" s="79"/>
      <c r="D465" s="79"/>
      <c r="E465" s="79"/>
      <c r="F465" s="79"/>
      <c r="G465" s="79"/>
      <c r="H465" s="79"/>
      <c r="I465" s="79"/>
      <c r="J465" s="79"/>
      <c r="K465" s="79"/>
    </row>
    <row r="466">
      <c r="C466" s="79"/>
      <c r="D466" s="79"/>
      <c r="E466" s="79"/>
      <c r="F466" s="79"/>
      <c r="G466" s="79"/>
      <c r="H466" s="79"/>
      <c r="I466" s="79"/>
      <c r="J466" s="79"/>
      <c r="K466" s="79"/>
    </row>
    <row r="467">
      <c r="C467" s="79"/>
      <c r="D467" s="79"/>
      <c r="E467" s="79"/>
      <c r="F467" s="79"/>
      <c r="G467" s="79"/>
      <c r="H467" s="79"/>
      <c r="I467" s="79"/>
      <c r="J467" s="79"/>
      <c r="K467" s="79"/>
    </row>
    <row r="468">
      <c r="C468" s="79"/>
      <c r="D468" s="79"/>
      <c r="E468" s="79"/>
      <c r="F468" s="79"/>
      <c r="G468" s="79"/>
      <c r="H468" s="79"/>
      <c r="I468" s="79"/>
      <c r="J468" s="79"/>
      <c r="K468" s="79"/>
    </row>
    <row r="469">
      <c r="C469" s="79"/>
      <c r="D469" s="79"/>
      <c r="E469" s="79"/>
      <c r="F469" s="79"/>
      <c r="G469" s="79"/>
      <c r="H469" s="79"/>
      <c r="I469" s="79"/>
      <c r="J469" s="79"/>
      <c r="K469" s="79"/>
    </row>
    <row r="470">
      <c r="C470" s="79"/>
      <c r="D470" s="79"/>
      <c r="E470" s="79"/>
      <c r="F470" s="79"/>
      <c r="G470" s="79"/>
      <c r="H470" s="79"/>
      <c r="I470" s="79"/>
      <c r="J470" s="79"/>
      <c r="K470" s="79"/>
    </row>
    <row r="471">
      <c r="C471" s="79"/>
      <c r="D471" s="79"/>
      <c r="E471" s="79"/>
      <c r="F471" s="79"/>
      <c r="G471" s="79"/>
      <c r="H471" s="79"/>
      <c r="I471" s="79"/>
      <c r="J471" s="79"/>
      <c r="K471" s="79"/>
    </row>
    <row r="472">
      <c r="C472" s="79"/>
      <c r="D472" s="79"/>
      <c r="E472" s="79"/>
      <c r="F472" s="79"/>
      <c r="G472" s="79"/>
      <c r="H472" s="79"/>
      <c r="I472" s="79"/>
      <c r="J472" s="79"/>
      <c r="K472" s="79"/>
    </row>
    <row r="473">
      <c r="C473" s="79"/>
      <c r="D473" s="79"/>
      <c r="E473" s="79"/>
      <c r="F473" s="79"/>
      <c r="G473" s="79"/>
      <c r="H473" s="79"/>
      <c r="I473" s="79"/>
      <c r="J473" s="79"/>
      <c r="K473" s="79"/>
    </row>
    <row r="474">
      <c r="C474" s="79"/>
      <c r="D474" s="79"/>
      <c r="E474" s="79"/>
      <c r="F474" s="79"/>
      <c r="G474" s="79"/>
      <c r="H474" s="79"/>
      <c r="I474" s="79"/>
      <c r="J474" s="79"/>
      <c r="K474" s="79"/>
    </row>
    <row r="475">
      <c r="C475" s="79"/>
      <c r="D475" s="79"/>
      <c r="E475" s="79"/>
      <c r="F475" s="79"/>
      <c r="G475" s="79"/>
      <c r="H475" s="79"/>
      <c r="I475" s="79"/>
      <c r="J475" s="79"/>
      <c r="K475" s="79"/>
    </row>
    <row r="476">
      <c r="C476" s="79"/>
      <c r="D476" s="79"/>
      <c r="E476" s="79"/>
      <c r="F476" s="79"/>
      <c r="G476" s="79"/>
      <c r="H476" s="79"/>
      <c r="I476" s="79"/>
      <c r="J476" s="79"/>
      <c r="K476" s="79"/>
    </row>
    <row r="477">
      <c r="C477" s="79"/>
      <c r="D477" s="79"/>
      <c r="E477" s="79"/>
      <c r="F477" s="79"/>
      <c r="G477" s="79"/>
      <c r="H477" s="79"/>
      <c r="I477" s="79"/>
      <c r="J477" s="79"/>
      <c r="K477" s="79"/>
    </row>
    <row r="478">
      <c r="C478" s="79"/>
      <c r="D478" s="79"/>
      <c r="E478" s="79"/>
      <c r="F478" s="79"/>
      <c r="G478" s="79"/>
      <c r="H478" s="79"/>
      <c r="I478" s="79"/>
      <c r="J478" s="79"/>
      <c r="K478" s="79"/>
    </row>
    <row r="479">
      <c r="C479" s="79"/>
      <c r="D479" s="79"/>
      <c r="E479" s="79"/>
      <c r="F479" s="79"/>
      <c r="G479" s="79"/>
      <c r="H479" s="79"/>
      <c r="I479" s="79"/>
      <c r="J479" s="79"/>
      <c r="K479" s="79"/>
    </row>
    <row r="480">
      <c r="C480" s="79"/>
      <c r="D480" s="79"/>
      <c r="E480" s="79"/>
      <c r="F480" s="79"/>
      <c r="G480" s="79"/>
      <c r="H480" s="79"/>
      <c r="I480" s="79"/>
      <c r="J480" s="79"/>
      <c r="K480" s="79"/>
    </row>
    <row r="481">
      <c r="C481" s="79"/>
      <c r="D481" s="79"/>
      <c r="E481" s="79"/>
      <c r="F481" s="79"/>
      <c r="G481" s="79"/>
      <c r="H481" s="79"/>
      <c r="I481" s="79"/>
      <c r="J481" s="79"/>
      <c r="K481" s="79"/>
    </row>
    <row r="482">
      <c r="C482" s="79"/>
      <c r="D482" s="79"/>
      <c r="E482" s="79"/>
      <c r="F482" s="79"/>
      <c r="G482" s="79"/>
      <c r="H482" s="79"/>
      <c r="I482" s="79"/>
      <c r="J482" s="79"/>
      <c r="K482" s="79"/>
    </row>
    <row r="483">
      <c r="C483" s="79"/>
      <c r="D483" s="79"/>
      <c r="E483" s="79"/>
      <c r="F483" s="79"/>
      <c r="G483" s="79"/>
      <c r="H483" s="79"/>
      <c r="I483" s="79"/>
      <c r="J483" s="79"/>
      <c r="K483" s="79"/>
    </row>
    <row r="484">
      <c r="C484" s="79"/>
      <c r="D484" s="79"/>
      <c r="E484" s="79"/>
      <c r="F484" s="79"/>
      <c r="G484" s="79"/>
      <c r="H484" s="79"/>
      <c r="I484" s="79"/>
      <c r="J484" s="79"/>
      <c r="K484" s="79"/>
    </row>
    <row r="485">
      <c r="C485" s="79"/>
      <c r="D485" s="79"/>
      <c r="E485" s="79"/>
      <c r="F485" s="79"/>
      <c r="G485" s="79"/>
      <c r="H485" s="79"/>
      <c r="I485" s="79"/>
      <c r="J485" s="79"/>
      <c r="K485" s="79"/>
    </row>
    <row r="486">
      <c r="C486" s="79"/>
      <c r="D486" s="79"/>
      <c r="E486" s="79"/>
      <c r="F486" s="79"/>
      <c r="G486" s="79"/>
      <c r="H486" s="79"/>
      <c r="I486" s="79"/>
      <c r="J486" s="79"/>
      <c r="K486" s="79"/>
    </row>
    <row r="487">
      <c r="C487" s="79"/>
      <c r="D487" s="79"/>
      <c r="E487" s="79"/>
      <c r="F487" s="79"/>
      <c r="G487" s="79"/>
      <c r="H487" s="79"/>
      <c r="I487" s="79"/>
      <c r="J487" s="79"/>
      <c r="K487" s="79"/>
    </row>
    <row r="488">
      <c r="C488" s="79"/>
      <c r="D488" s="79"/>
      <c r="E488" s="79"/>
      <c r="F488" s="79"/>
      <c r="G488" s="79"/>
      <c r="H488" s="79"/>
      <c r="I488" s="79"/>
      <c r="J488" s="79"/>
      <c r="K488" s="79"/>
    </row>
    <row r="489">
      <c r="C489" s="79"/>
      <c r="D489" s="79"/>
      <c r="E489" s="79"/>
      <c r="F489" s="79"/>
      <c r="G489" s="79"/>
      <c r="H489" s="79"/>
      <c r="I489" s="79"/>
      <c r="J489" s="79"/>
      <c r="K489" s="79"/>
    </row>
    <row r="490">
      <c r="C490" s="79"/>
      <c r="D490" s="79"/>
      <c r="E490" s="79"/>
      <c r="F490" s="79"/>
      <c r="G490" s="79"/>
      <c r="H490" s="79"/>
      <c r="I490" s="79"/>
      <c r="J490" s="79"/>
      <c r="K490" s="79"/>
    </row>
    <row r="491">
      <c r="C491" s="79"/>
      <c r="D491" s="79"/>
      <c r="E491" s="79"/>
      <c r="F491" s="79"/>
      <c r="G491" s="79"/>
      <c r="H491" s="79"/>
      <c r="I491" s="79"/>
      <c r="J491" s="79"/>
      <c r="K491" s="79"/>
    </row>
    <row r="492">
      <c r="C492" s="79"/>
      <c r="D492" s="79"/>
      <c r="E492" s="79"/>
      <c r="F492" s="79"/>
      <c r="G492" s="79"/>
      <c r="H492" s="79"/>
      <c r="I492" s="79"/>
      <c r="J492" s="79"/>
      <c r="K492" s="79"/>
    </row>
    <row r="493">
      <c r="C493" s="79"/>
      <c r="D493" s="79"/>
      <c r="E493" s="79"/>
      <c r="F493" s="79"/>
      <c r="G493" s="79"/>
      <c r="H493" s="79"/>
      <c r="I493" s="79"/>
      <c r="J493" s="79"/>
      <c r="K493" s="79"/>
    </row>
    <row r="494">
      <c r="C494" s="79"/>
      <c r="D494" s="79"/>
      <c r="E494" s="79"/>
      <c r="F494" s="79"/>
      <c r="G494" s="79"/>
      <c r="H494" s="79"/>
      <c r="I494" s="79"/>
      <c r="J494" s="79"/>
      <c r="K494" s="79"/>
    </row>
    <row r="495">
      <c r="C495" s="79"/>
      <c r="D495" s="79"/>
      <c r="E495" s="79"/>
      <c r="F495" s="79"/>
      <c r="G495" s="79"/>
      <c r="H495" s="79"/>
      <c r="I495" s="79"/>
      <c r="J495" s="79"/>
      <c r="K495" s="79"/>
    </row>
    <row r="496">
      <c r="C496" s="79"/>
      <c r="D496" s="79"/>
      <c r="E496" s="79"/>
      <c r="F496" s="79"/>
      <c r="G496" s="79"/>
      <c r="H496" s="79"/>
      <c r="I496" s="79"/>
      <c r="J496" s="79"/>
      <c r="K496" s="79"/>
    </row>
    <row r="497">
      <c r="C497" s="79"/>
      <c r="D497" s="79"/>
      <c r="E497" s="79"/>
      <c r="F497" s="79"/>
      <c r="G497" s="79"/>
      <c r="H497" s="79"/>
      <c r="I497" s="79"/>
      <c r="J497" s="79"/>
      <c r="K497" s="79"/>
    </row>
    <row r="498">
      <c r="C498" s="79"/>
      <c r="D498" s="79"/>
      <c r="E498" s="79"/>
      <c r="F498" s="79"/>
      <c r="G498" s="79"/>
      <c r="H498" s="79"/>
      <c r="I498" s="79"/>
      <c r="J498" s="79"/>
      <c r="K498" s="79"/>
    </row>
    <row r="499">
      <c r="C499" s="79"/>
      <c r="D499" s="79"/>
      <c r="E499" s="79"/>
      <c r="F499" s="79"/>
      <c r="G499" s="79"/>
      <c r="H499" s="79"/>
      <c r="I499" s="79"/>
      <c r="J499" s="79"/>
      <c r="K499" s="79"/>
    </row>
    <row r="500">
      <c r="C500" s="79"/>
      <c r="D500" s="79"/>
      <c r="E500" s="79"/>
      <c r="F500" s="79"/>
      <c r="G500" s="79"/>
      <c r="H500" s="79"/>
      <c r="I500" s="79"/>
      <c r="J500" s="79"/>
      <c r="K500" s="79"/>
    </row>
    <row r="501">
      <c r="C501" s="79"/>
      <c r="D501" s="79"/>
      <c r="E501" s="79"/>
      <c r="F501" s="79"/>
      <c r="G501" s="79"/>
      <c r="H501" s="79"/>
      <c r="I501" s="79"/>
      <c r="J501" s="79"/>
      <c r="K501" s="79"/>
    </row>
    <row r="502">
      <c r="C502" s="79"/>
      <c r="D502" s="79"/>
      <c r="E502" s="79"/>
      <c r="F502" s="79"/>
      <c r="G502" s="79"/>
      <c r="H502" s="79"/>
      <c r="I502" s="79"/>
      <c r="J502" s="79"/>
      <c r="K502" s="79"/>
    </row>
    <row r="503">
      <c r="C503" s="79"/>
      <c r="D503" s="79"/>
      <c r="E503" s="79"/>
      <c r="F503" s="79"/>
      <c r="G503" s="79"/>
      <c r="H503" s="79"/>
      <c r="I503" s="79"/>
      <c r="J503" s="79"/>
      <c r="K503" s="79"/>
    </row>
    <row r="504">
      <c r="C504" s="79"/>
      <c r="D504" s="79"/>
      <c r="E504" s="79"/>
      <c r="F504" s="79"/>
      <c r="G504" s="79"/>
      <c r="H504" s="79"/>
      <c r="I504" s="79"/>
      <c r="J504" s="79"/>
      <c r="K504" s="79"/>
    </row>
    <row r="505">
      <c r="C505" s="79"/>
      <c r="D505" s="79"/>
      <c r="E505" s="79"/>
      <c r="F505" s="79"/>
      <c r="G505" s="79"/>
      <c r="H505" s="79"/>
      <c r="I505" s="79"/>
      <c r="J505" s="79"/>
      <c r="K505" s="79"/>
    </row>
    <row r="506">
      <c r="C506" s="79"/>
      <c r="D506" s="79"/>
      <c r="E506" s="79"/>
      <c r="F506" s="79"/>
      <c r="G506" s="79"/>
      <c r="H506" s="79"/>
      <c r="I506" s="79"/>
      <c r="J506" s="79"/>
      <c r="K506" s="79"/>
    </row>
    <row r="507">
      <c r="C507" s="79"/>
      <c r="D507" s="79"/>
      <c r="E507" s="79"/>
      <c r="F507" s="79"/>
      <c r="G507" s="79"/>
      <c r="H507" s="79"/>
      <c r="I507" s="79"/>
      <c r="J507" s="79"/>
      <c r="K507" s="79"/>
    </row>
    <row r="508">
      <c r="C508" s="79"/>
      <c r="D508" s="79"/>
      <c r="E508" s="79"/>
      <c r="F508" s="79"/>
      <c r="G508" s="79"/>
      <c r="H508" s="79"/>
      <c r="I508" s="79"/>
      <c r="J508" s="79"/>
      <c r="K508" s="79"/>
    </row>
    <row r="509">
      <c r="C509" s="79"/>
      <c r="D509" s="79"/>
      <c r="E509" s="79"/>
      <c r="F509" s="79"/>
      <c r="G509" s="79"/>
      <c r="H509" s="79"/>
      <c r="I509" s="79"/>
      <c r="J509" s="79"/>
      <c r="K509" s="79"/>
    </row>
    <row r="510">
      <c r="C510" s="79"/>
      <c r="D510" s="79"/>
      <c r="E510" s="79"/>
      <c r="F510" s="79"/>
      <c r="G510" s="79"/>
      <c r="H510" s="79"/>
      <c r="I510" s="79"/>
      <c r="J510" s="79"/>
      <c r="K510" s="79"/>
    </row>
    <row r="511">
      <c r="C511" s="79"/>
      <c r="D511" s="79"/>
      <c r="E511" s="79"/>
      <c r="F511" s="79"/>
      <c r="G511" s="79"/>
      <c r="H511" s="79"/>
      <c r="I511" s="79"/>
      <c r="J511" s="79"/>
      <c r="K511" s="79"/>
    </row>
    <row r="512">
      <c r="C512" s="79"/>
      <c r="D512" s="79"/>
      <c r="E512" s="79"/>
      <c r="F512" s="79"/>
      <c r="G512" s="79"/>
      <c r="H512" s="79"/>
      <c r="I512" s="79"/>
      <c r="J512" s="79"/>
      <c r="K512" s="79"/>
    </row>
    <row r="513">
      <c r="C513" s="79"/>
      <c r="D513" s="79"/>
      <c r="E513" s="79"/>
      <c r="F513" s="79"/>
      <c r="G513" s="79"/>
      <c r="H513" s="79"/>
      <c r="I513" s="79"/>
      <c r="J513" s="79"/>
      <c r="K513" s="79"/>
    </row>
    <row r="514">
      <c r="C514" s="79"/>
      <c r="D514" s="79"/>
      <c r="E514" s="79"/>
      <c r="F514" s="79"/>
      <c r="G514" s="79"/>
      <c r="H514" s="79"/>
      <c r="I514" s="79"/>
      <c r="J514" s="79"/>
      <c r="K514" s="79"/>
    </row>
    <row r="515">
      <c r="C515" s="79"/>
      <c r="D515" s="79"/>
      <c r="E515" s="79"/>
      <c r="F515" s="79"/>
      <c r="G515" s="79"/>
      <c r="H515" s="79"/>
      <c r="I515" s="79"/>
      <c r="J515" s="79"/>
      <c r="K515" s="79"/>
    </row>
    <row r="516">
      <c r="C516" s="79"/>
      <c r="D516" s="79"/>
      <c r="E516" s="79"/>
      <c r="F516" s="79"/>
      <c r="G516" s="79"/>
      <c r="H516" s="79"/>
      <c r="I516" s="79"/>
      <c r="J516" s="79"/>
      <c r="K516" s="79"/>
    </row>
    <row r="517">
      <c r="C517" s="79"/>
      <c r="D517" s="79"/>
      <c r="E517" s="79"/>
      <c r="F517" s="79"/>
      <c r="G517" s="79"/>
      <c r="H517" s="79"/>
      <c r="I517" s="79"/>
      <c r="J517" s="79"/>
      <c r="K517" s="79"/>
    </row>
    <row r="518">
      <c r="C518" s="79"/>
      <c r="D518" s="79"/>
      <c r="E518" s="79"/>
      <c r="F518" s="79"/>
      <c r="G518" s="79"/>
      <c r="H518" s="79"/>
      <c r="I518" s="79"/>
      <c r="J518" s="79"/>
      <c r="K518" s="79"/>
    </row>
    <row r="519">
      <c r="C519" s="79"/>
      <c r="D519" s="79"/>
      <c r="E519" s="79"/>
      <c r="F519" s="79"/>
      <c r="G519" s="79"/>
      <c r="H519" s="79"/>
      <c r="I519" s="79"/>
      <c r="J519" s="79"/>
      <c r="K519" s="79"/>
    </row>
    <row r="520">
      <c r="C520" s="79"/>
      <c r="D520" s="79"/>
      <c r="E520" s="79"/>
      <c r="F520" s="79"/>
      <c r="G520" s="79"/>
      <c r="H520" s="79"/>
      <c r="I520" s="79"/>
      <c r="J520" s="79"/>
      <c r="K520" s="79"/>
    </row>
    <row r="521">
      <c r="C521" s="79"/>
      <c r="D521" s="79"/>
      <c r="E521" s="79"/>
      <c r="F521" s="79"/>
      <c r="G521" s="79"/>
      <c r="H521" s="79"/>
      <c r="I521" s="79"/>
      <c r="J521" s="79"/>
      <c r="K521" s="79"/>
    </row>
    <row r="522">
      <c r="C522" s="79"/>
      <c r="D522" s="79"/>
      <c r="E522" s="79"/>
      <c r="F522" s="79"/>
      <c r="G522" s="79"/>
      <c r="H522" s="79"/>
      <c r="I522" s="79"/>
      <c r="J522" s="79"/>
      <c r="K522" s="79"/>
    </row>
    <row r="523">
      <c r="C523" s="79"/>
      <c r="D523" s="79"/>
      <c r="E523" s="79"/>
      <c r="F523" s="79"/>
      <c r="G523" s="79"/>
      <c r="H523" s="79"/>
      <c r="I523" s="79"/>
      <c r="J523" s="79"/>
      <c r="K523" s="79"/>
    </row>
    <row r="524">
      <c r="C524" s="79"/>
      <c r="D524" s="79"/>
      <c r="E524" s="79"/>
      <c r="F524" s="79"/>
      <c r="G524" s="79"/>
      <c r="H524" s="79"/>
      <c r="I524" s="79"/>
      <c r="J524" s="79"/>
      <c r="K524" s="79"/>
    </row>
    <row r="525">
      <c r="C525" s="79"/>
      <c r="D525" s="79"/>
      <c r="E525" s="79"/>
      <c r="F525" s="79"/>
      <c r="G525" s="79"/>
      <c r="H525" s="79"/>
      <c r="I525" s="79"/>
      <c r="J525" s="79"/>
      <c r="K525" s="79"/>
    </row>
    <row r="526">
      <c r="C526" s="79"/>
      <c r="D526" s="79"/>
      <c r="E526" s="79"/>
      <c r="F526" s="79"/>
      <c r="G526" s="79"/>
      <c r="H526" s="79"/>
      <c r="I526" s="79"/>
      <c r="J526" s="79"/>
      <c r="K526" s="79"/>
    </row>
    <row r="527">
      <c r="C527" s="79"/>
      <c r="D527" s="79"/>
      <c r="E527" s="79"/>
      <c r="F527" s="79"/>
      <c r="G527" s="79"/>
      <c r="H527" s="79"/>
      <c r="I527" s="79"/>
      <c r="J527" s="79"/>
      <c r="K527" s="79"/>
    </row>
    <row r="528">
      <c r="C528" s="79"/>
      <c r="D528" s="79"/>
      <c r="E528" s="79"/>
      <c r="F528" s="79"/>
      <c r="G528" s="79"/>
      <c r="H528" s="79"/>
      <c r="I528" s="79"/>
      <c r="J528" s="79"/>
      <c r="K528" s="79"/>
    </row>
    <row r="529">
      <c r="C529" s="79"/>
      <c r="D529" s="79"/>
      <c r="E529" s="79"/>
      <c r="F529" s="79"/>
      <c r="G529" s="79"/>
      <c r="H529" s="79"/>
      <c r="I529" s="79"/>
      <c r="J529" s="79"/>
      <c r="K529" s="79"/>
    </row>
    <row r="530">
      <c r="C530" s="79"/>
      <c r="D530" s="79"/>
      <c r="E530" s="79"/>
      <c r="F530" s="79"/>
      <c r="G530" s="79"/>
      <c r="H530" s="79"/>
      <c r="I530" s="79"/>
      <c r="J530" s="79"/>
      <c r="K530" s="79"/>
    </row>
    <row r="531">
      <c r="C531" s="79"/>
      <c r="D531" s="79"/>
      <c r="E531" s="79"/>
      <c r="F531" s="79"/>
      <c r="G531" s="79"/>
      <c r="H531" s="79"/>
      <c r="I531" s="79"/>
      <c r="J531" s="79"/>
      <c r="K531" s="79"/>
    </row>
    <row r="532">
      <c r="C532" s="79"/>
      <c r="D532" s="79"/>
      <c r="E532" s="79"/>
      <c r="F532" s="79"/>
      <c r="G532" s="79"/>
      <c r="H532" s="79"/>
      <c r="I532" s="79"/>
      <c r="J532" s="79"/>
      <c r="K532" s="79"/>
    </row>
    <row r="533">
      <c r="C533" s="79"/>
      <c r="D533" s="79"/>
      <c r="E533" s="79"/>
      <c r="F533" s="79"/>
      <c r="G533" s="79"/>
      <c r="H533" s="79"/>
      <c r="I533" s="79"/>
      <c r="J533" s="79"/>
      <c r="K533" s="79"/>
    </row>
    <row r="534">
      <c r="C534" s="79"/>
      <c r="D534" s="79"/>
      <c r="E534" s="79"/>
      <c r="F534" s="79"/>
      <c r="G534" s="79"/>
      <c r="H534" s="79"/>
      <c r="I534" s="79"/>
      <c r="J534" s="79"/>
      <c r="K534" s="79"/>
    </row>
    <row r="535">
      <c r="C535" s="79"/>
      <c r="D535" s="79"/>
      <c r="E535" s="79"/>
      <c r="F535" s="79"/>
      <c r="G535" s="79"/>
      <c r="H535" s="79"/>
      <c r="I535" s="79"/>
      <c r="J535" s="79"/>
      <c r="K535" s="79"/>
    </row>
    <row r="536">
      <c r="C536" s="79"/>
      <c r="D536" s="79"/>
      <c r="E536" s="79"/>
      <c r="F536" s="79"/>
      <c r="G536" s="79"/>
      <c r="H536" s="79"/>
      <c r="I536" s="79"/>
      <c r="J536" s="79"/>
      <c r="K536" s="79"/>
    </row>
    <row r="537">
      <c r="C537" s="79"/>
      <c r="D537" s="79"/>
      <c r="E537" s="79"/>
      <c r="F537" s="79"/>
      <c r="G537" s="79"/>
      <c r="H537" s="79"/>
      <c r="I537" s="79"/>
      <c r="J537" s="79"/>
      <c r="K537" s="79"/>
    </row>
    <row r="538">
      <c r="C538" s="79"/>
      <c r="D538" s="79"/>
      <c r="E538" s="79"/>
      <c r="F538" s="79"/>
      <c r="G538" s="79"/>
      <c r="H538" s="79"/>
      <c r="I538" s="79"/>
      <c r="J538" s="79"/>
      <c r="K538" s="79"/>
    </row>
    <row r="539">
      <c r="C539" s="79"/>
      <c r="D539" s="79"/>
      <c r="E539" s="79"/>
      <c r="F539" s="79"/>
      <c r="G539" s="79"/>
      <c r="H539" s="79"/>
      <c r="I539" s="79"/>
      <c r="J539" s="79"/>
      <c r="K539" s="79"/>
    </row>
    <row r="540">
      <c r="C540" s="79"/>
      <c r="D540" s="79"/>
      <c r="E540" s="79"/>
      <c r="F540" s="79"/>
      <c r="G540" s="79"/>
      <c r="H540" s="79"/>
      <c r="I540" s="79"/>
      <c r="J540" s="79"/>
      <c r="K540" s="79"/>
    </row>
    <row r="541">
      <c r="C541" s="79"/>
      <c r="D541" s="79"/>
      <c r="E541" s="79"/>
      <c r="F541" s="79"/>
      <c r="G541" s="79"/>
      <c r="H541" s="79"/>
      <c r="I541" s="79"/>
      <c r="J541" s="79"/>
      <c r="K541" s="79"/>
    </row>
    <row r="542">
      <c r="C542" s="79"/>
      <c r="D542" s="79"/>
      <c r="E542" s="79"/>
      <c r="F542" s="79"/>
      <c r="G542" s="79"/>
      <c r="H542" s="79"/>
      <c r="I542" s="79"/>
      <c r="J542" s="79"/>
      <c r="K542" s="79"/>
    </row>
    <row r="543">
      <c r="C543" s="79"/>
      <c r="D543" s="79"/>
      <c r="E543" s="79"/>
      <c r="F543" s="79"/>
      <c r="G543" s="79"/>
      <c r="H543" s="79"/>
      <c r="I543" s="79"/>
      <c r="J543" s="79"/>
      <c r="K543" s="79"/>
    </row>
    <row r="544">
      <c r="C544" s="79"/>
      <c r="D544" s="79"/>
      <c r="E544" s="79"/>
      <c r="F544" s="79"/>
      <c r="G544" s="79"/>
      <c r="H544" s="79"/>
      <c r="I544" s="79"/>
      <c r="J544" s="79"/>
      <c r="K544" s="79"/>
    </row>
    <row r="545">
      <c r="C545" s="79"/>
      <c r="D545" s="79"/>
      <c r="E545" s="79"/>
      <c r="F545" s="79"/>
      <c r="G545" s="79"/>
      <c r="H545" s="79"/>
      <c r="I545" s="79"/>
      <c r="J545" s="79"/>
      <c r="K545" s="79"/>
    </row>
    <row r="546">
      <c r="C546" s="79"/>
      <c r="D546" s="79"/>
      <c r="E546" s="79"/>
      <c r="F546" s="79"/>
      <c r="G546" s="79"/>
      <c r="H546" s="79"/>
      <c r="I546" s="79"/>
      <c r="J546" s="79"/>
      <c r="K546" s="79"/>
    </row>
    <row r="547">
      <c r="C547" s="79"/>
      <c r="D547" s="79"/>
      <c r="E547" s="79"/>
      <c r="F547" s="79"/>
      <c r="G547" s="79"/>
      <c r="H547" s="79"/>
      <c r="I547" s="79"/>
      <c r="J547" s="79"/>
      <c r="K547" s="79"/>
    </row>
    <row r="548">
      <c r="C548" s="79"/>
      <c r="D548" s="79"/>
      <c r="E548" s="79"/>
      <c r="F548" s="79"/>
      <c r="G548" s="79"/>
      <c r="H548" s="79"/>
      <c r="I548" s="79"/>
      <c r="J548" s="79"/>
      <c r="K548" s="79"/>
    </row>
    <row r="549">
      <c r="C549" s="79"/>
      <c r="D549" s="79"/>
      <c r="E549" s="79"/>
      <c r="F549" s="79"/>
      <c r="G549" s="79"/>
      <c r="H549" s="79"/>
      <c r="I549" s="79"/>
      <c r="J549" s="79"/>
      <c r="K549" s="79"/>
    </row>
    <row r="550">
      <c r="C550" s="79"/>
      <c r="D550" s="79"/>
      <c r="E550" s="79"/>
      <c r="F550" s="79"/>
      <c r="G550" s="79"/>
      <c r="H550" s="79"/>
      <c r="I550" s="79"/>
      <c r="J550" s="79"/>
      <c r="K550" s="79"/>
    </row>
    <row r="551">
      <c r="C551" s="79"/>
      <c r="D551" s="79"/>
      <c r="E551" s="79"/>
      <c r="F551" s="79"/>
      <c r="G551" s="79"/>
      <c r="H551" s="79"/>
      <c r="I551" s="79"/>
      <c r="J551" s="79"/>
      <c r="K551" s="79"/>
    </row>
    <row r="552">
      <c r="C552" s="79"/>
      <c r="D552" s="79"/>
      <c r="E552" s="79"/>
      <c r="F552" s="79"/>
      <c r="G552" s="79"/>
      <c r="H552" s="79"/>
      <c r="I552" s="79"/>
      <c r="J552" s="79"/>
      <c r="K552" s="79"/>
    </row>
    <row r="553">
      <c r="C553" s="79"/>
      <c r="D553" s="79"/>
      <c r="E553" s="79"/>
      <c r="F553" s="79"/>
      <c r="G553" s="79"/>
      <c r="H553" s="79"/>
      <c r="I553" s="79"/>
      <c r="J553" s="79"/>
      <c r="K553" s="79"/>
    </row>
    <row r="554">
      <c r="C554" s="79"/>
      <c r="D554" s="79"/>
      <c r="E554" s="79"/>
      <c r="F554" s="79"/>
      <c r="G554" s="79"/>
      <c r="H554" s="79"/>
      <c r="I554" s="79"/>
      <c r="J554" s="79"/>
      <c r="K554" s="79"/>
    </row>
    <row r="555">
      <c r="C555" s="79"/>
      <c r="D555" s="79"/>
      <c r="E555" s="79"/>
      <c r="F555" s="79"/>
      <c r="G555" s="79"/>
      <c r="H555" s="79"/>
      <c r="I555" s="79"/>
      <c r="J555" s="79"/>
      <c r="K555" s="79"/>
    </row>
    <row r="556">
      <c r="C556" s="79"/>
      <c r="D556" s="79"/>
      <c r="E556" s="79"/>
      <c r="F556" s="79"/>
      <c r="G556" s="79"/>
      <c r="H556" s="79"/>
      <c r="I556" s="79"/>
      <c r="J556" s="79"/>
      <c r="K556" s="79"/>
    </row>
    <row r="557">
      <c r="C557" s="79"/>
      <c r="D557" s="79"/>
      <c r="E557" s="79"/>
      <c r="F557" s="79"/>
      <c r="G557" s="79"/>
      <c r="H557" s="79"/>
      <c r="I557" s="79"/>
      <c r="J557" s="79"/>
      <c r="K557" s="79"/>
    </row>
    <row r="558">
      <c r="C558" s="79"/>
      <c r="D558" s="79"/>
      <c r="E558" s="79"/>
      <c r="F558" s="79"/>
      <c r="G558" s="79"/>
      <c r="H558" s="79"/>
      <c r="I558" s="79"/>
      <c r="J558" s="79"/>
      <c r="K558" s="79"/>
    </row>
    <row r="559">
      <c r="C559" s="79"/>
      <c r="D559" s="79"/>
      <c r="E559" s="79"/>
      <c r="F559" s="79"/>
      <c r="G559" s="79"/>
      <c r="H559" s="79"/>
      <c r="I559" s="79"/>
      <c r="J559" s="79"/>
      <c r="K559" s="79"/>
    </row>
    <row r="560">
      <c r="C560" s="79"/>
      <c r="D560" s="79"/>
      <c r="E560" s="79"/>
      <c r="F560" s="79"/>
      <c r="G560" s="79"/>
      <c r="H560" s="79"/>
      <c r="I560" s="79"/>
      <c r="J560" s="79"/>
      <c r="K560" s="79"/>
    </row>
    <row r="561">
      <c r="C561" s="79"/>
      <c r="D561" s="79"/>
      <c r="E561" s="79"/>
      <c r="F561" s="79"/>
      <c r="G561" s="79"/>
      <c r="H561" s="79"/>
      <c r="I561" s="79"/>
      <c r="J561" s="79"/>
      <c r="K561" s="79"/>
    </row>
    <row r="562">
      <c r="C562" s="79"/>
      <c r="D562" s="79"/>
      <c r="E562" s="79"/>
      <c r="F562" s="79"/>
      <c r="G562" s="79"/>
      <c r="H562" s="79"/>
      <c r="I562" s="79"/>
      <c r="J562" s="79"/>
      <c r="K562" s="79"/>
    </row>
    <row r="563">
      <c r="C563" s="79"/>
      <c r="D563" s="79"/>
      <c r="E563" s="79"/>
      <c r="F563" s="79"/>
      <c r="G563" s="79"/>
      <c r="H563" s="79"/>
      <c r="I563" s="79"/>
      <c r="J563" s="79"/>
      <c r="K563" s="79"/>
    </row>
    <row r="564">
      <c r="C564" s="79"/>
      <c r="D564" s="79"/>
      <c r="E564" s="79"/>
      <c r="F564" s="79"/>
      <c r="G564" s="79"/>
      <c r="H564" s="79"/>
      <c r="I564" s="79"/>
      <c r="J564" s="79"/>
      <c r="K564" s="79"/>
    </row>
    <row r="565">
      <c r="C565" s="79"/>
      <c r="D565" s="79"/>
      <c r="E565" s="79"/>
      <c r="F565" s="79"/>
      <c r="G565" s="79"/>
      <c r="H565" s="79"/>
      <c r="I565" s="79"/>
      <c r="J565" s="79"/>
      <c r="K565" s="79"/>
    </row>
    <row r="566">
      <c r="C566" s="79"/>
      <c r="D566" s="79"/>
      <c r="E566" s="79"/>
      <c r="F566" s="79"/>
      <c r="G566" s="79"/>
      <c r="H566" s="79"/>
      <c r="I566" s="79"/>
      <c r="J566" s="79"/>
      <c r="K566" s="79"/>
    </row>
    <row r="567">
      <c r="C567" s="79"/>
      <c r="D567" s="79"/>
      <c r="E567" s="79"/>
      <c r="F567" s="79"/>
      <c r="G567" s="79"/>
      <c r="H567" s="79"/>
      <c r="I567" s="79"/>
      <c r="J567" s="79"/>
      <c r="K567" s="79"/>
    </row>
    <row r="568">
      <c r="C568" s="79"/>
      <c r="D568" s="79"/>
      <c r="E568" s="79"/>
      <c r="F568" s="79"/>
      <c r="G568" s="79"/>
      <c r="H568" s="79"/>
      <c r="I568" s="79"/>
      <c r="J568" s="79"/>
      <c r="K568" s="79"/>
    </row>
    <row r="569">
      <c r="C569" s="79"/>
      <c r="D569" s="79"/>
      <c r="E569" s="79"/>
      <c r="F569" s="79"/>
      <c r="G569" s="79"/>
      <c r="H569" s="79"/>
      <c r="I569" s="79"/>
      <c r="J569" s="79"/>
      <c r="K569" s="79"/>
    </row>
    <row r="570">
      <c r="C570" s="79"/>
      <c r="D570" s="79"/>
      <c r="E570" s="79"/>
      <c r="F570" s="79"/>
      <c r="G570" s="79"/>
      <c r="H570" s="79"/>
      <c r="I570" s="79"/>
      <c r="J570" s="79"/>
      <c r="K570" s="79"/>
    </row>
    <row r="571">
      <c r="C571" s="79"/>
      <c r="D571" s="79"/>
      <c r="E571" s="79"/>
      <c r="F571" s="79"/>
      <c r="G571" s="79"/>
      <c r="H571" s="79"/>
      <c r="I571" s="79"/>
      <c r="J571" s="79"/>
      <c r="K571" s="79"/>
    </row>
    <row r="572">
      <c r="C572" s="79"/>
      <c r="D572" s="79"/>
      <c r="E572" s="79"/>
      <c r="F572" s="79"/>
      <c r="G572" s="79"/>
      <c r="H572" s="79"/>
      <c r="I572" s="79"/>
      <c r="J572" s="79"/>
      <c r="K572" s="79"/>
    </row>
    <row r="573">
      <c r="C573" s="79"/>
      <c r="D573" s="79"/>
      <c r="E573" s="79"/>
      <c r="F573" s="79"/>
      <c r="G573" s="79"/>
      <c r="H573" s="79"/>
      <c r="I573" s="79"/>
      <c r="J573" s="79"/>
      <c r="K573" s="79"/>
    </row>
    <row r="574">
      <c r="C574" s="79"/>
      <c r="D574" s="79"/>
      <c r="E574" s="79"/>
      <c r="F574" s="79"/>
      <c r="G574" s="79"/>
      <c r="H574" s="79"/>
      <c r="I574" s="79"/>
      <c r="J574" s="79"/>
      <c r="K574" s="79"/>
    </row>
    <row r="575">
      <c r="C575" s="79"/>
      <c r="D575" s="79"/>
      <c r="E575" s="79"/>
      <c r="F575" s="79"/>
      <c r="G575" s="79"/>
      <c r="H575" s="79"/>
      <c r="I575" s="79"/>
      <c r="J575" s="79"/>
      <c r="K575" s="79"/>
    </row>
    <row r="576">
      <c r="C576" s="79"/>
      <c r="D576" s="79"/>
      <c r="E576" s="79"/>
      <c r="F576" s="79"/>
      <c r="G576" s="79"/>
      <c r="H576" s="79"/>
      <c r="I576" s="79"/>
      <c r="J576" s="79"/>
      <c r="K576" s="79"/>
    </row>
    <row r="577">
      <c r="C577" s="79"/>
      <c r="D577" s="79"/>
      <c r="E577" s="79"/>
      <c r="F577" s="79"/>
      <c r="G577" s="79"/>
      <c r="H577" s="79"/>
      <c r="I577" s="79"/>
      <c r="J577" s="79"/>
      <c r="K577" s="79"/>
    </row>
    <row r="578">
      <c r="C578" s="79"/>
      <c r="D578" s="79"/>
      <c r="E578" s="79"/>
      <c r="F578" s="79"/>
      <c r="G578" s="79"/>
      <c r="H578" s="79"/>
      <c r="I578" s="79"/>
      <c r="J578" s="79"/>
      <c r="K578" s="79"/>
    </row>
    <row r="579">
      <c r="C579" s="79"/>
      <c r="D579" s="79"/>
      <c r="E579" s="79"/>
      <c r="F579" s="79"/>
      <c r="G579" s="79"/>
      <c r="H579" s="79"/>
      <c r="I579" s="79"/>
      <c r="J579" s="79"/>
      <c r="K579" s="79"/>
    </row>
    <row r="580">
      <c r="C580" s="79"/>
      <c r="D580" s="79"/>
      <c r="E580" s="79"/>
      <c r="F580" s="79"/>
      <c r="G580" s="79"/>
      <c r="H580" s="79"/>
      <c r="I580" s="79"/>
      <c r="J580" s="79"/>
      <c r="K580" s="79"/>
    </row>
    <row r="581">
      <c r="C581" s="79"/>
      <c r="D581" s="79"/>
      <c r="E581" s="79"/>
      <c r="F581" s="79"/>
      <c r="G581" s="79"/>
      <c r="H581" s="79"/>
      <c r="I581" s="79"/>
      <c r="J581" s="79"/>
      <c r="K581" s="79"/>
    </row>
    <row r="582">
      <c r="C582" s="79"/>
      <c r="D582" s="79"/>
      <c r="E582" s="79"/>
      <c r="F582" s="79"/>
      <c r="G582" s="79"/>
      <c r="H582" s="79"/>
      <c r="I582" s="79"/>
      <c r="J582" s="79"/>
      <c r="K582" s="79"/>
    </row>
    <row r="583">
      <c r="C583" s="79"/>
      <c r="D583" s="79"/>
      <c r="E583" s="79"/>
      <c r="F583" s="79"/>
      <c r="G583" s="79"/>
      <c r="H583" s="79"/>
      <c r="I583" s="79"/>
      <c r="J583" s="79"/>
      <c r="K583" s="79"/>
    </row>
    <row r="584">
      <c r="C584" s="79"/>
      <c r="D584" s="79"/>
      <c r="E584" s="79"/>
      <c r="F584" s="79"/>
      <c r="G584" s="79"/>
      <c r="H584" s="79"/>
      <c r="I584" s="79"/>
      <c r="J584" s="79"/>
      <c r="K584" s="79"/>
    </row>
    <row r="585">
      <c r="C585" s="79"/>
      <c r="D585" s="79"/>
      <c r="E585" s="79"/>
      <c r="F585" s="79"/>
      <c r="G585" s="79"/>
      <c r="H585" s="79"/>
      <c r="I585" s="79"/>
      <c r="J585" s="79"/>
      <c r="K585" s="79"/>
    </row>
    <row r="586">
      <c r="C586" s="79"/>
      <c r="D586" s="79"/>
      <c r="E586" s="79"/>
      <c r="F586" s="79"/>
      <c r="G586" s="79"/>
      <c r="H586" s="79"/>
      <c r="I586" s="79"/>
      <c r="J586" s="79"/>
      <c r="K586" s="79"/>
    </row>
    <row r="587">
      <c r="C587" s="79"/>
      <c r="D587" s="79"/>
      <c r="E587" s="79"/>
      <c r="F587" s="79"/>
      <c r="G587" s="79"/>
      <c r="H587" s="79"/>
      <c r="I587" s="79"/>
      <c r="J587" s="79"/>
      <c r="K587" s="79"/>
    </row>
    <row r="588">
      <c r="C588" s="79"/>
      <c r="D588" s="79"/>
      <c r="E588" s="79"/>
      <c r="F588" s="79"/>
      <c r="G588" s="79"/>
      <c r="H588" s="79"/>
      <c r="I588" s="79"/>
      <c r="J588" s="79"/>
      <c r="K588" s="79"/>
    </row>
    <row r="589">
      <c r="C589" s="79"/>
      <c r="D589" s="79"/>
      <c r="E589" s="79"/>
      <c r="F589" s="79"/>
      <c r="G589" s="79"/>
      <c r="H589" s="79"/>
      <c r="I589" s="79"/>
      <c r="J589" s="79"/>
      <c r="K589" s="79"/>
    </row>
    <row r="590">
      <c r="C590" s="79"/>
      <c r="D590" s="79"/>
      <c r="E590" s="79"/>
      <c r="F590" s="79"/>
      <c r="G590" s="79"/>
      <c r="H590" s="79"/>
      <c r="I590" s="79"/>
      <c r="J590" s="79"/>
      <c r="K590" s="79"/>
    </row>
    <row r="591">
      <c r="C591" s="79"/>
      <c r="D591" s="79"/>
      <c r="E591" s="79"/>
      <c r="F591" s="79"/>
      <c r="G591" s="79"/>
      <c r="H591" s="79"/>
      <c r="I591" s="79"/>
      <c r="J591" s="79"/>
      <c r="K591" s="79"/>
    </row>
    <row r="592">
      <c r="C592" s="79"/>
      <c r="D592" s="79"/>
      <c r="E592" s="79"/>
      <c r="F592" s="79"/>
      <c r="G592" s="79"/>
      <c r="H592" s="79"/>
      <c r="I592" s="79"/>
      <c r="J592" s="79"/>
      <c r="K592" s="79"/>
    </row>
    <row r="593">
      <c r="C593" s="79"/>
      <c r="D593" s="79"/>
      <c r="E593" s="79"/>
      <c r="F593" s="79"/>
      <c r="G593" s="79"/>
      <c r="H593" s="79"/>
      <c r="I593" s="79"/>
      <c r="J593" s="79"/>
      <c r="K593" s="79"/>
    </row>
    <row r="594">
      <c r="C594" s="79"/>
      <c r="D594" s="79"/>
      <c r="E594" s="79"/>
      <c r="F594" s="79"/>
      <c r="G594" s="79"/>
      <c r="H594" s="79"/>
      <c r="I594" s="79"/>
      <c r="J594" s="79"/>
      <c r="K594" s="79"/>
    </row>
    <row r="595">
      <c r="C595" s="79"/>
      <c r="D595" s="79"/>
      <c r="E595" s="79"/>
      <c r="F595" s="79"/>
      <c r="G595" s="79"/>
      <c r="H595" s="79"/>
      <c r="I595" s="79"/>
      <c r="J595" s="79"/>
      <c r="K595" s="79"/>
    </row>
    <row r="596">
      <c r="C596" s="79"/>
      <c r="D596" s="79"/>
      <c r="E596" s="79"/>
      <c r="F596" s="79"/>
      <c r="G596" s="79"/>
      <c r="H596" s="79"/>
      <c r="I596" s="79"/>
      <c r="J596" s="79"/>
      <c r="K596" s="79"/>
    </row>
    <row r="597">
      <c r="C597" s="79"/>
      <c r="D597" s="79"/>
      <c r="E597" s="79"/>
      <c r="F597" s="79"/>
      <c r="G597" s="79"/>
      <c r="H597" s="79"/>
      <c r="I597" s="79"/>
      <c r="J597" s="79"/>
      <c r="K597" s="79"/>
    </row>
    <row r="598">
      <c r="C598" s="79"/>
      <c r="D598" s="79"/>
      <c r="E598" s="79"/>
      <c r="F598" s="79"/>
      <c r="G598" s="79"/>
      <c r="H598" s="79"/>
      <c r="I598" s="79"/>
      <c r="J598" s="79"/>
      <c r="K598" s="79"/>
    </row>
    <row r="599">
      <c r="C599" s="79"/>
      <c r="D599" s="79"/>
      <c r="E599" s="79"/>
      <c r="F599" s="79"/>
      <c r="G599" s="79"/>
      <c r="H599" s="79"/>
      <c r="I599" s="79"/>
      <c r="J599" s="79"/>
      <c r="K599" s="79"/>
    </row>
    <row r="600">
      <c r="C600" s="79"/>
      <c r="D600" s="79"/>
      <c r="E600" s="79"/>
      <c r="F600" s="79"/>
      <c r="G600" s="79"/>
      <c r="H600" s="79"/>
      <c r="I600" s="79"/>
      <c r="J600" s="79"/>
      <c r="K600" s="79"/>
    </row>
    <row r="601">
      <c r="C601" s="79"/>
      <c r="D601" s="79"/>
      <c r="E601" s="79"/>
      <c r="F601" s="79"/>
      <c r="G601" s="79"/>
      <c r="H601" s="79"/>
      <c r="I601" s="79"/>
      <c r="J601" s="79"/>
      <c r="K601" s="79"/>
    </row>
    <row r="602">
      <c r="C602" s="79"/>
      <c r="D602" s="79"/>
      <c r="E602" s="79"/>
      <c r="F602" s="79"/>
      <c r="G602" s="79"/>
      <c r="H602" s="79"/>
      <c r="I602" s="79"/>
      <c r="J602" s="79"/>
      <c r="K602" s="79"/>
    </row>
    <row r="603">
      <c r="C603" s="79"/>
      <c r="D603" s="79"/>
      <c r="E603" s="79"/>
      <c r="F603" s="79"/>
      <c r="G603" s="79"/>
      <c r="H603" s="79"/>
      <c r="I603" s="79"/>
      <c r="J603" s="79"/>
      <c r="K603" s="79"/>
    </row>
    <row r="604">
      <c r="C604" s="79"/>
      <c r="D604" s="79"/>
      <c r="E604" s="79"/>
      <c r="F604" s="79"/>
      <c r="G604" s="79"/>
      <c r="H604" s="79"/>
      <c r="I604" s="79"/>
      <c r="J604" s="79"/>
      <c r="K604" s="79"/>
    </row>
    <row r="605">
      <c r="C605" s="79"/>
      <c r="D605" s="79"/>
      <c r="E605" s="79"/>
      <c r="F605" s="79"/>
      <c r="G605" s="79"/>
      <c r="H605" s="79"/>
      <c r="I605" s="79"/>
      <c r="J605" s="79"/>
      <c r="K605" s="79"/>
    </row>
    <row r="606">
      <c r="C606" s="79"/>
      <c r="D606" s="79"/>
      <c r="E606" s="79"/>
      <c r="F606" s="79"/>
      <c r="G606" s="79"/>
      <c r="H606" s="79"/>
      <c r="I606" s="79"/>
      <c r="J606" s="79"/>
      <c r="K606" s="79"/>
    </row>
    <row r="607">
      <c r="C607" s="79"/>
      <c r="D607" s="79"/>
      <c r="E607" s="79"/>
      <c r="F607" s="79"/>
      <c r="G607" s="79"/>
      <c r="H607" s="79"/>
      <c r="I607" s="79"/>
      <c r="J607" s="79"/>
      <c r="K607" s="79"/>
    </row>
    <row r="608">
      <c r="C608" s="79"/>
      <c r="D608" s="79"/>
      <c r="E608" s="79"/>
      <c r="F608" s="79"/>
      <c r="G608" s="79"/>
      <c r="H608" s="79"/>
      <c r="I608" s="79"/>
      <c r="J608" s="79"/>
      <c r="K608" s="79"/>
    </row>
    <row r="609">
      <c r="C609" s="79"/>
      <c r="D609" s="79"/>
      <c r="E609" s="79"/>
      <c r="F609" s="79"/>
      <c r="G609" s="79"/>
      <c r="H609" s="79"/>
      <c r="I609" s="79"/>
      <c r="J609" s="79"/>
      <c r="K609" s="79"/>
    </row>
    <row r="610">
      <c r="C610" s="79"/>
      <c r="D610" s="79"/>
      <c r="E610" s="79"/>
      <c r="F610" s="79"/>
      <c r="G610" s="79"/>
      <c r="H610" s="79"/>
      <c r="I610" s="79"/>
      <c r="J610" s="79"/>
      <c r="K610" s="79"/>
    </row>
    <row r="611">
      <c r="C611" s="79"/>
      <c r="D611" s="79"/>
      <c r="E611" s="79"/>
      <c r="F611" s="79"/>
      <c r="G611" s="79"/>
      <c r="H611" s="79"/>
      <c r="I611" s="79"/>
      <c r="J611" s="79"/>
      <c r="K611" s="79"/>
    </row>
    <row r="612">
      <c r="C612" s="79"/>
      <c r="D612" s="79"/>
      <c r="E612" s="79"/>
      <c r="F612" s="79"/>
      <c r="G612" s="79"/>
      <c r="H612" s="79"/>
      <c r="I612" s="79"/>
      <c r="J612" s="79"/>
      <c r="K612" s="79"/>
    </row>
    <row r="613">
      <c r="C613" s="79"/>
      <c r="D613" s="79"/>
      <c r="E613" s="79"/>
      <c r="F613" s="79"/>
      <c r="G613" s="79"/>
      <c r="H613" s="79"/>
      <c r="I613" s="79"/>
      <c r="J613" s="79"/>
      <c r="K613" s="79"/>
    </row>
    <row r="614">
      <c r="C614" s="79"/>
      <c r="D614" s="79"/>
      <c r="E614" s="79"/>
      <c r="F614" s="79"/>
      <c r="G614" s="79"/>
      <c r="H614" s="79"/>
      <c r="I614" s="79"/>
      <c r="J614" s="79"/>
      <c r="K614" s="79"/>
    </row>
    <row r="615">
      <c r="C615" s="79"/>
      <c r="D615" s="79"/>
      <c r="E615" s="79"/>
      <c r="F615" s="79"/>
      <c r="G615" s="79"/>
      <c r="H615" s="79"/>
      <c r="I615" s="79"/>
      <c r="J615" s="79"/>
      <c r="K615" s="79"/>
    </row>
    <row r="616">
      <c r="C616" s="79"/>
      <c r="D616" s="79"/>
      <c r="E616" s="79"/>
      <c r="F616" s="79"/>
      <c r="G616" s="79"/>
      <c r="H616" s="79"/>
      <c r="I616" s="79"/>
      <c r="J616" s="79"/>
      <c r="K616" s="79"/>
    </row>
    <row r="617">
      <c r="C617" s="79"/>
      <c r="D617" s="79"/>
      <c r="E617" s="79"/>
      <c r="F617" s="79"/>
      <c r="G617" s="79"/>
      <c r="H617" s="79"/>
      <c r="I617" s="79"/>
      <c r="J617" s="79"/>
      <c r="K617" s="79"/>
    </row>
    <row r="618">
      <c r="C618" s="79"/>
      <c r="D618" s="79"/>
      <c r="E618" s="79"/>
      <c r="F618" s="79"/>
      <c r="G618" s="79"/>
      <c r="H618" s="79"/>
      <c r="I618" s="79"/>
      <c r="J618" s="79"/>
      <c r="K618" s="79"/>
    </row>
    <row r="619">
      <c r="C619" s="79"/>
      <c r="D619" s="79"/>
      <c r="E619" s="79"/>
      <c r="F619" s="79"/>
      <c r="G619" s="79"/>
      <c r="H619" s="79"/>
      <c r="I619" s="79"/>
      <c r="J619" s="79"/>
      <c r="K619" s="79"/>
    </row>
    <row r="620">
      <c r="C620" s="79"/>
      <c r="D620" s="79"/>
      <c r="E620" s="79"/>
      <c r="F620" s="79"/>
      <c r="G620" s="79"/>
      <c r="H620" s="79"/>
      <c r="I620" s="79"/>
      <c r="J620" s="79"/>
      <c r="K620" s="79"/>
    </row>
    <row r="621">
      <c r="C621" s="79"/>
      <c r="D621" s="79"/>
      <c r="E621" s="79"/>
      <c r="F621" s="79"/>
      <c r="G621" s="79"/>
      <c r="H621" s="79"/>
      <c r="I621" s="79"/>
      <c r="J621" s="79"/>
      <c r="K621" s="79"/>
    </row>
    <row r="622">
      <c r="C622" s="79"/>
      <c r="D622" s="79"/>
      <c r="E622" s="79"/>
      <c r="F622" s="79"/>
      <c r="G622" s="79"/>
      <c r="H622" s="79"/>
      <c r="I622" s="79"/>
      <c r="J622" s="79"/>
      <c r="K622" s="79"/>
    </row>
    <row r="623">
      <c r="C623" s="79"/>
      <c r="D623" s="79"/>
      <c r="E623" s="79"/>
      <c r="F623" s="79"/>
      <c r="G623" s="79"/>
      <c r="H623" s="79"/>
      <c r="I623" s="79"/>
      <c r="J623" s="79"/>
      <c r="K623" s="79"/>
    </row>
    <row r="624">
      <c r="C624" s="79"/>
      <c r="D624" s="79"/>
      <c r="E624" s="79"/>
      <c r="F624" s="79"/>
      <c r="G624" s="79"/>
      <c r="H624" s="79"/>
      <c r="I624" s="79"/>
      <c r="J624" s="79"/>
      <c r="K624" s="79"/>
    </row>
    <row r="625">
      <c r="C625" s="79"/>
      <c r="D625" s="79"/>
      <c r="E625" s="79"/>
      <c r="F625" s="79"/>
      <c r="G625" s="79"/>
      <c r="H625" s="79"/>
      <c r="I625" s="79"/>
      <c r="J625" s="79"/>
      <c r="K625" s="79"/>
    </row>
    <row r="626">
      <c r="C626" s="79"/>
      <c r="D626" s="79"/>
      <c r="E626" s="79"/>
      <c r="F626" s="79"/>
      <c r="G626" s="79"/>
      <c r="H626" s="79"/>
      <c r="I626" s="79"/>
      <c r="J626" s="79"/>
      <c r="K626" s="79"/>
    </row>
    <row r="627">
      <c r="C627" s="79"/>
      <c r="D627" s="79"/>
      <c r="E627" s="79"/>
      <c r="F627" s="79"/>
      <c r="G627" s="79"/>
      <c r="H627" s="79"/>
      <c r="I627" s="79"/>
      <c r="J627" s="79"/>
      <c r="K627" s="79"/>
    </row>
    <row r="628">
      <c r="C628" s="79"/>
      <c r="D628" s="79"/>
      <c r="E628" s="79"/>
      <c r="F628" s="79"/>
      <c r="G628" s="79"/>
      <c r="H628" s="79"/>
      <c r="I628" s="79"/>
      <c r="J628" s="79"/>
      <c r="K628" s="79"/>
    </row>
    <row r="629">
      <c r="C629" s="79"/>
      <c r="D629" s="79"/>
      <c r="E629" s="79"/>
      <c r="F629" s="79"/>
      <c r="G629" s="79"/>
      <c r="H629" s="79"/>
      <c r="I629" s="79"/>
      <c r="J629" s="79"/>
      <c r="K629" s="79"/>
    </row>
    <row r="630">
      <c r="C630" s="79"/>
      <c r="D630" s="79"/>
      <c r="E630" s="79"/>
      <c r="F630" s="79"/>
      <c r="G630" s="79"/>
      <c r="H630" s="79"/>
      <c r="I630" s="79"/>
      <c r="J630" s="79"/>
      <c r="K630" s="79"/>
    </row>
    <row r="631">
      <c r="C631" s="79"/>
      <c r="D631" s="79"/>
      <c r="E631" s="79"/>
      <c r="F631" s="79"/>
      <c r="G631" s="79"/>
      <c r="H631" s="79"/>
      <c r="I631" s="79"/>
      <c r="J631" s="79"/>
      <c r="K631" s="79"/>
    </row>
    <row r="632">
      <c r="C632" s="79"/>
      <c r="D632" s="79"/>
      <c r="E632" s="79"/>
      <c r="F632" s="79"/>
      <c r="G632" s="79"/>
      <c r="H632" s="79"/>
      <c r="I632" s="79"/>
      <c r="J632" s="79"/>
      <c r="K632" s="79"/>
    </row>
    <row r="633">
      <c r="C633" s="79"/>
      <c r="D633" s="79"/>
      <c r="E633" s="79"/>
      <c r="F633" s="79"/>
      <c r="G633" s="79"/>
      <c r="H633" s="79"/>
      <c r="I633" s="79"/>
      <c r="J633" s="79"/>
      <c r="K633" s="79"/>
    </row>
    <row r="634">
      <c r="C634" s="79"/>
      <c r="D634" s="79"/>
      <c r="E634" s="79"/>
      <c r="F634" s="79"/>
      <c r="G634" s="79"/>
      <c r="H634" s="79"/>
      <c r="I634" s="79"/>
      <c r="J634" s="79"/>
      <c r="K634" s="79"/>
    </row>
    <row r="635">
      <c r="C635" s="79"/>
      <c r="D635" s="79"/>
      <c r="E635" s="79"/>
      <c r="F635" s="79"/>
      <c r="G635" s="79"/>
      <c r="H635" s="79"/>
      <c r="I635" s="79"/>
      <c r="J635" s="79"/>
      <c r="K635" s="79"/>
    </row>
    <row r="636">
      <c r="C636" s="79"/>
      <c r="D636" s="79"/>
      <c r="E636" s="79"/>
      <c r="F636" s="79"/>
      <c r="G636" s="79"/>
      <c r="H636" s="79"/>
      <c r="I636" s="79"/>
      <c r="J636" s="79"/>
      <c r="K636" s="79"/>
    </row>
    <row r="637">
      <c r="C637" s="79"/>
      <c r="D637" s="79"/>
      <c r="E637" s="79"/>
      <c r="F637" s="79"/>
      <c r="G637" s="79"/>
      <c r="H637" s="79"/>
      <c r="I637" s="79"/>
      <c r="J637" s="79"/>
      <c r="K637" s="79"/>
    </row>
    <row r="638">
      <c r="C638" s="79"/>
      <c r="D638" s="79"/>
      <c r="E638" s="79"/>
      <c r="F638" s="79"/>
      <c r="G638" s="79"/>
      <c r="H638" s="79"/>
      <c r="I638" s="79"/>
      <c r="J638" s="79"/>
      <c r="K638" s="79"/>
    </row>
    <row r="639">
      <c r="C639" s="79"/>
      <c r="D639" s="79"/>
      <c r="E639" s="79"/>
      <c r="F639" s="79"/>
      <c r="G639" s="79"/>
      <c r="H639" s="79"/>
      <c r="I639" s="79"/>
      <c r="J639" s="79"/>
      <c r="K639" s="79"/>
    </row>
    <row r="640">
      <c r="C640" s="79"/>
      <c r="D640" s="79"/>
      <c r="E640" s="79"/>
      <c r="F640" s="79"/>
      <c r="G640" s="79"/>
      <c r="H640" s="79"/>
      <c r="I640" s="79"/>
      <c r="J640" s="79"/>
      <c r="K640" s="79"/>
    </row>
    <row r="641">
      <c r="C641" s="79"/>
      <c r="D641" s="79"/>
      <c r="E641" s="79"/>
      <c r="F641" s="79"/>
      <c r="G641" s="79"/>
      <c r="H641" s="79"/>
      <c r="I641" s="79"/>
      <c r="J641" s="79"/>
      <c r="K641" s="79"/>
    </row>
    <row r="642">
      <c r="C642" s="79"/>
      <c r="D642" s="79"/>
      <c r="E642" s="79"/>
      <c r="F642" s="79"/>
      <c r="G642" s="79"/>
      <c r="H642" s="79"/>
      <c r="I642" s="79"/>
      <c r="J642" s="79"/>
      <c r="K642" s="79"/>
    </row>
    <row r="643">
      <c r="C643" s="79"/>
      <c r="D643" s="79"/>
      <c r="E643" s="79"/>
      <c r="F643" s="79"/>
      <c r="G643" s="79"/>
      <c r="H643" s="79"/>
      <c r="I643" s="79"/>
      <c r="J643" s="79"/>
      <c r="K643" s="79"/>
    </row>
    <row r="644">
      <c r="C644" s="79"/>
      <c r="D644" s="79"/>
      <c r="E644" s="79"/>
      <c r="F644" s="79"/>
      <c r="G644" s="79"/>
      <c r="H644" s="79"/>
      <c r="I644" s="79"/>
      <c r="J644" s="79"/>
      <c r="K644" s="79"/>
    </row>
    <row r="645">
      <c r="C645" s="79"/>
      <c r="D645" s="79"/>
      <c r="E645" s="79"/>
      <c r="F645" s="79"/>
      <c r="G645" s="79"/>
      <c r="H645" s="79"/>
      <c r="I645" s="79"/>
      <c r="J645" s="79"/>
      <c r="K645" s="79"/>
    </row>
    <row r="646">
      <c r="C646" s="79"/>
      <c r="D646" s="79"/>
      <c r="E646" s="79"/>
      <c r="F646" s="79"/>
      <c r="G646" s="79"/>
      <c r="H646" s="79"/>
      <c r="I646" s="79"/>
      <c r="J646" s="79"/>
      <c r="K646" s="79"/>
    </row>
    <row r="647">
      <c r="C647" s="79"/>
      <c r="D647" s="79"/>
      <c r="E647" s="79"/>
      <c r="F647" s="79"/>
      <c r="G647" s="79"/>
      <c r="H647" s="79"/>
      <c r="I647" s="79"/>
      <c r="J647" s="79"/>
      <c r="K647" s="79"/>
    </row>
    <row r="648">
      <c r="C648" s="79"/>
      <c r="D648" s="79"/>
      <c r="E648" s="79"/>
      <c r="F648" s="79"/>
      <c r="G648" s="79"/>
      <c r="H648" s="79"/>
      <c r="I648" s="79"/>
      <c r="J648" s="79"/>
      <c r="K648" s="79"/>
    </row>
    <row r="649">
      <c r="C649" s="79"/>
      <c r="D649" s="79"/>
      <c r="E649" s="79"/>
      <c r="F649" s="79"/>
      <c r="G649" s="79"/>
      <c r="H649" s="79"/>
      <c r="I649" s="79"/>
      <c r="J649" s="79"/>
      <c r="K649" s="79"/>
    </row>
    <row r="650">
      <c r="C650" s="79"/>
      <c r="D650" s="79"/>
      <c r="E650" s="79"/>
      <c r="F650" s="79"/>
      <c r="G650" s="79"/>
      <c r="H650" s="79"/>
      <c r="I650" s="79"/>
      <c r="J650" s="79"/>
      <c r="K650" s="79"/>
    </row>
    <row r="651">
      <c r="C651" s="79"/>
      <c r="D651" s="79"/>
      <c r="E651" s="79"/>
      <c r="F651" s="79"/>
      <c r="G651" s="79"/>
      <c r="H651" s="79"/>
      <c r="I651" s="79"/>
      <c r="J651" s="79"/>
      <c r="K651" s="79"/>
    </row>
    <row r="652">
      <c r="C652" s="79"/>
      <c r="D652" s="79"/>
      <c r="E652" s="79"/>
      <c r="F652" s="79"/>
      <c r="G652" s="79"/>
      <c r="H652" s="79"/>
      <c r="I652" s="79"/>
      <c r="J652" s="79"/>
      <c r="K652" s="79"/>
    </row>
    <row r="653">
      <c r="C653" s="79"/>
      <c r="D653" s="79"/>
      <c r="E653" s="79"/>
      <c r="F653" s="79"/>
      <c r="G653" s="79"/>
      <c r="H653" s="79"/>
      <c r="I653" s="79"/>
      <c r="J653" s="79"/>
      <c r="K653" s="79"/>
    </row>
    <row r="654">
      <c r="C654" s="79"/>
      <c r="D654" s="79"/>
      <c r="E654" s="79"/>
      <c r="F654" s="79"/>
      <c r="G654" s="79"/>
      <c r="H654" s="79"/>
      <c r="I654" s="79"/>
      <c r="J654" s="79"/>
      <c r="K654" s="79"/>
    </row>
    <row r="655">
      <c r="C655" s="79"/>
      <c r="D655" s="79"/>
      <c r="E655" s="79"/>
      <c r="F655" s="79"/>
      <c r="G655" s="79"/>
      <c r="H655" s="79"/>
      <c r="I655" s="79"/>
      <c r="J655" s="79"/>
      <c r="K655" s="79"/>
    </row>
    <row r="656">
      <c r="C656" s="79"/>
      <c r="D656" s="79"/>
      <c r="E656" s="79"/>
      <c r="F656" s="79"/>
      <c r="G656" s="79"/>
      <c r="H656" s="79"/>
      <c r="I656" s="79"/>
      <c r="J656" s="79"/>
      <c r="K656" s="79"/>
    </row>
    <row r="657">
      <c r="C657" s="79"/>
      <c r="D657" s="79"/>
      <c r="E657" s="79"/>
      <c r="F657" s="79"/>
      <c r="G657" s="79"/>
      <c r="H657" s="79"/>
      <c r="I657" s="79"/>
      <c r="J657" s="79"/>
      <c r="K657" s="79"/>
    </row>
    <row r="658">
      <c r="C658" s="79"/>
      <c r="D658" s="79"/>
      <c r="E658" s="79"/>
      <c r="F658" s="79"/>
      <c r="G658" s="79"/>
      <c r="H658" s="79"/>
      <c r="I658" s="79"/>
      <c r="J658" s="79"/>
      <c r="K658" s="79"/>
    </row>
    <row r="659">
      <c r="C659" s="79"/>
      <c r="D659" s="79"/>
      <c r="E659" s="79"/>
      <c r="F659" s="79"/>
      <c r="G659" s="79"/>
      <c r="H659" s="79"/>
      <c r="I659" s="79"/>
      <c r="J659" s="79"/>
      <c r="K659" s="79"/>
    </row>
    <row r="660">
      <c r="C660" s="79"/>
      <c r="D660" s="79"/>
      <c r="E660" s="79"/>
      <c r="F660" s="79"/>
      <c r="G660" s="79"/>
      <c r="H660" s="79"/>
      <c r="I660" s="79"/>
      <c r="J660" s="79"/>
      <c r="K660" s="79"/>
    </row>
    <row r="661">
      <c r="C661" s="79"/>
      <c r="D661" s="79"/>
      <c r="E661" s="79"/>
      <c r="F661" s="79"/>
      <c r="G661" s="79"/>
      <c r="H661" s="79"/>
      <c r="I661" s="79"/>
      <c r="J661" s="79"/>
      <c r="K661" s="79"/>
    </row>
    <row r="662">
      <c r="C662" s="79"/>
      <c r="D662" s="79"/>
      <c r="E662" s="79"/>
      <c r="F662" s="79"/>
      <c r="G662" s="79"/>
      <c r="H662" s="79"/>
      <c r="I662" s="79"/>
      <c r="J662" s="79"/>
      <c r="K662" s="79"/>
    </row>
    <row r="663">
      <c r="C663" s="79"/>
      <c r="D663" s="79"/>
      <c r="E663" s="79"/>
      <c r="F663" s="79"/>
      <c r="G663" s="79"/>
      <c r="H663" s="79"/>
      <c r="I663" s="79"/>
      <c r="J663" s="79"/>
      <c r="K663" s="79"/>
    </row>
    <row r="664">
      <c r="C664" s="79"/>
      <c r="D664" s="79"/>
      <c r="E664" s="79"/>
      <c r="F664" s="79"/>
      <c r="G664" s="79"/>
      <c r="H664" s="79"/>
      <c r="I664" s="79"/>
      <c r="J664" s="79"/>
      <c r="K664" s="79"/>
    </row>
    <row r="665">
      <c r="C665" s="79"/>
      <c r="D665" s="79"/>
      <c r="E665" s="79"/>
      <c r="F665" s="79"/>
      <c r="G665" s="79"/>
      <c r="H665" s="79"/>
      <c r="I665" s="79"/>
      <c r="J665" s="79"/>
      <c r="K665" s="79"/>
    </row>
    <row r="666">
      <c r="C666" s="79"/>
      <c r="D666" s="79"/>
      <c r="E666" s="79"/>
      <c r="F666" s="79"/>
      <c r="G666" s="79"/>
      <c r="H666" s="79"/>
      <c r="I666" s="79"/>
      <c r="J666" s="79"/>
      <c r="K666" s="79"/>
    </row>
    <row r="667">
      <c r="C667" s="79"/>
      <c r="D667" s="79"/>
      <c r="E667" s="79"/>
      <c r="F667" s="79"/>
      <c r="G667" s="79"/>
      <c r="H667" s="79"/>
      <c r="I667" s="79"/>
      <c r="J667" s="79"/>
      <c r="K667" s="79"/>
    </row>
    <row r="668">
      <c r="C668" s="79"/>
      <c r="D668" s="79"/>
      <c r="E668" s="79"/>
      <c r="F668" s="79"/>
      <c r="G668" s="79"/>
      <c r="H668" s="79"/>
      <c r="I668" s="79"/>
      <c r="J668" s="79"/>
      <c r="K668" s="79"/>
    </row>
    <row r="669">
      <c r="C669" s="79"/>
      <c r="D669" s="79"/>
      <c r="E669" s="79"/>
      <c r="F669" s="79"/>
      <c r="G669" s="79"/>
      <c r="H669" s="79"/>
      <c r="I669" s="79"/>
      <c r="J669" s="79"/>
      <c r="K669" s="79"/>
    </row>
    <row r="670">
      <c r="C670" s="79"/>
      <c r="D670" s="79"/>
      <c r="E670" s="79"/>
      <c r="F670" s="79"/>
      <c r="G670" s="79"/>
      <c r="H670" s="79"/>
      <c r="I670" s="79"/>
      <c r="J670" s="79"/>
      <c r="K670" s="79"/>
    </row>
    <row r="671">
      <c r="C671" s="79"/>
      <c r="D671" s="79"/>
      <c r="E671" s="79"/>
      <c r="F671" s="79"/>
      <c r="G671" s="79"/>
      <c r="H671" s="79"/>
      <c r="I671" s="79"/>
      <c r="J671" s="79"/>
      <c r="K671" s="79"/>
    </row>
    <row r="672">
      <c r="C672" s="79"/>
      <c r="D672" s="79"/>
      <c r="E672" s="79"/>
      <c r="F672" s="79"/>
      <c r="G672" s="79"/>
      <c r="H672" s="79"/>
      <c r="I672" s="79"/>
      <c r="J672" s="79"/>
      <c r="K672" s="79"/>
    </row>
    <row r="673">
      <c r="C673" s="79"/>
      <c r="D673" s="79"/>
      <c r="E673" s="79"/>
      <c r="F673" s="79"/>
      <c r="G673" s="79"/>
      <c r="H673" s="79"/>
      <c r="I673" s="79"/>
      <c r="J673" s="79"/>
      <c r="K673" s="79"/>
    </row>
    <row r="674">
      <c r="C674" s="79"/>
      <c r="D674" s="79"/>
      <c r="E674" s="79"/>
      <c r="F674" s="79"/>
      <c r="G674" s="79"/>
      <c r="H674" s="79"/>
      <c r="I674" s="79"/>
      <c r="J674" s="79"/>
      <c r="K674" s="79"/>
    </row>
    <row r="675">
      <c r="C675" s="79"/>
      <c r="D675" s="79"/>
      <c r="E675" s="79"/>
      <c r="F675" s="79"/>
      <c r="G675" s="79"/>
      <c r="H675" s="79"/>
      <c r="I675" s="79"/>
      <c r="J675" s="79"/>
      <c r="K675" s="79"/>
    </row>
    <row r="676">
      <c r="C676" s="79"/>
      <c r="D676" s="79"/>
      <c r="E676" s="79"/>
      <c r="F676" s="79"/>
      <c r="G676" s="79"/>
      <c r="H676" s="79"/>
      <c r="I676" s="79"/>
      <c r="J676" s="79"/>
      <c r="K676" s="79"/>
    </row>
    <row r="677">
      <c r="C677" s="79"/>
      <c r="D677" s="79"/>
      <c r="E677" s="79"/>
      <c r="F677" s="79"/>
      <c r="G677" s="79"/>
      <c r="H677" s="79"/>
      <c r="I677" s="79"/>
      <c r="J677" s="79"/>
      <c r="K677" s="79"/>
    </row>
    <row r="678">
      <c r="C678" s="79"/>
      <c r="D678" s="79"/>
      <c r="E678" s="79"/>
      <c r="F678" s="79"/>
      <c r="G678" s="79"/>
      <c r="H678" s="79"/>
      <c r="I678" s="79"/>
      <c r="J678" s="79"/>
      <c r="K678" s="79"/>
    </row>
    <row r="679">
      <c r="C679" s="79"/>
      <c r="D679" s="79"/>
      <c r="E679" s="79"/>
      <c r="F679" s="79"/>
      <c r="G679" s="79"/>
      <c r="H679" s="79"/>
      <c r="I679" s="79"/>
      <c r="J679" s="79"/>
      <c r="K679" s="79"/>
    </row>
    <row r="680">
      <c r="C680" s="79"/>
      <c r="D680" s="79"/>
      <c r="E680" s="79"/>
      <c r="F680" s="79"/>
      <c r="G680" s="79"/>
      <c r="H680" s="79"/>
      <c r="I680" s="79"/>
      <c r="J680" s="79"/>
      <c r="K680" s="79"/>
    </row>
    <row r="681">
      <c r="C681" s="79"/>
      <c r="D681" s="79"/>
      <c r="E681" s="79"/>
      <c r="F681" s="79"/>
      <c r="G681" s="79"/>
      <c r="H681" s="79"/>
      <c r="I681" s="79"/>
      <c r="J681" s="79"/>
      <c r="K681" s="79"/>
    </row>
    <row r="682">
      <c r="C682" s="79"/>
      <c r="D682" s="79"/>
      <c r="E682" s="79"/>
      <c r="F682" s="79"/>
      <c r="G682" s="79"/>
      <c r="H682" s="79"/>
      <c r="I682" s="79"/>
      <c r="J682" s="79"/>
      <c r="K682" s="79"/>
    </row>
    <row r="683">
      <c r="C683" s="79"/>
      <c r="D683" s="79"/>
      <c r="E683" s="79"/>
      <c r="F683" s="79"/>
      <c r="G683" s="79"/>
      <c r="H683" s="79"/>
      <c r="I683" s="79"/>
      <c r="J683" s="79"/>
      <c r="K683" s="79"/>
    </row>
    <row r="684">
      <c r="C684" s="79"/>
      <c r="D684" s="79"/>
      <c r="E684" s="79"/>
      <c r="F684" s="79"/>
      <c r="G684" s="79"/>
      <c r="H684" s="79"/>
      <c r="I684" s="79"/>
      <c r="J684" s="79"/>
      <c r="K684" s="79"/>
    </row>
    <row r="685">
      <c r="C685" s="79"/>
      <c r="D685" s="79"/>
      <c r="E685" s="79"/>
      <c r="F685" s="79"/>
      <c r="G685" s="79"/>
      <c r="H685" s="79"/>
      <c r="I685" s="79"/>
      <c r="J685" s="79"/>
      <c r="K685" s="79"/>
    </row>
    <row r="686">
      <c r="C686" s="79"/>
      <c r="D686" s="79"/>
      <c r="E686" s="79"/>
      <c r="F686" s="79"/>
      <c r="G686" s="79"/>
      <c r="H686" s="79"/>
      <c r="I686" s="79"/>
      <c r="J686" s="79"/>
      <c r="K686" s="79"/>
    </row>
    <row r="687">
      <c r="C687" s="79"/>
      <c r="D687" s="79"/>
      <c r="E687" s="79"/>
      <c r="F687" s="79"/>
      <c r="G687" s="79"/>
      <c r="H687" s="79"/>
      <c r="I687" s="79"/>
      <c r="J687" s="79"/>
      <c r="K687" s="79"/>
    </row>
    <row r="688">
      <c r="C688" s="79"/>
      <c r="D688" s="79"/>
      <c r="E688" s="79"/>
      <c r="F688" s="79"/>
      <c r="G688" s="79"/>
      <c r="H688" s="79"/>
      <c r="I688" s="79"/>
      <c r="J688" s="79"/>
      <c r="K688" s="79"/>
    </row>
    <row r="689">
      <c r="C689" s="79"/>
      <c r="D689" s="79"/>
      <c r="E689" s="79"/>
      <c r="F689" s="79"/>
      <c r="G689" s="79"/>
      <c r="H689" s="79"/>
      <c r="I689" s="79"/>
      <c r="J689" s="79"/>
      <c r="K689" s="79"/>
    </row>
    <row r="690">
      <c r="C690" s="79"/>
      <c r="D690" s="79"/>
      <c r="E690" s="79"/>
      <c r="F690" s="79"/>
      <c r="G690" s="79"/>
      <c r="H690" s="79"/>
      <c r="I690" s="79"/>
      <c r="J690" s="79"/>
      <c r="K690" s="79"/>
    </row>
    <row r="691">
      <c r="C691" s="79"/>
      <c r="D691" s="79"/>
      <c r="E691" s="79"/>
      <c r="F691" s="79"/>
      <c r="G691" s="79"/>
      <c r="H691" s="79"/>
      <c r="I691" s="79"/>
      <c r="J691" s="79"/>
      <c r="K691" s="79"/>
    </row>
    <row r="692">
      <c r="C692" s="79"/>
      <c r="D692" s="79"/>
      <c r="E692" s="79"/>
      <c r="F692" s="79"/>
      <c r="G692" s="79"/>
      <c r="H692" s="79"/>
      <c r="I692" s="79"/>
      <c r="J692" s="79"/>
      <c r="K692" s="79"/>
    </row>
    <row r="693">
      <c r="C693" s="79"/>
      <c r="D693" s="79"/>
      <c r="E693" s="79"/>
      <c r="F693" s="79"/>
      <c r="G693" s="79"/>
      <c r="H693" s="79"/>
      <c r="I693" s="79"/>
      <c r="J693" s="79"/>
      <c r="K693" s="79"/>
    </row>
    <row r="694">
      <c r="C694" s="79"/>
      <c r="D694" s="79"/>
      <c r="E694" s="79"/>
      <c r="F694" s="79"/>
      <c r="G694" s="79"/>
      <c r="H694" s="79"/>
      <c r="I694" s="79"/>
      <c r="J694" s="79"/>
      <c r="K694" s="79"/>
    </row>
    <row r="695">
      <c r="C695" s="79"/>
      <c r="D695" s="79"/>
      <c r="E695" s="79"/>
      <c r="F695" s="79"/>
      <c r="G695" s="79"/>
      <c r="H695" s="79"/>
      <c r="I695" s="79"/>
      <c r="J695" s="79"/>
      <c r="K695" s="79"/>
    </row>
    <row r="696">
      <c r="C696" s="79"/>
      <c r="D696" s="79"/>
      <c r="E696" s="79"/>
      <c r="F696" s="79"/>
      <c r="G696" s="79"/>
      <c r="H696" s="79"/>
      <c r="I696" s="79"/>
      <c r="J696" s="79"/>
      <c r="K696" s="79"/>
    </row>
    <row r="697">
      <c r="C697" s="79"/>
      <c r="D697" s="79"/>
      <c r="E697" s="79"/>
      <c r="F697" s="79"/>
      <c r="G697" s="79"/>
      <c r="H697" s="79"/>
      <c r="I697" s="79"/>
      <c r="J697" s="79"/>
      <c r="K697" s="79"/>
    </row>
    <row r="698">
      <c r="C698" s="79"/>
      <c r="D698" s="79"/>
      <c r="E698" s="79"/>
      <c r="F698" s="79"/>
      <c r="G698" s="79"/>
      <c r="H698" s="79"/>
      <c r="I698" s="79"/>
      <c r="J698" s="79"/>
      <c r="K698" s="79"/>
    </row>
    <row r="699">
      <c r="C699" s="79"/>
      <c r="D699" s="79"/>
      <c r="E699" s="79"/>
      <c r="F699" s="79"/>
      <c r="G699" s="79"/>
      <c r="H699" s="79"/>
      <c r="I699" s="79"/>
      <c r="J699" s="79"/>
      <c r="K699" s="79"/>
    </row>
    <row r="700">
      <c r="C700" s="79"/>
      <c r="D700" s="79"/>
      <c r="E700" s="79"/>
      <c r="F700" s="79"/>
      <c r="G700" s="79"/>
      <c r="H700" s="79"/>
      <c r="I700" s="79"/>
      <c r="J700" s="79"/>
      <c r="K700" s="79"/>
    </row>
    <row r="701">
      <c r="C701" s="79"/>
      <c r="D701" s="79"/>
      <c r="E701" s="79"/>
      <c r="F701" s="79"/>
      <c r="G701" s="79"/>
      <c r="H701" s="79"/>
      <c r="I701" s="79"/>
      <c r="J701" s="79"/>
      <c r="K701" s="79"/>
    </row>
    <row r="702">
      <c r="C702" s="79"/>
      <c r="D702" s="79"/>
      <c r="E702" s="79"/>
      <c r="F702" s="79"/>
      <c r="G702" s="79"/>
      <c r="H702" s="79"/>
      <c r="I702" s="79"/>
      <c r="J702" s="79"/>
      <c r="K702" s="79"/>
    </row>
    <row r="703">
      <c r="C703" s="79"/>
      <c r="D703" s="79"/>
      <c r="E703" s="79"/>
      <c r="F703" s="79"/>
      <c r="G703" s="79"/>
      <c r="H703" s="79"/>
      <c r="I703" s="79"/>
      <c r="J703" s="79"/>
      <c r="K703" s="79"/>
    </row>
    <row r="704">
      <c r="C704" s="79"/>
      <c r="D704" s="79"/>
      <c r="E704" s="79"/>
      <c r="F704" s="79"/>
      <c r="G704" s="79"/>
      <c r="H704" s="79"/>
      <c r="I704" s="79"/>
      <c r="J704" s="79"/>
      <c r="K704" s="79"/>
    </row>
    <row r="705">
      <c r="C705" s="79"/>
      <c r="D705" s="79"/>
      <c r="E705" s="79"/>
      <c r="F705" s="79"/>
      <c r="G705" s="79"/>
      <c r="H705" s="79"/>
      <c r="I705" s="79"/>
      <c r="J705" s="79"/>
      <c r="K705" s="79"/>
    </row>
    <row r="706">
      <c r="C706" s="79"/>
      <c r="D706" s="79"/>
      <c r="E706" s="79"/>
      <c r="F706" s="79"/>
      <c r="G706" s="79"/>
      <c r="H706" s="79"/>
      <c r="I706" s="79"/>
      <c r="J706" s="79"/>
      <c r="K706" s="79"/>
    </row>
    <row r="707">
      <c r="C707" s="79"/>
      <c r="D707" s="79"/>
      <c r="E707" s="79"/>
      <c r="F707" s="79"/>
      <c r="G707" s="79"/>
      <c r="H707" s="79"/>
      <c r="I707" s="79"/>
      <c r="J707" s="79"/>
      <c r="K707" s="79"/>
    </row>
    <row r="708">
      <c r="C708" s="79"/>
      <c r="D708" s="79"/>
      <c r="E708" s="79"/>
      <c r="F708" s="79"/>
      <c r="G708" s="79"/>
      <c r="H708" s="79"/>
      <c r="I708" s="79"/>
      <c r="J708" s="79"/>
      <c r="K708" s="79"/>
    </row>
    <row r="709">
      <c r="C709" s="79"/>
      <c r="D709" s="79"/>
      <c r="E709" s="79"/>
      <c r="F709" s="79"/>
      <c r="G709" s="79"/>
      <c r="H709" s="79"/>
      <c r="I709" s="79"/>
      <c r="J709" s="79"/>
      <c r="K709" s="79"/>
    </row>
    <row r="710">
      <c r="C710" s="79"/>
      <c r="D710" s="79"/>
      <c r="E710" s="79"/>
      <c r="F710" s="79"/>
      <c r="G710" s="79"/>
      <c r="H710" s="79"/>
      <c r="I710" s="79"/>
      <c r="J710" s="79"/>
      <c r="K710" s="79"/>
    </row>
    <row r="711">
      <c r="C711" s="79"/>
      <c r="D711" s="79"/>
      <c r="E711" s="79"/>
      <c r="F711" s="79"/>
      <c r="G711" s="79"/>
      <c r="H711" s="79"/>
      <c r="I711" s="79"/>
      <c r="J711" s="79"/>
      <c r="K711" s="79"/>
    </row>
    <row r="712">
      <c r="C712" s="79"/>
      <c r="D712" s="79"/>
      <c r="E712" s="79"/>
      <c r="F712" s="79"/>
      <c r="G712" s="79"/>
      <c r="H712" s="79"/>
      <c r="I712" s="79"/>
      <c r="J712" s="79"/>
      <c r="K712" s="79"/>
    </row>
    <row r="713">
      <c r="C713" s="79"/>
      <c r="D713" s="79"/>
      <c r="E713" s="79"/>
      <c r="F713" s="79"/>
      <c r="G713" s="79"/>
      <c r="H713" s="79"/>
      <c r="I713" s="79"/>
      <c r="J713" s="79"/>
      <c r="K713" s="79"/>
    </row>
    <row r="714">
      <c r="C714" s="79"/>
      <c r="D714" s="79"/>
      <c r="E714" s="79"/>
      <c r="F714" s="79"/>
      <c r="G714" s="79"/>
      <c r="H714" s="79"/>
      <c r="I714" s="79"/>
      <c r="J714" s="79"/>
      <c r="K714" s="79"/>
    </row>
    <row r="715">
      <c r="C715" s="79"/>
      <c r="D715" s="79"/>
      <c r="E715" s="79"/>
      <c r="F715" s="79"/>
      <c r="G715" s="79"/>
      <c r="H715" s="79"/>
      <c r="I715" s="79"/>
      <c r="J715" s="79"/>
      <c r="K715" s="79"/>
    </row>
    <row r="716">
      <c r="C716" s="79"/>
      <c r="D716" s="79"/>
      <c r="E716" s="79"/>
      <c r="F716" s="79"/>
      <c r="G716" s="79"/>
      <c r="H716" s="79"/>
      <c r="I716" s="79"/>
      <c r="J716" s="79"/>
      <c r="K716" s="79"/>
    </row>
    <row r="717">
      <c r="C717" s="79"/>
      <c r="D717" s="79"/>
      <c r="E717" s="79"/>
      <c r="F717" s="79"/>
      <c r="G717" s="79"/>
      <c r="H717" s="79"/>
      <c r="I717" s="79"/>
      <c r="J717" s="79"/>
      <c r="K717" s="79"/>
    </row>
    <row r="718">
      <c r="C718" s="79"/>
      <c r="D718" s="79"/>
      <c r="E718" s="79"/>
      <c r="F718" s="79"/>
      <c r="G718" s="79"/>
      <c r="H718" s="79"/>
      <c r="I718" s="79"/>
      <c r="J718" s="79"/>
      <c r="K718" s="79"/>
    </row>
    <row r="719">
      <c r="C719" s="79"/>
      <c r="D719" s="79"/>
      <c r="E719" s="79"/>
      <c r="F719" s="79"/>
      <c r="G719" s="79"/>
      <c r="H719" s="79"/>
      <c r="I719" s="79"/>
      <c r="J719" s="79"/>
      <c r="K719" s="79"/>
    </row>
    <row r="720">
      <c r="C720" s="79"/>
      <c r="D720" s="79"/>
      <c r="E720" s="79"/>
      <c r="F720" s="79"/>
      <c r="G720" s="79"/>
      <c r="H720" s="79"/>
      <c r="I720" s="79"/>
      <c r="J720" s="79"/>
      <c r="K720" s="79"/>
    </row>
    <row r="721">
      <c r="C721" s="79"/>
      <c r="D721" s="79"/>
      <c r="E721" s="79"/>
      <c r="F721" s="79"/>
      <c r="G721" s="79"/>
      <c r="H721" s="79"/>
      <c r="I721" s="79"/>
      <c r="J721" s="79"/>
      <c r="K721" s="79"/>
    </row>
    <row r="722">
      <c r="C722" s="79"/>
      <c r="D722" s="79"/>
      <c r="E722" s="79"/>
      <c r="F722" s="79"/>
      <c r="G722" s="79"/>
      <c r="H722" s="79"/>
      <c r="I722" s="79"/>
      <c r="J722" s="79"/>
      <c r="K722" s="79"/>
    </row>
    <row r="723">
      <c r="C723" s="79"/>
      <c r="D723" s="79"/>
      <c r="E723" s="79"/>
      <c r="F723" s="79"/>
      <c r="G723" s="79"/>
      <c r="H723" s="79"/>
      <c r="I723" s="79"/>
      <c r="J723" s="79"/>
      <c r="K723" s="79"/>
    </row>
    <row r="724">
      <c r="C724" s="79"/>
      <c r="D724" s="79"/>
      <c r="E724" s="79"/>
      <c r="F724" s="79"/>
      <c r="G724" s="79"/>
      <c r="H724" s="79"/>
      <c r="I724" s="79"/>
      <c r="J724" s="79"/>
      <c r="K724" s="79"/>
    </row>
    <row r="725">
      <c r="C725" s="79"/>
      <c r="D725" s="79"/>
      <c r="E725" s="79"/>
      <c r="F725" s="79"/>
      <c r="G725" s="79"/>
      <c r="H725" s="79"/>
      <c r="I725" s="79"/>
      <c r="J725" s="79"/>
      <c r="K725" s="79"/>
    </row>
    <row r="726">
      <c r="C726" s="79"/>
      <c r="D726" s="79"/>
      <c r="E726" s="79"/>
      <c r="F726" s="79"/>
      <c r="G726" s="79"/>
      <c r="H726" s="79"/>
      <c r="I726" s="79"/>
      <c r="J726" s="79"/>
      <c r="K726" s="79"/>
    </row>
    <row r="727">
      <c r="C727" s="79"/>
      <c r="D727" s="79"/>
      <c r="E727" s="79"/>
      <c r="F727" s="79"/>
      <c r="G727" s="79"/>
      <c r="H727" s="79"/>
      <c r="I727" s="79"/>
      <c r="J727" s="79"/>
      <c r="K727" s="79"/>
    </row>
    <row r="728">
      <c r="C728" s="79"/>
      <c r="D728" s="79"/>
      <c r="E728" s="79"/>
      <c r="F728" s="79"/>
      <c r="G728" s="79"/>
      <c r="H728" s="79"/>
      <c r="I728" s="79"/>
      <c r="J728" s="79"/>
      <c r="K728" s="79"/>
    </row>
    <row r="729">
      <c r="C729" s="79"/>
      <c r="D729" s="79"/>
      <c r="E729" s="79"/>
      <c r="F729" s="79"/>
      <c r="G729" s="79"/>
      <c r="H729" s="79"/>
      <c r="I729" s="79"/>
      <c r="J729" s="79"/>
      <c r="K729" s="79"/>
    </row>
    <row r="730">
      <c r="C730" s="79"/>
      <c r="D730" s="79"/>
      <c r="E730" s="79"/>
      <c r="F730" s="79"/>
      <c r="G730" s="79"/>
      <c r="H730" s="79"/>
      <c r="I730" s="79"/>
      <c r="J730" s="79"/>
      <c r="K730" s="79"/>
    </row>
    <row r="731">
      <c r="C731" s="79"/>
      <c r="D731" s="79"/>
      <c r="E731" s="79"/>
      <c r="F731" s="79"/>
      <c r="G731" s="79"/>
      <c r="H731" s="79"/>
      <c r="I731" s="79"/>
      <c r="J731" s="79"/>
      <c r="K731" s="79"/>
    </row>
    <row r="732">
      <c r="C732" s="79"/>
      <c r="D732" s="79"/>
      <c r="E732" s="79"/>
      <c r="F732" s="79"/>
      <c r="G732" s="79"/>
      <c r="H732" s="79"/>
      <c r="I732" s="79"/>
      <c r="J732" s="79"/>
      <c r="K732" s="79"/>
    </row>
    <row r="733">
      <c r="C733" s="79"/>
      <c r="D733" s="79"/>
      <c r="E733" s="79"/>
      <c r="F733" s="79"/>
      <c r="G733" s="79"/>
      <c r="H733" s="79"/>
      <c r="I733" s="79"/>
      <c r="J733" s="79"/>
      <c r="K733" s="79"/>
    </row>
    <row r="734">
      <c r="C734" s="79"/>
      <c r="D734" s="79"/>
      <c r="E734" s="79"/>
      <c r="F734" s="79"/>
      <c r="G734" s="79"/>
      <c r="H734" s="79"/>
      <c r="I734" s="79"/>
      <c r="J734" s="79"/>
      <c r="K734" s="79"/>
    </row>
    <row r="735">
      <c r="C735" s="79"/>
      <c r="D735" s="79"/>
      <c r="E735" s="79"/>
      <c r="F735" s="79"/>
      <c r="G735" s="79"/>
      <c r="H735" s="79"/>
      <c r="I735" s="79"/>
      <c r="J735" s="79"/>
      <c r="K735" s="79"/>
    </row>
    <row r="736">
      <c r="C736" s="79"/>
      <c r="D736" s="79"/>
      <c r="E736" s="79"/>
      <c r="F736" s="79"/>
      <c r="G736" s="79"/>
      <c r="H736" s="79"/>
      <c r="I736" s="79"/>
      <c r="J736" s="79"/>
      <c r="K736" s="79"/>
    </row>
    <row r="737">
      <c r="C737" s="79"/>
      <c r="D737" s="79"/>
      <c r="E737" s="79"/>
      <c r="F737" s="79"/>
      <c r="G737" s="79"/>
      <c r="H737" s="79"/>
      <c r="I737" s="79"/>
      <c r="J737" s="79"/>
      <c r="K737" s="79"/>
    </row>
    <row r="738">
      <c r="C738" s="79"/>
      <c r="D738" s="79"/>
      <c r="E738" s="79"/>
      <c r="F738" s="79"/>
      <c r="G738" s="79"/>
      <c r="H738" s="79"/>
      <c r="I738" s="79"/>
      <c r="J738" s="79"/>
      <c r="K738" s="79"/>
    </row>
    <row r="739">
      <c r="C739" s="79"/>
      <c r="D739" s="79"/>
      <c r="E739" s="79"/>
      <c r="F739" s="79"/>
      <c r="G739" s="79"/>
      <c r="H739" s="79"/>
      <c r="I739" s="79"/>
      <c r="J739" s="79"/>
      <c r="K739" s="79"/>
    </row>
    <row r="740">
      <c r="C740" s="79"/>
      <c r="D740" s="79"/>
      <c r="E740" s="79"/>
      <c r="F740" s="79"/>
      <c r="G740" s="79"/>
      <c r="H740" s="79"/>
      <c r="I740" s="79"/>
      <c r="J740" s="79"/>
      <c r="K740" s="79"/>
    </row>
    <row r="741">
      <c r="C741" s="79"/>
      <c r="D741" s="79"/>
      <c r="E741" s="79"/>
      <c r="F741" s="79"/>
      <c r="G741" s="79"/>
      <c r="H741" s="79"/>
      <c r="I741" s="79"/>
      <c r="J741" s="79"/>
      <c r="K741" s="79"/>
    </row>
    <row r="742">
      <c r="C742" s="79"/>
      <c r="D742" s="79"/>
      <c r="E742" s="79"/>
      <c r="F742" s="79"/>
      <c r="G742" s="79"/>
      <c r="H742" s="79"/>
      <c r="I742" s="79"/>
      <c r="J742" s="79"/>
      <c r="K742" s="79"/>
    </row>
    <row r="743">
      <c r="C743" s="79"/>
      <c r="D743" s="79"/>
      <c r="E743" s="79"/>
      <c r="F743" s="79"/>
      <c r="G743" s="79"/>
      <c r="H743" s="79"/>
      <c r="I743" s="79"/>
      <c r="J743" s="79"/>
      <c r="K743" s="79"/>
    </row>
    <row r="744">
      <c r="C744" s="79"/>
      <c r="D744" s="79"/>
      <c r="E744" s="79"/>
      <c r="F744" s="79"/>
      <c r="G744" s="79"/>
      <c r="H744" s="79"/>
      <c r="I744" s="79"/>
      <c r="J744" s="79"/>
      <c r="K744" s="79"/>
    </row>
    <row r="745">
      <c r="C745" s="79"/>
      <c r="D745" s="79"/>
      <c r="E745" s="79"/>
      <c r="F745" s="79"/>
      <c r="G745" s="79"/>
      <c r="H745" s="79"/>
      <c r="I745" s="79"/>
      <c r="J745" s="79"/>
      <c r="K745" s="79"/>
    </row>
    <row r="746">
      <c r="C746" s="79"/>
      <c r="D746" s="79"/>
      <c r="E746" s="79"/>
      <c r="F746" s="79"/>
      <c r="G746" s="79"/>
      <c r="H746" s="79"/>
      <c r="I746" s="79"/>
      <c r="J746" s="79"/>
      <c r="K746" s="79"/>
    </row>
    <row r="747">
      <c r="C747" s="79"/>
      <c r="D747" s="79"/>
      <c r="E747" s="79"/>
      <c r="F747" s="79"/>
      <c r="G747" s="79"/>
      <c r="H747" s="79"/>
      <c r="I747" s="79"/>
      <c r="J747" s="79"/>
      <c r="K747" s="79"/>
    </row>
    <row r="748">
      <c r="C748" s="79"/>
      <c r="D748" s="79"/>
      <c r="E748" s="79"/>
      <c r="F748" s="79"/>
      <c r="G748" s="79"/>
      <c r="H748" s="79"/>
      <c r="I748" s="79"/>
      <c r="J748" s="79"/>
      <c r="K748" s="79"/>
    </row>
    <row r="749">
      <c r="C749" s="79"/>
      <c r="D749" s="79"/>
      <c r="E749" s="79"/>
      <c r="F749" s="79"/>
      <c r="G749" s="79"/>
      <c r="H749" s="79"/>
      <c r="I749" s="79"/>
      <c r="J749" s="79"/>
      <c r="K749" s="79"/>
    </row>
    <row r="750">
      <c r="C750" s="79"/>
      <c r="D750" s="79"/>
      <c r="E750" s="79"/>
      <c r="F750" s="79"/>
      <c r="G750" s="79"/>
      <c r="H750" s="79"/>
      <c r="I750" s="79"/>
      <c r="J750" s="79"/>
      <c r="K750" s="79"/>
    </row>
    <row r="751">
      <c r="C751" s="79"/>
      <c r="D751" s="79"/>
      <c r="E751" s="79"/>
      <c r="F751" s="79"/>
      <c r="G751" s="79"/>
      <c r="H751" s="79"/>
      <c r="I751" s="79"/>
      <c r="J751" s="79"/>
      <c r="K751" s="79"/>
    </row>
    <row r="752">
      <c r="C752" s="79"/>
      <c r="D752" s="79"/>
      <c r="E752" s="79"/>
      <c r="F752" s="79"/>
      <c r="G752" s="79"/>
      <c r="H752" s="79"/>
      <c r="I752" s="79"/>
      <c r="J752" s="79"/>
      <c r="K752" s="79"/>
    </row>
    <row r="753">
      <c r="C753" s="79"/>
      <c r="D753" s="79"/>
      <c r="E753" s="79"/>
      <c r="F753" s="79"/>
      <c r="G753" s="79"/>
      <c r="H753" s="79"/>
      <c r="I753" s="79"/>
      <c r="J753" s="79"/>
      <c r="K753" s="79"/>
    </row>
    <row r="754">
      <c r="C754" s="79"/>
      <c r="D754" s="79"/>
      <c r="E754" s="79"/>
      <c r="F754" s="79"/>
      <c r="G754" s="79"/>
      <c r="H754" s="79"/>
      <c r="I754" s="79"/>
      <c r="J754" s="79"/>
      <c r="K754" s="79"/>
    </row>
    <row r="755">
      <c r="C755" s="79"/>
      <c r="D755" s="79"/>
      <c r="E755" s="79"/>
      <c r="F755" s="79"/>
      <c r="G755" s="79"/>
      <c r="H755" s="79"/>
      <c r="I755" s="79"/>
      <c r="J755" s="79"/>
      <c r="K755" s="79"/>
    </row>
    <row r="756">
      <c r="C756" s="79"/>
      <c r="D756" s="79"/>
      <c r="E756" s="79"/>
      <c r="F756" s="79"/>
      <c r="G756" s="79"/>
      <c r="H756" s="79"/>
      <c r="I756" s="79"/>
      <c r="J756" s="79"/>
      <c r="K756" s="79"/>
    </row>
    <row r="757">
      <c r="C757" s="79"/>
      <c r="D757" s="79"/>
      <c r="E757" s="79"/>
      <c r="F757" s="79"/>
      <c r="G757" s="79"/>
      <c r="H757" s="79"/>
      <c r="I757" s="79"/>
      <c r="J757" s="79"/>
      <c r="K757" s="79"/>
    </row>
    <row r="758">
      <c r="C758" s="79"/>
      <c r="D758" s="79"/>
      <c r="E758" s="79"/>
      <c r="F758" s="79"/>
      <c r="G758" s="79"/>
      <c r="H758" s="79"/>
      <c r="I758" s="79"/>
      <c r="J758" s="79"/>
      <c r="K758" s="79"/>
    </row>
    <row r="759">
      <c r="C759" s="79"/>
      <c r="D759" s="79"/>
      <c r="E759" s="79"/>
      <c r="F759" s="79"/>
      <c r="G759" s="79"/>
      <c r="H759" s="79"/>
      <c r="I759" s="79"/>
      <c r="J759" s="79"/>
      <c r="K759" s="79"/>
    </row>
    <row r="760">
      <c r="C760" s="79"/>
      <c r="D760" s="79"/>
      <c r="E760" s="79"/>
      <c r="F760" s="79"/>
      <c r="G760" s="79"/>
      <c r="H760" s="79"/>
      <c r="I760" s="79"/>
      <c r="J760" s="79"/>
      <c r="K760" s="79"/>
    </row>
    <row r="761">
      <c r="C761" s="79"/>
      <c r="D761" s="79"/>
      <c r="E761" s="79"/>
      <c r="F761" s="79"/>
      <c r="G761" s="79"/>
      <c r="H761" s="79"/>
      <c r="I761" s="79"/>
      <c r="J761" s="79"/>
      <c r="K761" s="79"/>
    </row>
    <row r="762">
      <c r="C762" s="79"/>
      <c r="D762" s="79"/>
      <c r="E762" s="79"/>
      <c r="F762" s="79"/>
      <c r="G762" s="79"/>
      <c r="H762" s="79"/>
      <c r="I762" s="79"/>
      <c r="J762" s="79"/>
      <c r="K762" s="79"/>
    </row>
    <row r="763">
      <c r="C763" s="79"/>
      <c r="D763" s="79"/>
      <c r="E763" s="79"/>
      <c r="F763" s="79"/>
      <c r="G763" s="79"/>
      <c r="H763" s="79"/>
      <c r="I763" s="79"/>
      <c r="J763" s="79"/>
      <c r="K763" s="79"/>
    </row>
    <row r="764">
      <c r="C764" s="79"/>
      <c r="D764" s="79"/>
      <c r="E764" s="79"/>
      <c r="F764" s="79"/>
      <c r="G764" s="79"/>
      <c r="H764" s="79"/>
      <c r="I764" s="79"/>
      <c r="J764" s="79"/>
      <c r="K764" s="79"/>
    </row>
    <row r="765">
      <c r="C765" s="79"/>
      <c r="D765" s="79"/>
      <c r="E765" s="79"/>
      <c r="F765" s="79"/>
      <c r="G765" s="79"/>
      <c r="H765" s="79"/>
      <c r="I765" s="79"/>
      <c r="J765" s="79"/>
      <c r="K765" s="79"/>
    </row>
    <row r="766">
      <c r="C766" s="79"/>
      <c r="D766" s="79"/>
      <c r="E766" s="79"/>
      <c r="F766" s="79"/>
      <c r="G766" s="79"/>
      <c r="H766" s="79"/>
      <c r="I766" s="79"/>
      <c r="J766" s="79"/>
      <c r="K766" s="79"/>
    </row>
    <row r="767">
      <c r="C767" s="79"/>
      <c r="D767" s="79"/>
      <c r="E767" s="79"/>
      <c r="F767" s="79"/>
      <c r="G767" s="79"/>
      <c r="H767" s="79"/>
      <c r="I767" s="79"/>
      <c r="J767" s="79"/>
      <c r="K767" s="79"/>
    </row>
    <row r="768">
      <c r="C768" s="79"/>
      <c r="D768" s="79"/>
      <c r="E768" s="79"/>
      <c r="F768" s="79"/>
      <c r="G768" s="79"/>
      <c r="H768" s="79"/>
      <c r="I768" s="79"/>
      <c r="J768" s="79"/>
      <c r="K768" s="79"/>
    </row>
    <row r="769">
      <c r="C769" s="79"/>
      <c r="D769" s="79"/>
      <c r="E769" s="79"/>
      <c r="F769" s="79"/>
      <c r="G769" s="79"/>
      <c r="H769" s="79"/>
      <c r="I769" s="79"/>
      <c r="J769" s="79"/>
      <c r="K769" s="79"/>
    </row>
    <row r="770">
      <c r="C770" s="79"/>
      <c r="D770" s="79"/>
      <c r="E770" s="79"/>
      <c r="F770" s="79"/>
      <c r="G770" s="79"/>
      <c r="H770" s="79"/>
      <c r="I770" s="79"/>
      <c r="J770" s="79"/>
      <c r="K770" s="79"/>
    </row>
    <row r="771">
      <c r="C771" s="79"/>
      <c r="D771" s="79"/>
      <c r="E771" s="79"/>
      <c r="F771" s="79"/>
      <c r="G771" s="79"/>
      <c r="H771" s="79"/>
      <c r="I771" s="79"/>
      <c r="J771" s="79"/>
      <c r="K771" s="79"/>
    </row>
    <row r="772">
      <c r="C772" s="79"/>
      <c r="D772" s="79"/>
      <c r="E772" s="79"/>
      <c r="F772" s="79"/>
      <c r="G772" s="79"/>
      <c r="H772" s="79"/>
      <c r="I772" s="79"/>
      <c r="J772" s="79"/>
      <c r="K772" s="79"/>
    </row>
    <row r="773">
      <c r="C773" s="79"/>
      <c r="D773" s="79"/>
      <c r="E773" s="79"/>
      <c r="F773" s="79"/>
      <c r="G773" s="79"/>
      <c r="H773" s="79"/>
      <c r="I773" s="79"/>
      <c r="J773" s="79"/>
      <c r="K773" s="79"/>
    </row>
    <row r="774">
      <c r="C774" s="79"/>
      <c r="D774" s="79"/>
      <c r="E774" s="79"/>
      <c r="F774" s="79"/>
      <c r="G774" s="79"/>
      <c r="H774" s="79"/>
      <c r="I774" s="79"/>
      <c r="J774" s="79"/>
      <c r="K774" s="79"/>
    </row>
    <row r="775">
      <c r="C775" s="79"/>
      <c r="D775" s="79"/>
      <c r="E775" s="79"/>
      <c r="F775" s="79"/>
      <c r="G775" s="79"/>
      <c r="H775" s="79"/>
      <c r="I775" s="79"/>
      <c r="J775" s="79"/>
      <c r="K775" s="79"/>
    </row>
    <row r="776">
      <c r="C776" s="79"/>
      <c r="D776" s="79"/>
      <c r="E776" s="79"/>
      <c r="F776" s="79"/>
      <c r="G776" s="79"/>
      <c r="H776" s="79"/>
      <c r="I776" s="79"/>
      <c r="J776" s="79"/>
      <c r="K776" s="79"/>
    </row>
    <row r="777">
      <c r="C777" s="79"/>
      <c r="D777" s="79"/>
      <c r="E777" s="79"/>
      <c r="F777" s="79"/>
      <c r="G777" s="79"/>
      <c r="H777" s="79"/>
      <c r="I777" s="79"/>
      <c r="J777" s="79"/>
      <c r="K777" s="79"/>
    </row>
    <row r="778">
      <c r="C778" s="79"/>
      <c r="D778" s="79"/>
      <c r="E778" s="79"/>
      <c r="F778" s="79"/>
      <c r="G778" s="79"/>
      <c r="H778" s="79"/>
      <c r="I778" s="79"/>
      <c r="J778" s="79"/>
      <c r="K778" s="79"/>
    </row>
    <row r="779">
      <c r="C779" s="79"/>
      <c r="D779" s="79"/>
      <c r="E779" s="79"/>
      <c r="F779" s="79"/>
      <c r="G779" s="79"/>
      <c r="H779" s="79"/>
      <c r="I779" s="79"/>
      <c r="J779" s="79"/>
      <c r="K779" s="79"/>
    </row>
    <row r="780">
      <c r="C780" s="79"/>
      <c r="D780" s="79"/>
      <c r="E780" s="79"/>
      <c r="F780" s="79"/>
      <c r="G780" s="79"/>
      <c r="H780" s="79"/>
      <c r="I780" s="79"/>
      <c r="J780" s="79"/>
      <c r="K780" s="79"/>
    </row>
    <row r="781">
      <c r="C781" s="79"/>
      <c r="D781" s="79"/>
      <c r="E781" s="79"/>
      <c r="F781" s="79"/>
      <c r="G781" s="79"/>
      <c r="H781" s="79"/>
      <c r="I781" s="79"/>
      <c r="J781" s="79"/>
      <c r="K781" s="79"/>
    </row>
    <row r="782">
      <c r="C782" s="79"/>
      <c r="D782" s="79"/>
      <c r="E782" s="79"/>
      <c r="F782" s="79"/>
      <c r="G782" s="79"/>
      <c r="H782" s="79"/>
      <c r="I782" s="79"/>
      <c r="J782" s="79"/>
      <c r="K782" s="79"/>
    </row>
    <row r="783">
      <c r="C783" s="79"/>
      <c r="D783" s="79"/>
      <c r="E783" s="79"/>
      <c r="F783" s="79"/>
      <c r="G783" s="79"/>
      <c r="H783" s="79"/>
      <c r="I783" s="79"/>
      <c r="J783" s="79"/>
      <c r="K783" s="79"/>
    </row>
    <row r="784">
      <c r="C784" s="79"/>
      <c r="D784" s="79"/>
      <c r="E784" s="79"/>
      <c r="F784" s="79"/>
      <c r="G784" s="79"/>
      <c r="H784" s="79"/>
      <c r="I784" s="79"/>
      <c r="J784" s="79"/>
      <c r="K784" s="79"/>
    </row>
    <row r="785">
      <c r="C785" s="79"/>
      <c r="D785" s="79"/>
      <c r="E785" s="79"/>
      <c r="F785" s="79"/>
      <c r="G785" s="79"/>
      <c r="H785" s="79"/>
      <c r="I785" s="79"/>
      <c r="J785" s="79"/>
      <c r="K785" s="79"/>
    </row>
    <row r="786">
      <c r="C786" s="79"/>
      <c r="D786" s="79"/>
      <c r="E786" s="79"/>
      <c r="F786" s="79"/>
      <c r="G786" s="79"/>
      <c r="H786" s="79"/>
      <c r="I786" s="79"/>
      <c r="J786" s="79"/>
      <c r="K786" s="79"/>
    </row>
    <row r="787">
      <c r="C787" s="79"/>
      <c r="D787" s="79"/>
      <c r="E787" s="79"/>
      <c r="F787" s="79"/>
      <c r="G787" s="79"/>
      <c r="H787" s="79"/>
      <c r="I787" s="79"/>
      <c r="J787" s="79"/>
      <c r="K787" s="79"/>
    </row>
    <row r="788">
      <c r="C788" s="79"/>
      <c r="D788" s="79"/>
      <c r="E788" s="79"/>
      <c r="F788" s="79"/>
      <c r="G788" s="79"/>
      <c r="H788" s="79"/>
      <c r="I788" s="79"/>
      <c r="J788" s="79"/>
      <c r="K788" s="79"/>
    </row>
    <row r="789">
      <c r="C789" s="79"/>
      <c r="D789" s="79"/>
      <c r="E789" s="79"/>
      <c r="F789" s="79"/>
      <c r="G789" s="79"/>
      <c r="H789" s="79"/>
      <c r="I789" s="79"/>
      <c r="J789" s="79"/>
      <c r="K789" s="79"/>
    </row>
    <row r="790">
      <c r="C790" s="79"/>
      <c r="D790" s="79"/>
      <c r="E790" s="79"/>
      <c r="F790" s="79"/>
      <c r="G790" s="79"/>
      <c r="H790" s="79"/>
      <c r="I790" s="79"/>
      <c r="J790" s="79"/>
      <c r="K790" s="79"/>
    </row>
    <row r="791">
      <c r="C791" s="79"/>
      <c r="D791" s="79"/>
      <c r="E791" s="79"/>
      <c r="F791" s="79"/>
      <c r="G791" s="79"/>
      <c r="H791" s="79"/>
      <c r="I791" s="79"/>
      <c r="J791" s="79"/>
      <c r="K791" s="79"/>
    </row>
    <row r="792">
      <c r="C792" s="79"/>
      <c r="D792" s="79"/>
      <c r="E792" s="79"/>
      <c r="F792" s="79"/>
      <c r="G792" s="79"/>
      <c r="H792" s="79"/>
      <c r="I792" s="79"/>
      <c r="J792" s="79"/>
      <c r="K792" s="79"/>
    </row>
    <row r="793">
      <c r="C793" s="79"/>
      <c r="D793" s="79"/>
      <c r="E793" s="79"/>
      <c r="F793" s="79"/>
      <c r="G793" s="79"/>
      <c r="H793" s="79"/>
      <c r="I793" s="79"/>
      <c r="J793" s="79"/>
      <c r="K793" s="79"/>
    </row>
    <row r="794">
      <c r="C794" s="79"/>
      <c r="D794" s="79"/>
      <c r="E794" s="79"/>
      <c r="F794" s="79"/>
      <c r="G794" s="79"/>
      <c r="H794" s="79"/>
      <c r="I794" s="79"/>
      <c r="J794" s="79"/>
      <c r="K794" s="79"/>
    </row>
    <row r="795">
      <c r="C795" s="79"/>
      <c r="D795" s="79"/>
      <c r="E795" s="79"/>
      <c r="F795" s="79"/>
      <c r="G795" s="79"/>
      <c r="H795" s="79"/>
      <c r="I795" s="79"/>
      <c r="J795" s="79"/>
      <c r="K795" s="79"/>
    </row>
    <row r="796">
      <c r="C796" s="79"/>
      <c r="D796" s="79"/>
      <c r="E796" s="79"/>
      <c r="F796" s="79"/>
      <c r="G796" s="79"/>
      <c r="H796" s="79"/>
      <c r="I796" s="79"/>
      <c r="J796" s="79"/>
      <c r="K796" s="79"/>
    </row>
    <row r="797">
      <c r="C797" s="79"/>
      <c r="D797" s="79"/>
      <c r="E797" s="79"/>
      <c r="F797" s="79"/>
      <c r="G797" s="79"/>
      <c r="H797" s="79"/>
      <c r="I797" s="79"/>
      <c r="J797" s="79"/>
      <c r="K797" s="79"/>
    </row>
    <row r="798">
      <c r="C798" s="79"/>
      <c r="D798" s="79"/>
      <c r="E798" s="79"/>
      <c r="F798" s="79"/>
      <c r="G798" s="79"/>
      <c r="H798" s="79"/>
      <c r="I798" s="79"/>
      <c r="J798" s="79"/>
      <c r="K798" s="79"/>
    </row>
    <row r="799">
      <c r="C799" s="79"/>
      <c r="D799" s="79"/>
      <c r="E799" s="79"/>
      <c r="F799" s="79"/>
      <c r="G799" s="79"/>
      <c r="H799" s="79"/>
      <c r="I799" s="79"/>
      <c r="J799" s="79"/>
      <c r="K799" s="79"/>
    </row>
    <row r="800">
      <c r="C800" s="79"/>
      <c r="D800" s="79"/>
      <c r="E800" s="79"/>
      <c r="F800" s="79"/>
      <c r="G800" s="79"/>
      <c r="H800" s="79"/>
      <c r="I800" s="79"/>
      <c r="J800" s="79"/>
      <c r="K800" s="79"/>
    </row>
    <row r="801">
      <c r="C801" s="79"/>
      <c r="D801" s="79"/>
      <c r="E801" s="79"/>
      <c r="F801" s="79"/>
      <c r="G801" s="79"/>
      <c r="H801" s="79"/>
      <c r="I801" s="79"/>
      <c r="J801" s="79"/>
      <c r="K801" s="79"/>
    </row>
    <row r="802">
      <c r="C802" s="79"/>
      <c r="D802" s="79"/>
      <c r="E802" s="79"/>
      <c r="F802" s="79"/>
      <c r="G802" s="79"/>
      <c r="H802" s="79"/>
      <c r="I802" s="79"/>
      <c r="J802" s="79"/>
      <c r="K802" s="79"/>
    </row>
    <row r="803">
      <c r="C803" s="79"/>
      <c r="D803" s="79"/>
      <c r="E803" s="79"/>
      <c r="F803" s="79"/>
      <c r="G803" s="79"/>
      <c r="H803" s="79"/>
      <c r="I803" s="79"/>
      <c r="J803" s="79"/>
      <c r="K803" s="79"/>
    </row>
    <row r="804">
      <c r="C804" s="79"/>
      <c r="D804" s="79"/>
      <c r="E804" s="79"/>
      <c r="F804" s="79"/>
      <c r="G804" s="79"/>
      <c r="H804" s="79"/>
      <c r="I804" s="79"/>
      <c r="J804" s="79"/>
      <c r="K804" s="79"/>
    </row>
    <row r="805">
      <c r="C805" s="79"/>
      <c r="D805" s="79"/>
      <c r="E805" s="79"/>
      <c r="F805" s="79"/>
      <c r="G805" s="79"/>
      <c r="H805" s="79"/>
      <c r="I805" s="79"/>
      <c r="J805" s="79"/>
      <c r="K805" s="79"/>
    </row>
    <row r="806">
      <c r="C806" s="79"/>
      <c r="D806" s="79"/>
      <c r="E806" s="79"/>
      <c r="F806" s="79"/>
      <c r="G806" s="79"/>
      <c r="H806" s="79"/>
      <c r="I806" s="79"/>
      <c r="J806" s="79"/>
      <c r="K806" s="79"/>
    </row>
    <row r="807">
      <c r="C807" s="79"/>
      <c r="D807" s="79"/>
      <c r="E807" s="79"/>
      <c r="F807" s="79"/>
      <c r="G807" s="79"/>
      <c r="H807" s="79"/>
      <c r="I807" s="79"/>
      <c r="J807" s="79"/>
      <c r="K807" s="79"/>
    </row>
    <row r="808">
      <c r="C808" s="79"/>
      <c r="D808" s="79"/>
      <c r="E808" s="79"/>
      <c r="F808" s="79"/>
      <c r="G808" s="79"/>
      <c r="H808" s="79"/>
      <c r="I808" s="79"/>
      <c r="J808" s="79"/>
      <c r="K808" s="79"/>
    </row>
    <row r="809">
      <c r="C809" s="79"/>
      <c r="D809" s="79"/>
      <c r="E809" s="79"/>
      <c r="F809" s="79"/>
      <c r="G809" s="79"/>
      <c r="H809" s="79"/>
      <c r="I809" s="79"/>
      <c r="J809" s="79"/>
      <c r="K809" s="79"/>
    </row>
    <row r="810">
      <c r="C810" s="79"/>
      <c r="D810" s="79"/>
      <c r="E810" s="79"/>
      <c r="F810" s="79"/>
      <c r="G810" s="79"/>
      <c r="H810" s="79"/>
      <c r="I810" s="79"/>
      <c r="J810" s="79"/>
      <c r="K810" s="79"/>
    </row>
    <row r="811">
      <c r="C811" s="79"/>
      <c r="D811" s="79"/>
      <c r="E811" s="79"/>
      <c r="F811" s="79"/>
      <c r="G811" s="79"/>
      <c r="H811" s="79"/>
      <c r="I811" s="79"/>
      <c r="J811" s="79"/>
      <c r="K811" s="79"/>
    </row>
    <row r="812">
      <c r="C812" s="79"/>
      <c r="D812" s="79"/>
      <c r="E812" s="79"/>
      <c r="F812" s="79"/>
      <c r="G812" s="79"/>
      <c r="H812" s="79"/>
      <c r="I812" s="79"/>
      <c r="J812" s="79"/>
      <c r="K812" s="79"/>
    </row>
    <row r="813">
      <c r="C813" s="79"/>
      <c r="D813" s="79"/>
      <c r="E813" s="79"/>
      <c r="F813" s="79"/>
      <c r="G813" s="79"/>
      <c r="H813" s="79"/>
      <c r="I813" s="79"/>
      <c r="J813" s="79"/>
      <c r="K813" s="79"/>
    </row>
    <row r="814">
      <c r="C814" s="79"/>
      <c r="D814" s="79"/>
      <c r="E814" s="79"/>
      <c r="F814" s="79"/>
      <c r="G814" s="79"/>
      <c r="H814" s="79"/>
      <c r="I814" s="79"/>
      <c r="J814" s="79"/>
      <c r="K814" s="79"/>
    </row>
    <row r="815">
      <c r="C815" s="79"/>
      <c r="D815" s="79"/>
      <c r="E815" s="79"/>
      <c r="F815" s="79"/>
      <c r="G815" s="79"/>
      <c r="H815" s="79"/>
      <c r="I815" s="79"/>
      <c r="J815" s="79"/>
      <c r="K815" s="79"/>
    </row>
    <row r="816">
      <c r="C816" s="79"/>
      <c r="D816" s="79"/>
      <c r="E816" s="79"/>
      <c r="F816" s="79"/>
      <c r="G816" s="79"/>
      <c r="H816" s="79"/>
      <c r="I816" s="79"/>
      <c r="J816" s="79"/>
      <c r="K816" s="79"/>
    </row>
    <row r="817">
      <c r="C817" s="79"/>
      <c r="D817" s="79"/>
      <c r="E817" s="79"/>
      <c r="F817" s="79"/>
      <c r="G817" s="79"/>
      <c r="H817" s="79"/>
      <c r="I817" s="79"/>
      <c r="J817" s="79"/>
      <c r="K817" s="79"/>
    </row>
    <row r="818">
      <c r="C818" s="79"/>
      <c r="D818" s="79"/>
      <c r="E818" s="79"/>
      <c r="F818" s="79"/>
      <c r="G818" s="79"/>
      <c r="H818" s="79"/>
      <c r="I818" s="79"/>
      <c r="J818" s="79"/>
      <c r="K818" s="79"/>
    </row>
    <row r="819">
      <c r="C819" s="79"/>
      <c r="D819" s="79"/>
      <c r="E819" s="79"/>
      <c r="F819" s="79"/>
      <c r="G819" s="79"/>
      <c r="H819" s="79"/>
      <c r="I819" s="79"/>
      <c r="J819" s="79"/>
      <c r="K819" s="79"/>
    </row>
    <row r="820">
      <c r="C820" s="79"/>
      <c r="D820" s="79"/>
      <c r="E820" s="79"/>
      <c r="F820" s="79"/>
      <c r="G820" s="79"/>
      <c r="H820" s="79"/>
      <c r="I820" s="79"/>
      <c r="J820" s="79"/>
      <c r="K820" s="79"/>
    </row>
    <row r="821">
      <c r="C821" s="79"/>
      <c r="D821" s="79"/>
      <c r="E821" s="79"/>
      <c r="F821" s="79"/>
      <c r="G821" s="79"/>
      <c r="H821" s="79"/>
      <c r="I821" s="79"/>
      <c r="J821" s="79"/>
      <c r="K821" s="79"/>
    </row>
    <row r="822">
      <c r="C822" s="79"/>
      <c r="D822" s="79"/>
      <c r="E822" s="79"/>
      <c r="F822" s="79"/>
      <c r="G822" s="79"/>
      <c r="H822" s="79"/>
      <c r="I822" s="79"/>
      <c r="J822" s="79"/>
      <c r="K822" s="79"/>
    </row>
    <row r="823">
      <c r="C823" s="79"/>
      <c r="D823" s="79"/>
      <c r="E823" s="79"/>
      <c r="F823" s="79"/>
      <c r="G823" s="79"/>
      <c r="H823" s="79"/>
      <c r="I823" s="79"/>
      <c r="J823" s="79"/>
      <c r="K823" s="79"/>
    </row>
    <row r="824">
      <c r="C824" s="79"/>
      <c r="D824" s="79"/>
      <c r="E824" s="79"/>
      <c r="F824" s="79"/>
      <c r="G824" s="79"/>
      <c r="H824" s="79"/>
      <c r="I824" s="79"/>
      <c r="J824" s="79"/>
      <c r="K824" s="79"/>
    </row>
    <row r="825">
      <c r="C825" s="79"/>
      <c r="D825" s="79"/>
      <c r="E825" s="79"/>
      <c r="F825" s="79"/>
      <c r="G825" s="79"/>
      <c r="H825" s="79"/>
      <c r="I825" s="79"/>
      <c r="J825" s="79"/>
      <c r="K825" s="79"/>
    </row>
    <row r="826">
      <c r="C826" s="79"/>
      <c r="D826" s="79"/>
      <c r="E826" s="79"/>
      <c r="F826" s="79"/>
      <c r="G826" s="79"/>
      <c r="H826" s="79"/>
      <c r="I826" s="79"/>
      <c r="J826" s="79"/>
      <c r="K826" s="79"/>
    </row>
    <row r="827">
      <c r="C827" s="79"/>
      <c r="D827" s="79"/>
      <c r="E827" s="79"/>
      <c r="F827" s="79"/>
      <c r="G827" s="79"/>
      <c r="H827" s="79"/>
      <c r="I827" s="79"/>
      <c r="J827" s="79"/>
      <c r="K827" s="79"/>
    </row>
    <row r="828">
      <c r="C828" s="79"/>
      <c r="D828" s="79"/>
      <c r="E828" s="79"/>
      <c r="F828" s="79"/>
      <c r="G828" s="79"/>
      <c r="H828" s="79"/>
      <c r="I828" s="79"/>
      <c r="J828" s="79"/>
      <c r="K828" s="79"/>
    </row>
    <row r="829">
      <c r="C829" s="79"/>
      <c r="D829" s="79"/>
      <c r="E829" s="79"/>
      <c r="F829" s="79"/>
      <c r="G829" s="79"/>
      <c r="H829" s="79"/>
      <c r="I829" s="79"/>
      <c r="J829" s="79"/>
      <c r="K829" s="79"/>
    </row>
    <row r="830">
      <c r="C830" s="79"/>
      <c r="D830" s="79"/>
      <c r="E830" s="79"/>
      <c r="F830" s="79"/>
      <c r="G830" s="79"/>
      <c r="H830" s="79"/>
      <c r="I830" s="79"/>
      <c r="J830" s="79"/>
      <c r="K830" s="79"/>
    </row>
    <row r="831">
      <c r="C831" s="79"/>
      <c r="D831" s="79"/>
      <c r="E831" s="79"/>
      <c r="F831" s="79"/>
      <c r="G831" s="79"/>
      <c r="H831" s="79"/>
      <c r="I831" s="79"/>
      <c r="J831" s="79"/>
      <c r="K831" s="79"/>
    </row>
    <row r="832">
      <c r="C832" s="79"/>
      <c r="D832" s="79"/>
      <c r="E832" s="79"/>
      <c r="F832" s="79"/>
      <c r="G832" s="79"/>
      <c r="H832" s="79"/>
      <c r="I832" s="79"/>
      <c r="J832" s="79"/>
      <c r="K832" s="79"/>
    </row>
    <row r="833">
      <c r="C833" s="79"/>
      <c r="D833" s="79"/>
      <c r="E833" s="79"/>
      <c r="F833" s="79"/>
      <c r="G833" s="79"/>
      <c r="H833" s="79"/>
      <c r="I833" s="79"/>
      <c r="J833" s="79"/>
      <c r="K833" s="79"/>
    </row>
    <row r="834">
      <c r="C834" s="79"/>
      <c r="D834" s="79"/>
      <c r="E834" s="79"/>
      <c r="F834" s="79"/>
      <c r="G834" s="79"/>
      <c r="H834" s="79"/>
      <c r="I834" s="79"/>
      <c r="J834" s="79"/>
      <c r="K834" s="79"/>
    </row>
    <row r="835">
      <c r="C835" s="79"/>
      <c r="D835" s="79"/>
      <c r="E835" s="79"/>
      <c r="F835" s="79"/>
      <c r="G835" s="79"/>
      <c r="H835" s="79"/>
      <c r="I835" s="79"/>
      <c r="J835" s="79"/>
      <c r="K835" s="79"/>
    </row>
    <row r="836">
      <c r="C836" s="79"/>
      <c r="D836" s="79"/>
      <c r="E836" s="79"/>
      <c r="F836" s="79"/>
      <c r="G836" s="79"/>
      <c r="H836" s="79"/>
      <c r="I836" s="79"/>
      <c r="J836" s="79"/>
      <c r="K836" s="79"/>
    </row>
    <row r="837">
      <c r="C837" s="79"/>
      <c r="D837" s="79"/>
      <c r="E837" s="79"/>
      <c r="F837" s="79"/>
      <c r="G837" s="79"/>
      <c r="H837" s="79"/>
      <c r="I837" s="79"/>
      <c r="J837" s="79"/>
      <c r="K837" s="79"/>
    </row>
    <row r="838">
      <c r="C838" s="79"/>
      <c r="D838" s="79"/>
      <c r="E838" s="79"/>
      <c r="F838" s="79"/>
      <c r="G838" s="79"/>
      <c r="H838" s="79"/>
      <c r="I838" s="79"/>
      <c r="J838" s="79"/>
      <c r="K838" s="79"/>
    </row>
    <row r="839">
      <c r="C839" s="79"/>
      <c r="D839" s="79"/>
      <c r="E839" s="79"/>
      <c r="F839" s="79"/>
      <c r="G839" s="79"/>
      <c r="H839" s="79"/>
      <c r="I839" s="79"/>
      <c r="J839" s="79"/>
      <c r="K839" s="79"/>
    </row>
    <row r="840">
      <c r="C840" s="79"/>
      <c r="D840" s="79"/>
      <c r="E840" s="79"/>
      <c r="F840" s="79"/>
      <c r="G840" s="79"/>
      <c r="H840" s="79"/>
      <c r="I840" s="79"/>
      <c r="J840" s="79"/>
      <c r="K840" s="79"/>
    </row>
    <row r="841">
      <c r="C841" s="79"/>
      <c r="D841" s="79"/>
      <c r="E841" s="79"/>
      <c r="F841" s="79"/>
      <c r="G841" s="79"/>
      <c r="H841" s="79"/>
      <c r="I841" s="79"/>
      <c r="J841" s="79"/>
      <c r="K841" s="79"/>
    </row>
    <row r="842">
      <c r="C842" s="79"/>
      <c r="D842" s="79"/>
      <c r="E842" s="79"/>
      <c r="F842" s="79"/>
      <c r="G842" s="79"/>
      <c r="H842" s="79"/>
      <c r="I842" s="79"/>
      <c r="J842" s="79"/>
      <c r="K842" s="79"/>
    </row>
    <row r="843">
      <c r="C843" s="79"/>
      <c r="D843" s="79"/>
      <c r="E843" s="79"/>
      <c r="F843" s="79"/>
      <c r="G843" s="79"/>
      <c r="H843" s="79"/>
      <c r="I843" s="79"/>
      <c r="J843" s="79"/>
      <c r="K843" s="79"/>
    </row>
    <row r="844">
      <c r="C844" s="79"/>
      <c r="D844" s="79"/>
      <c r="E844" s="79"/>
      <c r="F844" s="79"/>
      <c r="G844" s="79"/>
      <c r="H844" s="79"/>
      <c r="I844" s="79"/>
      <c r="J844" s="79"/>
      <c r="K844" s="79"/>
    </row>
    <row r="845">
      <c r="C845" s="79"/>
      <c r="D845" s="79"/>
      <c r="E845" s="79"/>
      <c r="F845" s="79"/>
      <c r="G845" s="79"/>
      <c r="H845" s="79"/>
      <c r="I845" s="79"/>
      <c r="J845" s="79"/>
      <c r="K845" s="79"/>
    </row>
    <row r="846">
      <c r="C846" s="79"/>
      <c r="D846" s="79"/>
      <c r="E846" s="79"/>
      <c r="F846" s="79"/>
      <c r="G846" s="79"/>
      <c r="H846" s="79"/>
      <c r="I846" s="79"/>
      <c r="J846" s="79"/>
      <c r="K846" s="79"/>
    </row>
    <row r="847">
      <c r="C847" s="79"/>
      <c r="D847" s="79"/>
      <c r="E847" s="79"/>
      <c r="F847" s="79"/>
      <c r="G847" s="79"/>
      <c r="H847" s="79"/>
      <c r="I847" s="79"/>
      <c r="J847" s="79"/>
      <c r="K847" s="79"/>
    </row>
    <row r="848">
      <c r="C848" s="79"/>
      <c r="D848" s="79"/>
      <c r="E848" s="79"/>
      <c r="F848" s="79"/>
      <c r="G848" s="79"/>
      <c r="H848" s="79"/>
      <c r="I848" s="79"/>
      <c r="J848" s="79"/>
      <c r="K848" s="79"/>
    </row>
    <row r="849">
      <c r="C849" s="79"/>
      <c r="D849" s="79"/>
      <c r="E849" s="79"/>
      <c r="F849" s="79"/>
      <c r="G849" s="79"/>
      <c r="H849" s="79"/>
      <c r="I849" s="79"/>
      <c r="J849" s="79"/>
      <c r="K849" s="79"/>
    </row>
    <row r="850">
      <c r="C850" s="79"/>
      <c r="D850" s="79"/>
      <c r="E850" s="79"/>
      <c r="F850" s="79"/>
      <c r="G850" s="79"/>
      <c r="H850" s="79"/>
      <c r="I850" s="79"/>
      <c r="J850" s="79"/>
      <c r="K850" s="79"/>
    </row>
    <row r="851">
      <c r="C851" s="79"/>
      <c r="D851" s="79"/>
      <c r="E851" s="79"/>
      <c r="F851" s="79"/>
      <c r="G851" s="79"/>
      <c r="H851" s="79"/>
      <c r="I851" s="79"/>
      <c r="J851" s="79"/>
      <c r="K851" s="79"/>
    </row>
    <row r="852">
      <c r="C852" s="79"/>
      <c r="D852" s="79"/>
      <c r="E852" s="79"/>
      <c r="F852" s="79"/>
      <c r="G852" s="79"/>
      <c r="H852" s="79"/>
      <c r="I852" s="79"/>
      <c r="J852" s="79"/>
      <c r="K852" s="79"/>
    </row>
    <row r="853">
      <c r="C853" s="79"/>
      <c r="D853" s="79"/>
      <c r="E853" s="79"/>
      <c r="F853" s="79"/>
      <c r="G853" s="79"/>
      <c r="H853" s="79"/>
      <c r="I853" s="79"/>
      <c r="J853" s="79"/>
      <c r="K853" s="79"/>
    </row>
    <row r="854">
      <c r="C854" s="79"/>
      <c r="D854" s="79"/>
      <c r="E854" s="79"/>
      <c r="F854" s="79"/>
      <c r="G854" s="79"/>
      <c r="H854" s="79"/>
      <c r="I854" s="79"/>
      <c r="J854" s="79"/>
      <c r="K854" s="79"/>
    </row>
    <row r="855">
      <c r="C855" s="79"/>
      <c r="D855" s="79"/>
      <c r="E855" s="79"/>
      <c r="F855" s="79"/>
      <c r="G855" s="79"/>
      <c r="H855" s="79"/>
      <c r="I855" s="79"/>
      <c r="J855" s="79"/>
      <c r="K855" s="79"/>
    </row>
    <row r="856">
      <c r="C856" s="79"/>
      <c r="D856" s="79"/>
      <c r="E856" s="79"/>
      <c r="F856" s="79"/>
      <c r="G856" s="79"/>
      <c r="H856" s="79"/>
      <c r="I856" s="79"/>
      <c r="J856" s="79"/>
      <c r="K856" s="79"/>
    </row>
    <row r="857">
      <c r="C857" s="79"/>
      <c r="D857" s="79"/>
      <c r="E857" s="79"/>
      <c r="F857" s="79"/>
      <c r="G857" s="79"/>
      <c r="H857" s="79"/>
      <c r="I857" s="79"/>
      <c r="J857" s="79"/>
      <c r="K857" s="79"/>
    </row>
    <row r="858">
      <c r="C858" s="79"/>
      <c r="D858" s="79"/>
      <c r="E858" s="79"/>
      <c r="F858" s="79"/>
      <c r="G858" s="79"/>
      <c r="H858" s="79"/>
      <c r="I858" s="79"/>
      <c r="J858" s="79"/>
      <c r="K858" s="79"/>
    </row>
    <row r="859">
      <c r="C859" s="79"/>
      <c r="D859" s="79"/>
      <c r="E859" s="79"/>
      <c r="F859" s="79"/>
      <c r="G859" s="79"/>
      <c r="H859" s="79"/>
      <c r="I859" s="79"/>
      <c r="J859" s="79"/>
      <c r="K859" s="79"/>
    </row>
    <row r="860">
      <c r="C860" s="79"/>
      <c r="D860" s="79"/>
      <c r="E860" s="79"/>
      <c r="F860" s="79"/>
      <c r="G860" s="79"/>
      <c r="H860" s="79"/>
      <c r="I860" s="79"/>
      <c r="J860" s="79"/>
      <c r="K860" s="79"/>
    </row>
    <row r="861">
      <c r="C861" s="79"/>
      <c r="D861" s="79"/>
      <c r="E861" s="79"/>
      <c r="F861" s="79"/>
      <c r="G861" s="79"/>
      <c r="H861" s="79"/>
      <c r="I861" s="79"/>
      <c r="J861" s="79"/>
      <c r="K861" s="79"/>
    </row>
    <row r="862">
      <c r="C862" s="79"/>
      <c r="D862" s="79"/>
      <c r="E862" s="79"/>
      <c r="F862" s="79"/>
      <c r="G862" s="79"/>
      <c r="H862" s="79"/>
      <c r="I862" s="79"/>
      <c r="J862" s="79"/>
      <c r="K862" s="79"/>
    </row>
    <row r="863">
      <c r="C863" s="79"/>
      <c r="D863" s="79"/>
      <c r="E863" s="79"/>
      <c r="F863" s="79"/>
      <c r="G863" s="79"/>
      <c r="H863" s="79"/>
      <c r="I863" s="79"/>
      <c r="J863" s="79"/>
      <c r="K863" s="79"/>
    </row>
    <row r="864">
      <c r="C864" s="79"/>
      <c r="D864" s="79"/>
      <c r="E864" s="79"/>
      <c r="F864" s="79"/>
      <c r="G864" s="79"/>
      <c r="H864" s="79"/>
      <c r="I864" s="79"/>
      <c r="J864" s="79"/>
      <c r="K864" s="79"/>
    </row>
    <row r="865">
      <c r="C865" s="79"/>
      <c r="D865" s="79"/>
      <c r="E865" s="79"/>
      <c r="F865" s="79"/>
      <c r="G865" s="79"/>
      <c r="H865" s="79"/>
      <c r="I865" s="79"/>
      <c r="J865" s="79"/>
      <c r="K865" s="79"/>
    </row>
    <row r="866">
      <c r="C866" s="79"/>
      <c r="D866" s="79"/>
      <c r="E866" s="79"/>
      <c r="F866" s="79"/>
      <c r="G866" s="79"/>
      <c r="H866" s="79"/>
      <c r="I866" s="79"/>
      <c r="J866" s="79"/>
      <c r="K866" s="79"/>
    </row>
    <row r="867">
      <c r="C867" s="79"/>
      <c r="D867" s="79"/>
      <c r="E867" s="79"/>
      <c r="F867" s="79"/>
      <c r="G867" s="79"/>
      <c r="H867" s="79"/>
      <c r="I867" s="79"/>
      <c r="J867" s="79"/>
      <c r="K867" s="79"/>
    </row>
    <row r="868">
      <c r="C868" s="79"/>
      <c r="D868" s="79"/>
      <c r="E868" s="79"/>
      <c r="F868" s="79"/>
      <c r="G868" s="79"/>
      <c r="H868" s="79"/>
      <c r="I868" s="79"/>
      <c r="J868" s="79"/>
      <c r="K868" s="79"/>
    </row>
    <row r="869">
      <c r="C869" s="79"/>
      <c r="D869" s="79"/>
      <c r="E869" s="79"/>
      <c r="F869" s="79"/>
      <c r="G869" s="79"/>
      <c r="H869" s="79"/>
      <c r="I869" s="79"/>
      <c r="J869" s="79"/>
      <c r="K869" s="79"/>
    </row>
    <row r="870">
      <c r="C870" s="79"/>
      <c r="D870" s="79"/>
      <c r="E870" s="79"/>
      <c r="F870" s="79"/>
      <c r="G870" s="79"/>
      <c r="H870" s="79"/>
      <c r="I870" s="79"/>
      <c r="J870" s="79"/>
      <c r="K870" s="79"/>
    </row>
    <row r="871">
      <c r="C871" s="79"/>
      <c r="D871" s="79"/>
      <c r="E871" s="79"/>
      <c r="F871" s="79"/>
      <c r="G871" s="79"/>
      <c r="H871" s="79"/>
      <c r="I871" s="79"/>
      <c r="J871" s="79"/>
      <c r="K871" s="79"/>
    </row>
    <row r="872">
      <c r="C872" s="79"/>
      <c r="D872" s="79"/>
      <c r="E872" s="79"/>
      <c r="F872" s="79"/>
      <c r="G872" s="79"/>
      <c r="H872" s="79"/>
      <c r="I872" s="79"/>
      <c r="J872" s="79"/>
      <c r="K872" s="79"/>
    </row>
    <row r="873">
      <c r="C873" s="79"/>
      <c r="D873" s="79"/>
      <c r="E873" s="79"/>
      <c r="F873" s="79"/>
      <c r="G873" s="79"/>
      <c r="H873" s="79"/>
      <c r="I873" s="79"/>
      <c r="J873" s="79"/>
      <c r="K873" s="79"/>
    </row>
    <row r="874">
      <c r="C874" s="79"/>
      <c r="D874" s="79"/>
      <c r="E874" s="79"/>
      <c r="F874" s="79"/>
      <c r="G874" s="79"/>
      <c r="H874" s="79"/>
      <c r="I874" s="79"/>
      <c r="J874" s="79"/>
      <c r="K874" s="79"/>
    </row>
    <row r="875">
      <c r="C875" s="79"/>
      <c r="D875" s="79"/>
      <c r="E875" s="79"/>
      <c r="F875" s="79"/>
      <c r="G875" s="79"/>
      <c r="H875" s="79"/>
      <c r="I875" s="79"/>
      <c r="J875" s="79"/>
      <c r="K875" s="79"/>
    </row>
    <row r="876">
      <c r="C876" s="79"/>
      <c r="D876" s="79"/>
      <c r="E876" s="79"/>
      <c r="F876" s="79"/>
      <c r="G876" s="79"/>
      <c r="H876" s="79"/>
      <c r="I876" s="79"/>
      <c r="J876" s="79"/>
      <c r="K876" s="79"/>
    </row>
    <row r="877">
      <c r="C877" s="79"/>
      <c r="D877" s="79"/>
      <c r="E877" s="79"/>
      <c r="F877" s="79"/>
      <c r="G877" s="79"/>
      <c r="H877" s="79"/>
      <c r="I877" s="79"/>
      <c r="J877" s="79"/>
      <c r="K877" s="79"/>
    </row>
    <row r="878">
      <c r="C878" s="79"/>
      <c r="D878" s="79"/>
      <c r="E878" s="79"/>
      <c r="F878" s="79"/>
      <c r="G878" s="79"/>
      <c r="H878" s="79"/>
      <c r="I878" s="79"/>
      <c r="J878" s="79"/>
      <c r="K878" s="79"/>
    </row>
    <row r="879">
      <c r="C879" s="79"/>
      <c r="D879" s="79"/>
      <c r="E879" s="79"/>
      <c r="F879" s="79"/>
      <c r="G879" s="79"/>
      <c r="H879" s="79"/>
      <c r="I879" s="79"/>
      <c r="J879" s="79"/>
      <c r="K879" s="79"/>
    </row>
    <row r="880">
      <c r="C880" s="79"/>
      <c r="D880" s="79"/>
      <c r="E880" s="79"/>
      <c r="F880" s="79"/>
      <c r="G880" s="79"/>
      <c r="H880" s="79"/>
      <c r="I880" s="79"/>
      <c r="J880" s="79"/>
      <c r="K880" s="79"/>
    </row>
    <row r="881">
      <c r="C881" s="79"/>
      <c r="D881" s="79"/>
      <c r="E881" s="79"/>
      <c r="F881" s="79"/>
      <c r="G881" s="79"/>
      <c r="H881" s="79"/>
      <c r="I881" s="79"/>
      <c r="J881" s="79"/>
      <c r="K881" s="79"/>
    </row>
    <row r="882">
      <c r="C882" s="79"/>
      <c r="D882" s="79"/>
      <c r="E882" s="79"/>
      <c r="F882" s="79"/>
      <c r="G882" s="79"/>
      <c r="H882" s="79"/>
      <c r="I882" s="79"/>
      <c r="J882" s="79"/>
      <c r="K882" s="79"/>
    </row>
    <row r="883">
      <c r="C883" s="79"/>
      <c r="D883" s="79"/>
      <c r="E883" s="79"/>
      <c r="F883" s="79"/>
      <c r="G883" s="79"/>
      <c r="H883" s="79"/>
      <c r="I883" s="79"/>
      <c r="J883" s="79"/>
      <c r="K883" s="79"/>
    </row>
    <row r="884">
      <c r="C884" s="79"/>
      <c r="D884" s="79"/>
      <c r="E884" s="79"/>
      <c r="F884" s="79"/>
      <c r="G884" s="79"/>
      <c r="H884" s="79"/>
      <c r="I884" s="79"/>
      <c r="J884" s="79"/>
      <c r="K884" s="79"/>
    </row>
    <row r="885">
      <c r="C885" s="79"/>
      <c r="D885" s="79"/>
      <c r="E885" s="79"/>
      <c r="F885" s="79"/>
      <c r="G885" s="79"/>
      <c r="H885" s="79"/>
      <c r="I885" s="79"/>
      <c r="J885" s="79"/>
      <c r="K885" s="79"/>
    </row>
    <row r="886">
      <c r="C886" s="79"/>
      <c r="D886" s="79"/>
      <c r="E886" s="79"/>
      <c r="F886" s="79"/>
      <c r="G886" s="79"/>
      <c r="H886" s="79"/>
      <c r="I886" s="79"/>
      <c r="J886" s="79"/>
      <c r="K886" s="79"/>
    </row>
    <row r="887">
      <c r="C887" s="79"/>
      <c r="D887" s="79"/>
      <c r="E887" s="79"/>
      <c r="F887" s="79"/>
      <c r="G887" s="79"/>
      <c r="H887" s="79"/>
      <c r="I887" s="79"/>
      <c r="J887" s="79"/>
      <c r="K887" s="79"/>
    </row>
    <row r="888">
      <c r="C888" s="79"/>
      <c r="D888" s="79"/>
      <c r="E888" s="79"/>
      <c r="F888" s="79"/>
      <c r="G888" s="79"/>
      <c r="H888" s="79"/>
      <c r="I888" s="79"/>
      <c r="J888" s="79"/>
      <c r="K888" s="79"/>
    </row>
    <row r="889">
      <c r="C889" s="79"/>
      <c r="D889" s="79"/>
      <c r="E889" s="79"/>
      <c r="F889" s="79"/>
      <c r="G889" s="79"/>
      <c r="H889" s="79"/>
      <c r="I889" s="79"/>
      <c r="J889" s="79"/>
      <c r="K889" s="79"/>
    </row>
    <row r="890">
      <c r="C890" s="79"/>
      <c r="D890" s="79"/>
      <c r="E890" s="79"/>
      <c r="F890" s="79"/>
      <c r="G890" s="79"/>
      <c r="H890" s="79"/>
      <c r="I890" s="79"/>
      <c r="J890" s="79"/>
      <c r="K890" s="79"/>
    </row>
    <row r="891">
      <c r="C891" s="79"/>
      <c r="D891" s="79"/>
      <c r="E891" s="79"/>
      <c r="F891" s="79"/>
      <c r="G891" s="79"/>
      <c r="H891" s="79"/>
      <c r="I891" s="79"/>
      <c r="J891" s="79"/>
      <c r="K891" s="79"/>
    </row>
    <row r="892">
      <c r="C892" s="79"/>
      <c r="D892" s="79"/>
      <c r="E892" s="79"/>
      <c r="F892" s="79"/>
      <c r="G892" s="79"/>
      <c r="H892" s="79"/>
      <c r="I892" s="79"/>
      <c r="J892" s="79"/>
      <c r="K892" s="79"/>
    </row>
    <row r="893">
      <c r="C893" s="79"/>
      <c r="D893" s="79"/>
      <c r="E893" s="79"/>
      <c r="F893" s="79"/>
      <c r="G893" s="79"/>
      <c r="H893" s="79"/>
      <c r="I893" s="79"/>
      <c r="J893" s="79"/>
      <c r="K893" s="79"/>
    </row>
    <row r="894">
      <c r="C894" s="79"/>
      <c r="D894" s="79"/>
      <c r="E894" s="79"/>
      <c r="F894" s="79"/>
      <c r="G894" s="79"/>
      <c r="H894" s="79"/>
      <c r="I894" s="79"/>
      <c r="J894" s="79"/>
      <c r="K894" s="79"/>
    </row>
    <row r="895">
      <c r="C895" s="79"/>
      <c r="D895" s="79"/>
      <c r="E895" s="79"/>
      <c r="F895" s="79"/>
      <c r="G895" s="79"/>
      <c r="H895" s="79"/>
      <c r="I895" s="79"/>
      <c r="J895" s="79"/>
      <c r="K895" s="79"/>
    </row>
    <row r="896">
      <c r="C896" s="79"/>
      <c r="D896" s="79"/>
      <c r="E896" s="79"/>
      <c r="F896" s="79"/>
      <c r="G896" s="79"/>
      <c r="H896" s="79"/>
      <c r="I896" s="79"/>
      <c r="J896" s="79"/>
      <c r="K896" s="79"/>
    </row>
    <row r="897">
      <c r="C897" s="79"/>
      <c r="D897" s="79"/>
      <c r="E897" s="79"/>
      <c r="F897" s="79"/>
      <c r="G897" s="79"/>
      <c r="H897" s="79"/>
      <c r="I897" s="79"/>
      <c r="J897" s="79"/>
      <c r="K897" s="79"/>
    </row>
    <row r="898">
      <c r="C898" s="79"/>
      <c r="D898" s="79"/>
      <c r="E898" s="79"/>
      <c r="F898" s="79"/>
      <c r="G898" s="79"/>
      <c r="H898" s="79"/>
      <c r="I898" s="79"/>
      <c r="J898" s="79"/>
      <c r="K898" s="79"/>
    </row>
    <row r="899">
      <c r="C899" s="79"/>
      <c r="D899" s="79"/>
      <c r="E899" s="79"/>
      <c r="F899" s="79"/>
      <c r="G899" s="79"/>
      <c r="H899" s="79"/>
      <c r="I899" s="79"/>
      <c r="J899" s="79"/>
      <c r="K899" s="79"/>
    </row>
    <row r="900">
      <c r="C900" s="79"/>
      <c r="D900" s="79"/>
      <c r="E900" s="79"/>
      <c r="F900" s="79"/>
      <c r="G900" s="79"/>
      <c r="H900" s="79"/>
      <c r="I900" s="79"/>
      <c r="J900" s="79"/>
      <c r="K900" s="79"/>
    </row>
    <row r="901">
      <c r="C901" s="79"/>
      <c r="D901" s="79"/>
      <c r="E901" s="79"/>
      <c r="F901" s="79"/>
      <c r="G901" s="79"/>
      <c r="H901" s="79"/>
      <c r="I901" s="79"/>
      <c r="J901" s="79"/>
      <c r="K901" s="79"/>
    </row>
    <row r="902">
      <c r="C902" s="79"/>
      <c r="D902" s="79"/>
      <c r="E902" s="79"/>
      <c r="F902" s="79"/>
      <c r="G902" s="79"/>
      <c r="H902" s="79"/>
      <c r="I902" s="79"/>
      <c r="J902" s="79"/>
      <c r="K902" s="79"/>
    </row>
    <row r="903">
      <c r="C903" s="79"/>
      <c r="D903" s="79"/>
      <c r="E903" s="79"/>
      <c r="F903" s="79"/>
      <c r="G903" s="79"/>
      <c r="H903" s="79"/>
      <c r="I903" s="79"/>
      <c r="J903" s="79"/>
      <c r="K903" s="79"/>
    </row>
    <row r="904">
      <c r="C904" s="79"/>
      <c r="D904" s="79"/>
      <c r="E904" s="79"/>
      <c r="F904" s="79"/>
      <c r="G904" s="79"/>
      <c r="H904" s="79"/>
      <c r="I904" s="79"/>
      <c r="J904" s="79"/>
      <c r="K904" s="79"/>
    </row>
    <row r="905">
      <c r="C905" s="79"/>
      <c r="D905" s="79"/>
      <c r="E905" s="79"/>
      <c r="F905" s="79"/>
      <c r="G905" s="79"/>
      <c r="H905" s="79"/>
      <c r="I905" s="79"/>
      <c r="J905" s="79"/>
      <c r="K905" s="79"/>
    </row>
    <row r="906">
      <c r="C906" s="79"/>
      <c r="D906" s="79"/>
      <c r="E906" s="79"/>
      <c r="F906" s="79"/>
      <c r="G906" s="79"/>
      <c r="H906" s="79"/>
      <c r="I906" s="79"/>
      <c r="J906" s="79"/>
      <c r="K906" s="79"/>
    </row>
    <row r="907">
      <c r="C907" s="79"/>
      <c r="D907" s="79"/>
      <c r="E907" s="79"/>
      <c r="F907" s="79"/>
      <c r="G907" s="79"/>
      <c r="H907" s="79"/>
      <c r="I907" s="79"/>
      <c r="J907" s="79"/>
      <c r="K907" s="79"/>
    </row>
    <row r="908">
      <c r="C908" s="79"/>
      <c r="D908" s="79"/>
      <c r="E908" s="79"/>
      <c r="F908" s="79"/>
      <c r="G908" s="79"/>
      <c r="H908" s="79"/>
      <c r="I908" s="79"/>
      <c r="J908" s="79"/>
      <c r="K908" s="79"/>
    </row>
    <row r="909">
      <c r="C909" s="79"/>
      <c r="D909" s="79"/>
      <c r="E909" s="79"/>
      <c r="F909" s="79"/>
      <c r="G909" s="79"/>
      <c r="H909" s="79"/>
      <c r="I909" s="79"/>
      <c r="J909" s="79"/>
      <c r="K909" s="79"/>
    </row>
    <row r="910">
      <c r="C910" s="79"/>
      <c r="D910" s="79"/>
      <c r="E910" s="79"/>
      <c r="F910" s="79"/>
      <c r="G910" s="79"/>
      <c r="H910" s="79"/>
      <c r="I910" s="79"/>
      <c r="J910" s="79"/>
      <c r="K910" s="79"/>
    </row>
    <row r="911">
      <c r="C911" s="79"/>
      <c r="D911" s="79"/>
      <c r="E911" s="79"/>
      <c r="F911" s="79"/>
      <c r="G911" s="79"/>
      <c r="H911" s="79"/>
      <c r="I911" s="79"/>
      <c r="J911" s="79"/>
      <c r="K911" s="79"/>
    </row>
    <row r="912">
      <c r="C912" s="79"/>
      <c r="D912" s="79"/>
      <c r="E912" s="79"/>
      <c r="F912" s="79"/>
      <c r="G912" s="79"/>
      <c r="H912" s="79"/>
      <c r="I912" s="79"/>
      <c r="J912" s="79"/>
      <c r="K912" s="79"/>
    </row>
    <row r="913">
      <c r="C913" s="79"/>
      <c r="D913" s="79"/>
      <c r="E913" s="79"/>
      <c r="F913" s="79"/>
      <c r="G913" s="79"/>
      <c r="H913" s="79"/>
      <c r="I913" s="79"/>
      <c r="J913" s="79"/>
      <c r="K913" s="79"/>
    </row>
    <row r="914">
      <c r="C914" s="79"/>
      <c r="D914" s="79"/>
      <c r="E914" s="79"/>
      <c r="F914" s="79"/>
      <c r="G914" s="79"/>
      <c r="H914" s="79"/>
      <c r="I914" s="79"/>
      <c r="J914" s="79"/>
      <c r="K914" s="79"/>
    </row>
    <row r="915">
      <c r="C915" s="79"/>
      <c r="D915" s="79"/>
      <c r="E915" s="79"/>
      <c r="F915" s="79"/>
      <c r="G915" s="79"/>
      <c r="H915" s="79"/>
      <c r="I915" s="79"/>
      <c r="J915" s="79"/>
      <c r="K915" s="79"/>
    </row>
    <row r="916">
      <c r="C916" s="79"/>
      <c r="D916" s="79"/>
      <c r="E916" s="79"/>
      <c r="F916" s="79"/>
      <c r="G916" s="79"/>
      <c r="H916" s="79"/>
      <c r="I916" s="79"/>
      <c r="J916" s="79"/>
      <c r="K916" s="79"/>
    </row>
    <row r="917">
      <c r="C917" s="79"/>
      <c r="D917" s="79"/>
      <c r="E917" s="79"/>
      <c r="F917" s="79"/>
      <c r="G917" s="79"/>
      <c r="H917" s="79"/>
      <c r="I917" s="79"/>
      <c r="J917" s="79"/>
      <c r="K917" s="79"/>
    </row>
    <row r="918">
      <c r="C918" s="79"/>
      <c r="D918" s="79"/>
      <c r="E918" s="79"/>
      <c r="F918" s="79"/>
      <c r="G918" s="79"/>
      <c r="H918" s="79"/>
      <c r="I918" s="79"/>
      <c r="J918" s="79"/>
      <c r="K918" s="79"/>
    </row>
    <row r="919">
      <c r="C919" s="79"/>
      <c r="D919" s="79"/>
      <c r="E919" s="79"/>
      <c r="F919" s="79"/>
      <c r="G919" s="79"/>
      <c r="H919" s="79"/>
      <c r="I919" s="79"/>
      <c r="J919" s="79"/>
      <c r="K919" s="79"/>
    </row>
    <row r="920">
      <c r="C920" s="79"/>
      <c r="D920" s="79"/>
      <c r="E920" s="79"/>
      <c r="F920" s="79"/>
      <c r="G920" s="79"/>
      <c r="H920" s="79"/>
      <c r="I920" s="79"/>
      <c r="J920" s="79"/>
      <c r="K920" s="79"/>
    </row>
    <row r="921">
      <c r="C921" s="79"/>
      <c r="D921" s="79"/>
      <c r="E921" s="79"/>
      <c r="F921" s="79"/>
      <c r="G921" s="79"/>
      <c r="H921" s="79"/>
      <c r="I921" s="79"/>
      <c r="J921" s="79"/>
      <c r="K921" s="79"/>
    </row>
    <row r="922">
      <c r="C922" s="79"/>
      <c r="D922" s="79"/>
      <c r="E922" s="79"/>
      <c r="F922" s="79"/>
      <c r="G922" s="79"/>
      <c r="H922" s="79"/>
      <c r="I922" s="79"/>
      <c r="J922" s="79"/>
      <c r="K922" s="79"/>
    </row>
    <row r="923">
      <c r="C923" s="79"/>
      <c r="D923" s="79"/>
      <c r="E923" s="79"/>
      <c r="F923" s="79"/>
      <c r="G923" s="79"/>
      <c r="H923" s="79"/>
      <c r="I923" s="79"/>
      <c r="J923" s="79"/>
      <c r="K923" s="79"/>
    </row>
    <row r="924">
      <c r="C924" s="79"/>
      <c r="D924" s="79"/>
      <c r="E924" s="79"/>
      <c r="F924" s="79"/>
      <c r="G924" s="79"/>
      <c r="H924" s="79"/>
      <c r="I924" s="79"/>
      <c r="J924" s="79"/>
      <c r="K924" s="79"/>
    </row>
    <row r="925">
      <c r="C925" s="79"/>
      <c r="D925" s="79"/>
      <c r="E925" s="79"/>
      <c r="F925" s="79"/>
      <c r="G925" s="79"/>
      <c r="H925" s="79"/>
      <c r="I925" s="79"/>
      <c r="J925" s="79"/>
      <c r="K925" s="79"/>
    </row>
    <row r="926">
      <c r="C926" s="79"/>
      <c r="D926" s="79"/>
      <c r="E926" s="79"/>
      <c r="F926" s="79"/>
      <c r="G926" s="79"/>
      <c r="H926" s="79"/>
      <c r="I926" s="79"/>
      <c r="J926" s="79"/>
      <c r="K926" s="79"/>
    </row>
    <row r="927">
      <c r="C927" s="79"/>
      <c r="D927" s="79"/>
      <c r="E927" s="79"/>
      <c r="F927" s="79"/>
      <c r="G927" s="79"/>
      <c r="H927" s="79"/>
      <c r="I927" s="79"/>
      <c r="J927" s="79"/>
      <c r="K927" s="79"/>
    </row>
    <row r="928">
      <c r="C928" s="79"/>
      <c r="D928" s="79"/>
      <c r="E928" s="79"/>
      <c r="F928" s="79"/>
      <c r="G928" s="79"/>
      <c r="H928" s="79"/>
      <c r="I928" s="79"/>
      <c r="J928" s="79"/>
      <c r="K928" s="79"/>
    </row>
    <row r="929">
      <c r="C929" s="79"/>
      <c r="D929" s="79"/>
      <c r="E929" s="79"/>
      <c r="F929" s="79"/>
      <c r="G929" s="79"/>
      <c r="H929" s="79"/>
      <c r="I929" s="79"/>
      <c r="J929" s="79"/>
      <c r="K929" s="79"/>
    </row>
    <row r="930">
      <c r="C930" s="79"/>
      <c r="D930" s="79"/>
      <c r="E930" s="79"/>
      <c r="F930" s="79"/>
      <c r="G930" s="79"/>
      <c r="H930" s="79"/>
      <c r="I930" s="79"/>
      <c r="J930" s="79"/>
      <c r="K930" s="79"/>
    </row>
    <row r="931">
      <c r="C931" s="79"/>
      <c r="D931" s="79"/>
      <c r="E931" s="79"/>
      <c r="F931" s="79"/>
      <c r="G931" s="79"/>
      <c r="H931" s="79"/>
      <c r="I931" s="79"/>
      <c r="J931" s="79"/>
      <c r="K931" s="79"/>
    </row>
    <row r="932">
      <c r="C932" s="79"/>
      <c r="D932" s="79"/>
      <c r="E932" s="79"/>
      <c r="F932" s="79"/>
      <c r="G932" s="79"/>
      <c r="H932" s="79"/>
      <c r="I932" s="79"/>
      <c r="J932" s="79"/>
      <c r="K932" s="79"/>
    </row>
    <row r="933">
      <c r="C933" s="79"/>
      <c r="D933" s="79"/>
      <c r="E933" s="79"/>
      <c r="F933" s="79"/>
      <c r="G933" s="79"/>
      <c r="H933" s="79"/>
      <c r="I933" s="79"/>
      <c r="J933" s="79"/>
      <c r="K933" s="79"/>
    </row>
    <row r="934">
      <c r="C934" s="79"/>
      <c r="D934" s="79"/>
      <c r="E934" s="79"/>
      <c r="F934" s="79"/>
      <c r="G934" s="79"/>
      <c r="H934" s="79"/>
      <c r="I934" s="79"/>
      <c r="J934" s="79"/>
      <c r="K934" s="79"/>
    </row>
    <row r="935">
      <c r="C935" s="79"/>
      <c r="D935" s="79"/>
      <c r="E935" s="79"/>
      <c r="F935" s="79"/>
      <c r="G935" s="79"/>
      <c r="H935" s="79"/>
      <c r="I935" s="79"/>
      <c r="J935" s="79"/>
      <c r="K935" s="79"/>
    </row>
    <row r="936">
      <c r="C936" s="79"/>
      <c r="D936" s="79"/>
      <c r="E936" s="79"/>
      <c r="F936" s="79"/>
      <c r="G936" s="79"/>
      <c r="H936" s="79"/>
      <c r="I936" s="79"/>
      <c r="J936" s="79"/>
      <c r="K936" s="79"/>
    </row>
    <row r="937">
      <c r="C937" s="79"/>
      <c r="D937" s="79"/>
      <c r="E937" s="79"/>
      <c r="F937" s="79"/>
      <c r="G937" s="79"/>
      <c r="H937" s="79"/>
      <c r="I937" s="79"/>
      <c r="J937" s="79"/>
      <c r="K937" s="79"/>
    </row>
    <row r="938">
      <c r="C938" s="79"/>
      <c r="D938" s="79"/>
      <c r="E938" s="79"/>
      <c r="F938" s="79"/>
      <c r="G938" s="79"/>
      <c r="H938" s="79"/>
      <c r="I938" s="79"/>
      <c r="J938" s="79"/>
      <c r="K938" s="79"/>
    </row>
    <row r="939">
      <c r="C939" s="79"/>
      <c r="D939" s="79"/>
      <c r="E939" s="79"/>
      <c r="F939" s="79"/>
      <c r="G939" s="79"/>
      <c r="H939" s="79"/>
      <c r="I939" s="79"/>
      <c r="J939" s="79"/>
      <c r="K939" s="79"/>
    </row>
    <row r="940">
      <c r="C940" s="79"/>
      <c r="D940" s="79"/>
      <c r="E940" s="79"/>
      <c r="F940" s="79"/>
      <c r="G940" s="79"/>
      <c r="H940" s="79"/>
      <c r="I940" s="79"/>
      <c r="J940" s="79"/>
      <c r="K940" s="79"/>
    </row>
    <row r="941">
      <c r="C941" s="79"/>
      <c r="D941" s="79"/>
      <c r="E941" s="79"/>
      <c r="F941" s="79"/>
      <c r="G941" s="79"/>
      <c r="H941" s="79"/>
      <c r="I941" s="79"/>
      <c r="J941" s="79"/>
      <c r="K941" s="79"/>
    </row>
    <row r="942">
      <c r="C942" s="79"/>
      <c r="D942" s="79"/>
      <c r="E942" s="79"/>
      <c r="F942" s="79"/>
      <c r="G942" s="79"/>
      <c r="H942" s="79"/>
      <c r="I942" s="79"/>
      <c r="J942" s="79"/>
      <c r="K942" s="79"/>
    </row>
    <row r="943">
      <c r="C943" s="79"/>
      <c r="D943" s="79"/>
      <c r="E943" s="79"/>
      <c r="F943" s="79"/>
      <c r="G943" s="79"/>
      <c r="H943" s="79"/>
      <c r="I943" s="79"/>
      <c r="J943" s="79"/>
      <c r="K943" s="79"/>
    </row>
    <row r="944">
      <c r="C944" s="79"/>
      <c r="D944" s="79"/>
      <c r="E944" s="79"/>
      <c r="F944" s="79"/>
      <c r="G944" s="79"/>
      <c r="H944" s="79"/>
      <c r="I944" s="79"/>
      <c r="J944" s="79"/>
      <c r="K944" s="79"/>
    </row>
    <row r="945">
      <c r="C945" s="79"/>
      <c r="D945" s="79"/>
      <c r="E945" s="79"/>
      <c r="F945" s="79"/>
      <c r="G945" s="79"/>
      <c r="H945" s="79"/>
      <c r="I945" s="79"/>
      <c r="J945" s="79"/>
      <c r="K945" s="79"/>
    </row>
    <row r="946">
      <c r="C946" s="79"/>
      <c r="D946" s="79"/>
      <c r="E946" s="79"/>
      <c r="F946" s="79"/>
      <c r="G946" s="79"/>
      <c r="H946" s="79"/>
      <c r="I946" s="79"/>
      <c r="J946" s="79"/>
      <c r="K946" s="79"/>
    </row>
    <row r="947">
      <c r="C947" s="79"/>
      <c r="D947" s="79"/>
      <c r="E947" s="79"/>
      <c r="F947" s="79"/>
      <c r="G947" s="79"/>
      <c r="H947" s="79"/>
      <c r="I947" s="79"/>
      <c r="J947" s="79"/>
      <c r="K947" s="79"/>
    </row>
    <row r="948">
      <c r="C948" s="79"/>
      <c r="D948" s="79"/>
      <c r="E948" s="79"/>
      <c r="F948" s="79"/>
      <c r="G948" s="79"/>
      <c r="H948" s="79"/>
      <c r="I948" s="79"/>
      <c r="J948" s="79"/>
      <c r="K948" s="79"/>
    </row>
    <row r="949">
      <c r="C949" s="79"/>
      <c r="D949" s="79"/>
      <c r="E949" s="79"/>
      <c r="F949" s="79"/>
      <c r="G949" s="79"/>
      <c r="H949" s="79"/>
      <c r="I949" s="79"/>
      <c r="J949" s="79"/>
      <c r="K949" s="79"/>
    </row>
    <row r="950">
      <c r="C950" s="79"/>
      <c r="D950" s="79"/>
      <c r="E950" s="79"/>
      <c r="F950" s="79"/>
      <c r="G950" s="79"/>
      <c r="H950" s="79"/>
      <c r="I950" s="79"/>
      <c r="J950" s="79"/>
      <c r="K950" s="79"/>
    </row>
    <row r="951">
      <c r="C951" s="79"/>
      <c r="D951" s="79"/>
      <c r="E951" s="79"/>
      <c r="F951" s="79"/>
      <c r="G951" s="79"/>
      <c r="H951" s="79"/>
      <c r="I951" s="79"/>
      <c r="J951" s="79"/>
      <c r="K951" s="79"/>
    </row>
    <row r="952">
      <c r="C952" s="79"/>
      <c r="D952" s="79"/>
      <c r="E952" s="79"/>
      <c r="F952" s="79"/>
      <c r="G952" s="79"/>
      <c r="H952" s="79"/>
      <c r="I952" s="79"/>
      <c r="J952" s="79"/>
      <c r="K952" s="79"/>
    </row>
    <row r="953">
      <c r="C953" s="79"/>
      <c r="D953" s="79"/>
      <c r="E953" s="79"/>
      <c r="F953" s="79"/>
      <c r="G953" s="79"/>
      <c r="H953" s="79"/>
      <c r="I953" s="79"/>
      <c r="J953" s="79"/>
      <c r="K953" s="79"/>
    </row>
    <row r="954">
      <c r="C954" s="79"/>
      <c r="D954" s="79"/>
      <c r="E954" s="79"/>
      <c r="F954" s="79"/>
      <c r="G954" s="79"/>
      <c r="H954" s="79"/>
      <c r="I954" s="79"/>
      <c r="J954" s="79"/>
      <c r="K954" s="79"/>
    </row>
    <row r="955">
      <c r="C955" s="79"/>
      <c r="D955" s="79"/>
      <c r="E955" s="79"/>
      <c r="F955" s="79"/>
      <c r="G955" s="79"/>
      <c r="H955" s="79"/>
      <c r="I955" s="79"/>
      <c r="J955" s="79"/>
      <c r="K955" s="79"/>
    </row>
    <row r="956">
      <c r="C956" s="79"/>
      <c r="D956" s="79"/>
      <c r="E956" s="79"/>
      <c r="F956" s="79"/>
      <c r="G956" s="79"/>
      <c r="H956" s="79"/>
      <c r="I956" s="79"/>
      <c r="J956" s="79"/>
      <c r="K956" s="79"/>
    </row>
    <row r="957">
      <c r="C957" s="79"/>
      <c r="D957" s="79"/>
      <c r="E957" s="79"/>
      <c r="F957" s="79"/>
      <c r="G957" s="79"/>
      <c r="H957" s="79"/>
      <c r="I957" s="79"/>
      <c r="J957" s="79"/>
      <c r="K957" s="79"/>
    </row>
    <row r="958">
      <c r="C958" s="79"/>
      <c r="D958" s="79"/>
      <c r="E958" s="79"/>
      <c r="F958" s="79"/>
      <c r="G958" s="79"/>
      <c r="H958" s="79"/>
      <c r="I958" s="79"/>
      <c r="J958" s="79"/>
      <c r="K958" s="79"/>
    </row>
    <row r="959">
      <c r="C959" s="79"/>
      <c r="D959" s="79"/>
      <c r="E959" s="79"/>
      <c r="F959" s="79"/>
      <c r="G959" s="79"/>
      <c r="H959" s="79"/>
      <c r="I959" s="79"/>
      <c r="J959" s="79"/>
      <c r="K959" s="79"/>
    </row>
    <row r="960">
      <c r="C960" s="79"/>
      <c r="D960" s="79"/>
      <c r="E960" s="79"/>
      <c r="F960" s="79"/>
      <c r="G960" s="79"/>
      <c r="H960" s="79"/>
      <c r="I960" s="79"/>
      <c r="J960" s="79"/>
      <c r="K960" s="79"/>
    </row>
    <row r="961">
      <c r="C961" s="79"/>
      <c r="D961" s="79"/>
      <c r="E961" s="79"/>
      <c r="F961" s="79"/>
      <c r="G961" s="79"/>
      <c r="H961" s="79"/>
      <c r="I961" s="79"/>
      <c r="J961" s="79"/>
      <c r="K961" s="79"/>
    </row>
    <row r="962">
      <c r="C962" s="79"/>
      <c r="D962" s="79"/>
      <c r="E962" s="79"/>
      <c r="F962" s="79"/>
      <c r="G962" s="79"/>
      <c r="H962" s="79"/>
      <c r="I962" s="79"/>
      <c r="J962" s="79"/>
      <c r="K962" s="79"/>
    </row>
    <row r="963">
      <c r="C963" s="79"/>
      <c r="D963" s="79"/>
      <c r="E963" s="79"/>
      <c r="F963" s="79"/>
      <c r="G963" s="79"/>
      <c r="H963" s="79"/>
      <c r="I963" s="79"/>
      <c r="J963" s="79"/>
      <c r="K963" s="79"/>
    </row>
    <row r="964">
      <c r="C964" s="79"/>
      <c r="D964" s="79"/>
      <c r="E964" s="79"/>
      <c r="F964" s="79"/>
      <c r="G964" s="79"/>
      <c r="H964" s="79"/>
      <c r="I964" s="79"/>
      <c r="J964" s="79"/>
      <c r="K964" s="79"/>
    </row>
    <row r="965">
      <c r="C965" s="79"/>
      <c r="D965" s="79"/>
      <c r="E965" s="79"/>
      <c r="F965" s="79"/>
      <c r="G965" s="79"/>
      <c r="H965" s="79"/>
      <c r="I965" s="79"/>
      <c r="J965" s="79"/>
      <c r="K965" s="79"/>
    </row>
    <row r="966">
      <c r="C966" s="79"/>
      <c r="D966" s="79"/>
      <c r="E966" s="79"/>
      <c r="F966" s="79"/>
      <c r="G966" s="79"/>
      <c r="H966" s="79"/>
      <c r="I966" s="79"/>
      <c r="J966" s="79"/>
      <c r="K966" s="79"/>
    </row>
    <row r="967">
      <c r="C967" s="79"/>
      <c r="D967" s="79"/>
      <c r="E967" s="79"/>
      <c r="F967" s="79"/>
      <c r="G967" s="79"/>
      <c r="H967" s="79"/>
      <c r="I967" s="79"/>
      <c r="J967" s="79"/>
      <c r="K967" s="79"/>
    </row>
    <row r="968">
      <c r="C968" s="79"/>
      <c r="D968" s="79"/>
      <c r="E968" s="79"/>
      <c r="F968" s="79"/>
      <c r="G968" s="79"/>
      <c r="H968" s="79"/>
      <c r="I968" s="79"/>
      <c r="J968" s="79"/>
      <c r="K968" s="79"/>
    </row>
    <row r="969">
      <c r="C969" s="79"/>
      <c r="D969" s="79"/>
      <c r="E969" s="79"/>
      <c r="F969" s="79"/>
      <c r="G969" s="79"/>
      <c r="H969" s="79"/>
      <c r="I969" s="79"/>
      <c r="J969" s="79"/>
      <c r="K969" s="79"/>
    </row>
    <row r="970">
      <c r="C970" s="79"/>
      <c r="D970" s="79"/>
      <c r="E970" s="79"/>
      <c r="F970" s="79"/>
      <c r="G970" s="79"/>
      <c r="H970" s="79"/>
      <c r="I970" s="79"/>
      <c r="J970" s="79"/>
      <c r="K970" s="79"/>
    </row>
    <row r="971">
      <c r="C971" s="79"/>
      <c r="D971" s="79"/>
      <c r="E971" s="79"/>
      <c r="F971" s="79"/>
      <c r="G971" s="79"/>
      <c r="H971" s="79"/>
      <c r="I971" s="79"/>
      <c r="J971" s="79"/>
      <c r="K971" s="79"/>
    </row>
    <row r="972">
      <c r="C972" s="79"/>
      <c r="D972" s="79"/>
      <c r="E972" s="79"/>
      <c r="F972" s="79"/>
      <c r="G972" s="79"/>
      <c r="H972" s="79"/>
      <c r="I972" s="79"/>
      <c r="J972" s="79"/>
      <c r="K972" s="79"/>
    </row>
    <row r="973">
      <c r="C973" s="79"/>
      <c r="D973" s="79"/>
      <c r="E973" s="79"/>
      <c r="F973" s="79"/>
      <c r="G973" s="79"/>
      <c r="H973" s="79"/>
      <c r="I973" s="79"/>
      <c r="J973" s="79"/>
      <c r="K973" s="79"/>
    </row>
    <row r="974">
      <c r="C974" s="79"/>
      <c r="D974" s="79"/>
      <c r="E974" s="79"/>
      <c r="F974" s="79"/>
      <c r="G974" s="79"/>
      <c r="H974" s="79"/>
      <c r="I974" s="79"/>
      <c r="J974" s="79"/>
      <c r="K974" s="79"/>
    </row>
    <row r="975">
      <c r="C975" s="79"/>
      <c r="D975" s="79"/>
      <c r="E975" s="79"/>
      <c r="F975" s="79"/>
      <c r="G975" s="79"/>
      <c r="H975" s="79"/>
      <c r="I975" s="79"/>
      <c r="J975" s="79"/>
      <c r="K975" s="79"/>
    </row>
    <row r="976">
      <c r="C976" s="79"/>
      <c r="D976" s="79"/>
      <c r="E976" s="79"/>
      <c r="F976" s="79"/>
      <c r="G976" s="79"/>
      <c r="H976" s="79"/>
      <c r="I976" s="79"/>
      <c r="J976" s="79"/>
      <c r="K976" s="79"/>
    </row>
    <row r="977">
      <c r="C977" s="79"/>
      <c r="D977" s="79"/>
      <c r="E977" s="79"/>
      <c r="F977" s="79"/>
      <c r="G977" s="79"/>
      <c r="H977" s="79"/>
      <c r="I977" s="79"/>
      <c r="J977" s="79"/>
      <c r="K977" s="79"/>
    </row>
    <row r="978">
      <c r="C978" s="79"/>
      <c r="D978" s="79"/>
      <c r="E978" s="79"/>
      <c r="F978" s="79"/>
      <c r="G978" s="79"/>
      <c r="H978" s="79"/>
      <c r="I978" s="79"/>
      <c r="J978" s="79"/>
      <c r="K978" s="79"/>
    </row>
    <row r="979">
      <c r="C979" s="79"/>
      <c r="D979" s="79"/>
      <c r="E979" s="79"/>
      <c r="F979" s="79"/>
      <c r="G979" s="79"/>
      <c r="H979" s="79"/>
      <c r="I979" s="79"/>
      <c r="J979" s="79"/>
      <c r="K979" s="79"/>
    </row>
    <row r="980">
      <c r="C980" s="79"/>
      <c r="D980" s="79"/>
      <c r="E980" s="79"/>
      <c r="F980" s="79"/>
      <c r="G980" s="79"/>
      <c r="H980" s="79"/>
      <c r="I980" s="79"/>
      <c r="J980" s="79"/>
      <c r="K980" s="79"/>
    </row>
    <row r="981">
      <c r="C981" s="79"/>
      <c r="D981" s="79"/>
      <c r="E981" s="79"/>
      <c r="F981" s="79"/>
      <c r="G981" s="79"/>
      <c r="H981" s="79"/>
      <c r="I981" s="79"/>
      <c r="J981" s="79"/>
      <c r="K981" s="79"/>
    </row>
    <row r="982">
      <c r="C982" s="79"/>
      <c r="D982" s="79"/>
      <c r="E982" s="79"/>
      <c r="F982" s="79"/>
      <c r="G982" s="79"/>
      <c r="H982" s="79"/>
      <c r="I982" s="79"/>
      <c r="J982" s="79"/>
      <c r="K982" s="79"/>
    </row>
    <row r="983">
      <c r="C983" s="79"/>
      <c r="D983" s="79"/>
      <c r="E983" s="79"/>
      <c r="F983" s="79"/>
      <c r="G983" s="79"/>
      <c r="H983" s="79"/>
      <c r="I983" s="79"/>
      <c r="J983" s="79"/>
      <c r="K983" s="79"/>
    </row>
    <row r="984">
      <c r="C984" s="79"/>
      <c r="D984" s="79"/>
      <c r="E984" s="79"/>
      <c r="F984" s="79"/>
      <c r="G984" s="79"/>
      <c r="H984" s="79"/>
      <c r="I984" s="79"/>
      <c r="J984" s="79"/>
      <c r="K984" s="79"/>
    </row>
    <row r="985">
      <c r="C985" s="79"/>
      <c r="D985" s="79"/>
      <c r="E985" s="79"/>
      <c r="F985" s="79"/>
      <c r="G985" s="79"/>
      <c r="H985" s="79"/>
      <c r="I985" s="79"/>
      <c r="J985" s="79"/>
      <c r="K985" s="79"/>
    </row>
    <row r="986">
      <c r="C986" s="79"/>
      <c r="D986" s="79"/>
      <c r="E986" s="79"/>
      <c r="F986" s="79"/>
      <c r="G986" s="79"/>
      <c r="H986" s="79"/>
      <c r="I986" s="79"/>
      <c r="J986" s="79"/>
      <c r="K986" s="79"/>
    </row>
    <row r="987">
      <c r="C987" s="79"/>
      <c r="D987" s="79"/>
      <c r="E987" s="79"/>
      <c r="F987" s="79"/>
      <c r="G987" s="79"/>
      <c r="H987" s="79"/>
      <c r="I987" s="79"/>
      <c r="J987" s="79"/>
      <c r="K987" s="79"/>
    </row>
    <row r="988">
      <c r="C988" s="79"/>
      <c r="D988" s="79"/>
      <c r="E988" s="79"/>
      <c r="F988" s="79"/>
      <c r="G988" s="79"/>
      <c r="H988" s="79"/>
      <c r="I988" s="79"/>
      <c r="J988" s="79"/>
      <c r="K988" s="79"/>
    </row>
    <row r="989">
      <c r="C989" s="79"/>
      <c r="D989" s="79"/>
      <c r="E989" s="79"/>
      <c r="F989" s="79"/>
      <c r="G989" s="79"/>
      <c r="H989" s="79"/>
      <c r="I989" s="79"/>
      <c r="J989" s="79"/>
      <c r="K989" s="79"/>
    </row>
    <row r="990">
      <c r="C990" s="79"/>
      <c r="D990" s="79"/>
      <c r="E990" s="79"/>
      <c r="F990" s="79"/>
      <c r="G990" s="79"/>
      <c r="H990" s="79"/>
      <c r="I990" s="79"/>
      <c r="J990" s="79"/>
      <c r="K990" s="79"/>
    </row>
    <row r="991">
      <c r="C991" s="79"/>
      <c r="D991" s="79"/>
      <c r="E991" s="79"/>
      <c r="F991" s="79"/>
      <c r="G991" s="79"/>
      <c r="H991" s="79"/>
      <c r="I991" s="79"/>
      <c r="J991" s="79"/>
      <c r="K991" s="79"/>
    </row>
    <row r="992">
      <c r="C992" s="79"/>
      <c r="D992" s="79"/>
      <c r="E992" s="79"/>
      <c r="F992" s="79"/>
      <c r="G992" s="79"/>
      <c r="H992" s="79"/>
      <c r="I992" s="79"/>
      <c r="J992" s="79"/>
      <c r="K992" s="79"/>
    </row>
    <row r="993">
      <c r="C993" s="79"/>
      <c r="D993" s="79"/>
      <c r="E993" s="79"/>
      <c r="F993" s="79"/>
      <c r="G993" s="79"/>
      <c r="H993" s="79"/>
      <c r="I993" s="79"/>
      <c r="J993" s="79"/>
      <c r="K993" s="79"/>
    </row>
    <row r="994">
      <c r="C994" s="79"/>
      <c r="D994" s="79"/>
      <c r="E994" s="79"/>
      <c r="F994" s="79"/>
      <c r="G994" s="79"/>
      <c r="H994" s="79"/>
      <c r="I994" s="79"/>
      <c r="J994" s="79"/>
      <c r="K994" s="79"/>
    </row>
    <row r="995">
      <c r="C995" s="79"/>
      <c r="D995" s="79"/>
      <c r="E995" s="79"/>
      <c r="F995" s="79"/>
      <c r="G995" s="79"/>
      <c r="H995" s="79"/>
      <c r="I995" s="79"/>
      <c r="J995" s="79"/>
      <c r="K995" s="79"/>
    </row>
    <row r="996">
      <c r="C996" s="79"/>
      <c r="D996" s="79"/>
      <c r="E996" s="79"/>
      <c r="F996" s="79"/>
      <c r="G996" s="79"/>
      <c r="H996" s="79"/>
      <c r="I996" s="79"/>
      <c r="J996" s="79"/>
      <c r="K996" s="79"/>
    </row>
    <row r="997">
      <c r="C997" s="79"/>
      <c r="D997" s="79"/>
      <c r="E997" s="79"/>
      <c r="F997" s="79"/>
      <c r="G997" s="79"/>
      <c r="H997" s="79"/>
      <c r="I997" s="79"/>
      <c r="J997" s="79"/>
      <c r="K997" s="79"/>
    </row>
    <row r="998">
      <c r="C998" s="79"/>
      <c r="D998" s="79"/>
      <c r="E998" s="79"/>
      <c r="F998" s="79"/>
      <c r="G998" s="79"/>
      <c r="H998" s="79"/>
      <c r="I998" s="79"/>
      <c r="J998" s="79"/>
      <c r="K998" s="79"/>
    </row>
    <row r="999">
      <c r="C999" s="79"/>
      <c r="D999" s="79"/>
      <c r="E999" s="79"/>
      <c r="F999" s="79"/>
      <c r="G999" s="79"/>
      <c r="H999" s="79"/>
      <c r="I999" s="79"/>
      <c r="J999" s="79"/>
      <c r="K999" s="79"/>
    </row>
    <row r="1000">
      <c r="C1000" s="79"/>
      <c r="D1000" s="79"/>
      <c r="E1000" s="79"/>
      <c r="F1000" s="79"/>
      <c r="G1000" s="79"/>
      <c r="H1000" s="79"/>
      <c r="I1000" s="79"/>
      <c r="J1000" s="79"/>
      <c r="K1000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3" t="s">
        <v>10</v>
      </c>
    </row>
    <row r="2" ht="22.5" customHeight="1">
      <c r="A2" s="5" t="s">
        <v>11</v>
      </c>
      <c r="B2" s="5" t="s">
        <v>15</v>
      </c>
      <c r="C2" s="11">
        <v>426.0</v>
      </c>
      <c r="D2" s="13">
        <v>0.0</v>
      </c>
      <c r="E2" s="13">
        <v>0.0</v>
      </c>
      <c r="F2" s="13">
        <v>0.0</v>
      </c>
      <c r="G2" s="11">
        <v>10.0</v>
      </c>
      <c r="H2" s="16">
        <v>0.0235</v>
      </c>
      <c r="I2" s="11" t="s">
        <v>16</v>
      </c>
      <c r="J2" s="11">
        <v>33.0</v>
      </c>
      <c r="K2" s="16">
        <v>0.0907</v>
      </c>
      <c r="L2" s="18">
        <f>100-0.58</f>
        <v>99.42</v>
      </c>
    </row>
    <row r="3" ht="22.5" customHeight="1">
      <c r="A3" s="5" t="s">
        <v>11</v>
      </c>
      <c r="B3" s="5" t="s">
        <v>13</v>
      </c>
      <c r="C3" s="22">
        <v>1401.0</v>
      </c>
      <c r="D3" s="22">
        <v>1.0</v>
      </c>
      <c r="E3" s="23">
        <v>7.132667617689016E-4</v>
      </c>
      <c r="F3" s="24">
        <v>5061.6</v>
      </c>
      <c r="G3" s="24">
        <v>42.0</v>
      </c>
      <c r="H3" s="23">
        <v>0.030692362598144184</v>
      </c>
      <c r="I3" s="26">
        <v>541103.8099999998</v>
      </c>
      <c r="J3" s="22">
        <v>103.0</v>
      </c>
      <c r="K3" s="23">
        <v>0.0838079739625712</v>
      </c>
      <c r="L3" s="18">
        <f>100-0.2</f>
        <v>99.8</v>
      </c>
    </row>
    <row r="4" ht="22.5" customHeight="1">
      <c r="A4" s="5" t="s">
        <v>11</v>
      </c>
      <c r="B4" s="5" t="s">
        <v>27</v>
      </c>
      <c r="C4" s="13">
        <v>713.0</v>
      </c>
      <c r="D4" s="13">
        <v>0.0</v>
      </c>
      <c r="E4" s="13">
        <v>0.0</v>
      </c>
      <c r="F4" s="13">
        <v>0.0</v>
      </c>
      <c r="G4" s="13">
        <v>14.0</v>
      </c>
      <c r="H4" s="21">
        <v>0.0196</v>
      </c>
      <c r="I4" s="13" t="s">
        <v>31</v>
      </c>
      <c r="J4" s="13">
        <v>106.0</v>
      </c>
      <c r="K4" s="21">
        <v>0.1693</v>
      </c>
      <c r="L4" s="27">
        <v>100.0</v>
      </c>
    </row>
    <row r="5" ht="22.5" customHeight="1">
      <c r="A5" s="5" t="s">
        <v>11</v>
      </c>
      <c r="B5" s="5" t="s">
        <v>33</v>
      </c>
      <c r="C5" s="13">
        <v>830.0</v>
      </c>
      <c r="D5" s="13">
        <v>1.0</v>
      </c>
      <c r="E5" s="21">
        <v>0.0012</v>
      </c>
      <c r="F5" s="13" t="s">
        <v>35</v>
      </c>
      <c r="G5" s="13">
        <v>11.0</v>
      </c>
      <c r="H5" s="21">
        <v>0.0133</v>
      </c>
      <c r="I5" s="13" t="s">
        <v>37</v>
      </c>
      <c r="J5" s="13">
        <v>140.0</v>
      </c>
      <c r="K5" s="21">
        <v>0.2096</v>
      </c>
      <c r="L5" s="18">
        <f>100-0.65</f>
        <v>99.35</v>
      </c>
    </row>
    <row r="6" ht="22.5" customHeight="1">
      <c r="A6" s="5" t="s">
        <v>11</v>
      </c>
      <c r="B6" s="5" t="s">
        <v>19</v>
      </c>
      <c r="C6" s="6">
        <v>1077.0</v>
      </c>
      <c r="D6" s="6">
        <v>1.0</v>
      </c>
      <c r="E6" s="7">
        <v>9.0E-4</v>
      </c>
      <c r="F6" s="28" t="s">
        <v>41</v>
      </c>
      <c r="G6" s="6">
        <v>13.0</v>
      </c>
      <c r="H6" s="7">
        <v>0.0121</v>
      </c>
      <c r="I6" s="9" t="s">
        <v>44</v>
      </c>
      <c r="J6" s="6">
        <v>104.0</v>
      </c>
      <c r="K6" s="7">
        <v>0.1071</v>
      </c>
      <c r="L6" s="18">
        <f>100-1.09</f>
        <v>98.91</v>
      </c>
    </row>
    <row r="7" ht="22.5" customHeight="1">
      <c r="A7" s="5" t="s">
        <v>11</v>
      </c>
      <c r="B7" s="5" t="s">
        <v>46</v>
      </c>
      <c r="C7" s="13">
        <v>97.0</v>
      </c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12.0</v>
      </c>
      <c r="K7" s="21">
        <v>0.1463</v>
      </c>
      <c r="L7" s="27">
        <v>100.0</v>
      </c>
    </row>
    <row r="8" ht="22.5" customHeight="1">
      <c r="A8" s="5" t="s">
        <v>11</v>
      </c>
      <c r="B8" s="5" t="s">
        <v>50</v>
      </c>
      <c r="C8" s="13">
        <v>409.0</v>
      </c>
      <c r="D8" s="13">
        <v>0.0</v>
      </c>
      <c r="E8" s="13">
        <v>0.0</v>
      </c>
      <c r="F8" s="13">
        <v>0.0</v>
      </c>
      <c r="G8" s="13">
        <v>15.0</v>
      </c>
      <c r="H8" s="21">
        <v>0.0367</v>
      </c>
      <c r="I8" s="13" t="s">
        <v>54</v>
      </c>
      <c r="J8" s="13">
        <v>51.0</v>
      </c>
      <c r="K8" s="21">
        <v>0.1569</v>
      </c>
      <c r="L8" s="18">
        <f>100-1.74</f>
        <v>98.26</v>
      </c>
    </row>
    <row r="9" ht="22.5" customHeight="1">
      <c r="A9" s="5" t="s">
        <v>11</v>
      </c>
      <c r="B9" s="5" t="s">
        <v>58</v>
      </c>
      <c r="C9" s="31">
        <v>574.0</v>
      </c>
      <c r="D9" s="13">
        <v>0.0</v>
      </c>
      <c r="E9" s="13">
        <v>0.0</v>
      </c>
      <c r="F9" s="13">
        <v>0.0</v>
      </c>
      <c r="G9" s="31">
        <v>24.0</v>
      </c>
      <c r="H9" s="33">
        <v>0.041811846689895474</v>
      </c>
      <c r="I9" s="34">
        <v>292276.3299999999</v>
      </c>
      <c r="J9" s="31">
        <v>76.0</v>
      </c>
      <c r="K9" s="33">
        <v>0.1442125237191651</v>
      </c>
      <c r="L9" s="18">
        <f>100-0.86</f>
        <v>99.14</v>
      </c>
    </row>
    <row r="10" ht="22.5" customHeight="1">
      <c r="A10" s="5" t="s">
        <v>11</v>
      </c>
      <c r="B10" s="5" t="s">
        <v>64</v>
      </c>
      <c r="C10" s="13">
        <v>393.0</v>
      </c>
      <c r="D10" s="13">
        <v>0.0</v>
      </c>
      <c r="E10" s="13">
        <v>0.0</v>
      </c>
      <c r="F10" s="13">
        <v>0.0</v>
      </c>
      <c r="G10" s="13">
        <v>5.0</v>
      </c>
      <c r="H10" s="21">
        <v>0.0127</v>
      </c>
      <c r="I10" s="13" t="s">
        <v>67</v>
      </c>
      <c r="J10" s="13">
        <v>37.0</v>
      </c>
      <c r="K10" s="21">
        <v>0.1082</v>
      </c>
      <c r="L10" s="18">
        <f>100-0.24</f>
        <v>99.76</v>
      </c>
    </row>
    <row r="11" ht="22.5" customHeight="1">
      <c r="A11" s="5" t="s">
        <v>11</v>
      </c>
      <c r="B11" s="5" t="s">
        <v>71</v>
      </c>
      <c r="C11" s="13">
        <v>475.0</v>
      </c>
      <c r="D11" s="13">
        <v>0.0</v>
      </c>
      <c r="E11" s="13">
        <v>0.0</v>
      </c>
      <c r="F11" s="13">
        <v>0.0</v>
      </c>
      <c r="G11" s="13">
        <v>8.0</v>
      </c>
      <c r="H11" s="21">
        <v>0.0168</v>
      </c>
      <c r="I11" s="13" t="s">
        <v>74</v>
      </c>
      <c r="J11" s="13">
        <v>49.0</v>
      </c>
      <c r="K11" s="21">
        <v>0.1234</v>
      </c>
      <c r="L11" s="18">
        <f>100-0.23</f>
        <v>99.77</v>
      </c>
    </row>
    <row r="12" ht="22.5" customHeight="1">
      <c r="A12" s="5" t="s">
        <v>11</v>
      </c>
      <c r="B12" s="5" t="s">
        <v>77</v>
      </c>
      <c r="C12" s="13">
        <v>410.0</v>
      </c>
      <c r="D12" s="13">
        <v>2.0</v>
      </c>
      <c r="E12" s="21">
        <v>0.0049</v>
      </c>
      <c r="F12" s="13" t="s">
        <v>78</v>
      </c>
      <c r="G12" s="13">
        <v>10.0</v>
      </c>
      <c r="H12" s="21">
        <v>0.0244</v>
      </c>
      <c r="I12" s="13" t="s">
        <v>80</v>
      </c>
      <c r="J12" s="13">
        <v>44.0</v>
      </c>
      <c r="K12" s="21">
        <v>0.1205</v>
      </c>
      <c r="L12" s="18">
        <f>100-0.56</f>
        <v>99.44</v>
      </c>
    </row>
    <row r="13" ht="22.5" customHeight="1">
      <c r="A13" s="5" t="s">
        <v>11</v>
      </c>
      <c r="B13" s="5" t="s">
        <v>82</v>
      </c>
      <c r="C13" s="13">
        <v>426.0</v>
      </c>
      <c r="D13" s="13">
        <v>3.0</v>
      </c>
      <c r="E13" s="21">
        <v>0.007</v>
      </c>
      <c r="F13" s="13" t="s">
        <v>84</v>
      </c>
      <c r="G13" s="13">
        <v>7.0</v>
      </c>
      <c r="H13" s="21">
        <v>0.0164</v>
      </c>
      <c r="I13" s="13" t="s">
        <v>86</v>
      </c>
      <c r="J13" s="13">
        <v>35.0</v>
      </c>
      <c r="K13" s="21">
        <v>0.0923</v>
      </c>
      <c r="L13" s="18">
        <f>100-1</f>
        <v>99</v>
      </c>
    </row>
    <row r="14" ht="22.5" customHeight="1">
      <c r="A14" s="5" t="s">
        <v>11</v>
      </c>
      <c r="B14" s="5" t="s">
        <v>90</v>
      </c>
      <c r="C14" s="13">
        <v>366.0</v>
      </c>
      <c r="D14" s="13">
        <v>0.0</v>
      </c>
      <c r="E14" s="13">
        <v>0.0</v>
      </c>
      <c r="F14" s="13">
        <v>0.0</v>
      </c>
      <c r="G14" s="13">
        <v>4.0</v>
      </c>
      <c r="H14" s="21">
        <v>0.0109</v>
      </c>
      <c r="I14" s="13" t="s">
        <v>91</v>
      </c>
      <c r="J14" s="13">
        <v>30.0</v>
      </c>
      <c r="K14" s="21">
        <v>0.089</v>
      </c>
      <c r="L14" s="18">
        <f>100-0.19</f>
        <v>99.81</v>
      </c>
    </row>
    <row r="15" ht="22.5" customHeight="1">
      <c r="A15" s="5" t="s">
        <v>11</v>
      </c>
      <c r="B15" s="5" t="s">
        <v>94</v>
      </c>
      <c r="C15" s="13">
        <v>393.0</v>
      </c>
      <c r="D15" s="13">
        <v>0.0</v>
      </c>
      <c r="E15" s="13">
        <v>0.0</v>
      </c>
      <c r="F15" s="13">
        <v>0.0</v>
      </c>
      <c r="G15" s="13">
        <v>2.0</v>
      </c>
      <c r="H15" s="21">
        <v>0.0051</v>
      </c>
      <c r="I15" s="13" t="s">
        <v>97</v>
      </c>
      <c r="J15" s="13">
        <v>42.0</v>
      </c>
      <c r="K15" s="21">
        <v>0.1308</v>
      </c>
      <c r="L15" s="18">
        <f>100-1.02</f>
        <v>98.98</v>
      </c>
    </row>
    <row r="16" ht="22.5" customHeight="1">
      <c r="A16" s="5" t="s">
        <v>11</v>
      </c>
      <c r="B16" s="5" t="s">
        <v>39</v>
      </c>
      <c r="C16" s="13">
        <v>808.0</v>
      </c>
      <c r="D16" s="13">
        <v>0.0</v>
      </c>
      <c r="E16" s="13">
        <v>0.0</v>
      </c>
      <c r="F16" s="13">
        <v>0.0</v>
      </c>
      <c r="G16" s="13">
        <v>21.0</v>
      </c>
      <c r="H16" s="21">
        <v>0.026</v>
      </c>
      <c r="I16" s="13" t="s">
        <v>101</v>
      </c>
      <c r="J16" s="13">
        <v>84.0</v>
      </c>
      <c r="K16" s="21">
        <v>0.1205</v>
      </c>
      <c r="L16" s="27">
        <v>100.0</v>
      </c>
    </row>
    <row r="17" ht="22.5" customHeight="1">
      <c r="A17" s="5" t="s">
        <v>11</v>
      </c>
      <c r="B17" s="5" t="s">
        <v>104</v>
      </c>
      <c r="C17" s="13">
        <v>188.0</v>
      </c>
      <c r="D17" s="13">
        <v>0.0</v>
      </c>
      <c r="E17" s="13">
        <v>0.0</v>
      </c>
      <c r="F17" s="13">
        <v>0.0</v>
      </c>
      <c r="G17" s="13">
        <v>1.0</v>
      </c>
      <c r="H17" s="21">
        <v>0.0053</v>
      </c>
      <c r="I17" s="13" t="s">
        <v>105</v>
      </c>
      <c r="J17" s="13">
        <v>0.0</v>
      </c>
      <c r="K17" s="13">
        <v>0.0</v>
      </c>
      <c r="L17" s="27">
        <f>100-0.71</f>
        <v>99.29</v>
      </c>
    </row>
    <row r="18" ht="22.5" customHeight="1">
      <c r="A18" s="5" t="s">
        <v>11</v>
      </c>
      <c r="B18" s="5" t="s">
        <v>59</v>
      </c>
      <c r="C18" s="13">
        <v>592.0</v>
      </c>
      <c r="D18" s="13">
        <v>0.0</v>
      </c>
      <c r="E18" s="13">
        <v>0.0</v>
      </c>
      <c r="F18" s="13">
        <v>0.0</v>
      </c>
      <c r="G18" s="13">
        <v>22.0</v>
      </c>
      <c r="H18" s="21">
        <v>0.0372</v>
      </c>
      <c r="I18" s="13" t="s">
        <v>110</v>
      </c>
      <c r="J18" s="13">
        <v>64.0</v>
      </c>
      <c r="K18" s="21">
        <v>0.1224</v>
      </c>
      <c r="L18" s="18">
        <f>100-1.57</f>
        <v>98.43</v>
      </c>
    </row>
    <row r="19" ht="22.5" customHeight="1">
      <c r="A19" s="5" t="s">
        <v>11</v>
      </c>
      <c r="B19" s="5" t="s">
        <v>114</v>
      </c>
      <c r="C19" s="13">
        <v>360.0</v>
      </c>
      <c r="D19" s="13">
        <v>0.0</v>
      </c>
      <c r="E19" s="13">
        <v>0.0</v>
      </c>
      <c r="F19" s="13">
        <v>0.0</v>
      </c>
      <c r="G19" s="13">
        <v>8.0</v>
      </c>
      <c r="H19" s="21">
        <v>0.0222</v>
      </c>
      <c r="I19" s="13" t="s">
        <v>117</v>
      </c>
      <c r="J19" s="13">
        <v>50.0</v>
      </c>
      <c r="K19" s="21">
        <v>0.1736</v>
      </c>
      <c r="L19" s="18">
        <f>100-0.3</f>
        <v>99.7</v>
      </c>
    </row>
    <row r="20" ht="22.5" customHeight="1">
      <c r="A20" s="5" t="s">
        <v>11</v>
      </c>
      <c r="B20" s="5" t="s">
        <v>119</v>
      </c>
      <c r="C20" s="13">
        <v>302.0</v>
      </c>
      <c r="D20" s="13">
        <v>0.0</v>
      </c>
      <c r="E20" s="13">
        <v>0.0</v>
      </c>
      <c r="F20" s="13">
        <v>0.0</v>
      </c>
      <c r="G20" s="13">
        <v>12.0</v>
      </c>
      <c r="H20" s="21">
        <v>0.0397</v>
      </c>
      <c r="I20" s="13" t="s">
        <v>122</v>
      </c>
      <c r="J20" s="13">
        <v>19.0</v>
      </c>
      <c r="K20" s="21">
        <v>0.0683</v>
      </c>
      <c r="L20" s="18">
        <f>100-0.27</f>
        <v>99.73</v>
      </c>
    </row>
    <row r="21" ht="22.5" customHeight="1">
      <c r="A21" s="5" t="s">
        <v>11</v>
      </c>
      <c r="B21" s="5" t="s">
        <v>126</v>
      </c>
      <c r="C21" s="13">
        <v>230.0</v>
      </c>
      <c r="D21" s="13">
        <v>1.0</v>
      </c>
      <c r="E21" s="21">
        <v>0.0043</v>
      </c>
      <c r="F21" s="13" t="s">
        <v>128</v>
      </c>
      <c r="G21" s="13">
        <v>3.0</v>
      </c>
      <c r="H21" s="21">
        <v>0.013</v>
      </c>
      <c r="I21" s="13" t="s">
        <v>132</v>
      </c>
      <c r="J21" s="13">
        <v>16.0</v>
      </c>
      <c r="K21" s="21">
        <v>0.0792</v>
      </c>
      <c r="L21" s="18">
        <f t="shared" ref="L21:L22" si="1">100-2.15</f>
        <v>97.85</v>
      </c>
    </row>
    <row r="22" ht="22.5" customHeight="1">
      <c r="A22" s="5" t="s">
        <v>11</v>
      </c>
      <c r="B22" s="5" t="s">
        <v>136</v>
      </c>
      <c r="C22" s="13">
        <v>481.0</v>
      </c>
      <c r="D22" s="13">
        <v>0.0</v>
      </c>
      <c r="E22" s="13">
        <v>0.0</v>
      </c>
      <c r="F22" s="13">
        <v>0.0</v>
      </c>
      <c r="G22" s="13">
        <v>8.0</v>
      </c>
      <c r="H22" s="21">
        <v>0.0166</v>
      </c>
      <c r="I22" s="13" t="s">
        <v>138</v>
      </c>
      <c r="J22" s="13">
        <v>64.0</v>
      </c>
      <c r="K22" s="21">
        <v>0.1604</v>
      </c>
      <c r="L22" s="18">
        <f t="shared" si="1"/>
        <v>97.85</v>
      </c>
    </row>
    <row r="23" ht="22.5" customHeight="1">
      <c r="A23" s="5" t="s">
        <v>11</v>
      </c>
      <c r="B23" s="5" t="s">
        <v>72</v>
      </c>
      <c r="C23" s="13">
        <v>541.0</v>
      </c>
      <c r="D23" s="13">
        <v>0.0</v>
      </c>
      <c r="E23" s="13">
        <v>0.0</v>
      </c>
      <c r="F23" s="13">
        <v>0.0</v>
      </c>
      <c r="G23" s="13">
        <v>5.0</v>
      </c>
      <c r="H23" s="21">
        <v>0.0092</v>
      </c>
      <c r="I23" s="13" t="s">
        <v>142</v>
      </c>
      <c r="J23" s="13">
        <v>32.0</v>
      </c>
      <c r="K23" s="21">
        <v>0.0658</v>
      </c>
      <c r="L23" s="27">
        <v>100.0</v>
      </c>
    </row>
    <row r="24" ht="22.5" customHeight="1">
      <c r="A24" s="5" t="s">
        <v>11</v>
      </c>
      <c r="B24" s="5" t="s">
        <v>145</v>
      </c>
      <c r="C24" s="13">
        <v>277.0</v>
      </c>
      <c r="D24" s="13">
        <v>0.0</v>
      </c>
      <c r="E24" s="13">
        <v>0.0</v>
      </c>
      <c r="F24" s="13">
        <v>0.0</v>
      </c>
      <c r="G24" s="13">
        <v>12.0</v>
      </c>
      <c r="H24" s="21">
        <v>0.0433</v>
      </c>
      <c r="I24" s="13" t="s">
        <v>147</v>
      </c>
      <c r="J24" s="13">
        <v>25.0</v>
      </c>
      <c r="K24" s="21">
        <v>0.1037</v>
      </c>
      <c r="L24" s="18">
        <f>100-0.27</f>
        <v>99.73</v>
      </c>
    </row>
    <row r="25" ht="22.5" customHeight="1">
      <c r="A25" s="5" t="s">
        <v>11</v>
      </c>
      <c r="B25" s="5" t="s">
        <v>85</v>
      </c>
      <c r="C25" s="13">
        <v>449.0</v>
      </c>
      <c r="D25" s="13">
        <v>2.0</v>
      </c>
      <c r="E25" s="21">
        <v>0.0044</v>
      </c>
      <c r="F25" s="13" t="s">
        <v>149</v>
      </c>
      <c r="G25" s="13">
        <v>8.0</v>
      </c>
      <c r="H25" s="21">
        <v>0.0178</v>
      </c>
      <c r="I25" s="13" t="s">
        <v>151</v>
      </c>
      <c r="J25" s="13">
        <v>23.0</v>
      </c>
      <c r="K25" s="21">
        <v>0.0576</v>
      </c>
      <c r="L25" s="18">
        <f>100-7</f>
        <v>93</v>
      </c>
    </row>
    <row r="26" ht="22.5" customHeight="1">
      <c r="A26" s="5" t="s">
        <v>11</v>
      </c>
      <c r="B26" s="35" t="s">
        <v>79</v>
      </c>
      <c r="C26" s="13">
        <v>486.0</v>
      </c>
      <c r="D26" s="13">
        <v>0.0</v>
      </c>
      <c r="E26" s="13">
        <v>0.0</v>
      </c>
      <c r="F26" s="13">
        <v>0.0</v>
      </c>
      <c r="G26" s="13">
        <v>8.0</v>
      </c>
      <c r="H26" s="21">
        <v>0.0165</v>
      </c>
      <c r="I26" s="13" t="s">
        <v>167</v>
      </c>
      <c r="J26" s="13">
        <v>26.0</v>
      </c>
      <c r="K26" s="21">
        <v>0.059</v>
      </c>
      <c r="L26" s="18">
        <f>100-0.49</f>
        <v>99.51</v>
      </c>
    </row>
    <row r="27" ht="22.5" customHeight="1">
      <c r="A27" s="5" t="s">
        <v>11</v>
      </c>
      <c r="B27" s="5" t="s">
        <v>109</v>
      </c>
      <c r="C27" s="13">
        <v>488.0</v>
      </c>
      <c r="D27" s="13">
        <v>1.0</v>
      </c>
      <c r="E27" s="21">
        <v>0.002</v>
      </c>
      <c r="F27" s="13" t="s">
        <v>173</v>
      </c>
      <c r="G27" s="13">
        <v>8.0</v>
      </c>
      <c r="H27" s="21">
        <v>0.0164</v>
      </c>
      <c r="I27" s="13" t="s">
        <v>175</v>
      </c>
      <c r="J27" s="13">
        <v>17.0</v>
      </c>
      <c r="K27" s="21">
        <v>0.0394</v>
      </c>
      <c r="L27" s="18">
        <f>100-3.66</f>
        <v>96.34</v>
      </c>
    </row>
    <row r="28" ht="22.5" customHeight="1">
      <c r="A28" s="5" t="s">
        <v>11</v>
      </c>
      <c r="B28" s="5" t="s">
        <v>49</v>
      </c>
      <c r="C28" s="29">
        <v>691.0</v>
      </c>
      <c r="D28" s="13">
        <v>0.0</v>
      </c>
      <c r="E28" s="13">
        <v>0.0</v>
      </c>
      <c r="F28" s="13">
        <v>0.0</v>
      </c>
      <c r="G28" s="29">
        <v>12.0</v>
      </c>
      <c r="H28" s="30">
        <v>0.0174</v>
      </c>
      <c r="I28" s="29" t="s">
        <v>179</v>
      </c>
      <c r="J28" s="29">
        <v>81.0</v>
      </c>
      <c r="K28" s="30">
        <v>0.1302</v>
      </c>
      <c r="L28" s="18">
        <f>100</f>
        <v>100</v>
      </c>
    </row>
    <row r="29" ht="22.5" customHeight="1">
      <c r="A29" s="5" t="s">
        <v>11</v>
      </c>
      <c r="B29" s="5" t="s">
        <v>115</v>
      </c>
      <c r="C29" s="13">
        <v>452.0</v>
      </c>
      <c r="D29" s="13">
        <v>0.0</v>
      </c>
      <c r="E29" s="13">
        <v>0.0</v>
      </c>
      <c r="F29" s="13">
        <v>0.0</v>
      </c>
      <c r="G29" s="13">
        <v>11.0</v>
      </c>
      <c r="H29" s="21">
        <v>0.0243</v>
      </c>
      <c r="I29" s="13" t="s">
        <v>182</v>
      </c>
      <c r="J29" s="13">
        <v>44.0</v>
      </c>
      <c r="K29" s="21">
        <v>0.1111</v>
      </c>
      <c r="L29" s="18">
        <f>100-0.84</f>
        <v>99.16</v>
      </c>
    </row>
    <row r="30" ht="22.5" customHeight="1">
      <c r="A30" s="5" t="s">
        <v>11</v>
      </c>
      <c r="B30" s="5" t="s">
        <v>45</v>
      </c>
      <c r="C30" s="13">
        <v>779.0</v>
      </c>
      <c r="D30" s="13">
        <v>1.0</v>
      </c>
      <c r="E30" s="21">
        <v>0.0013</v>
      </c>
      <c r="F30" s="13" t="s">
        <v>128</v>
      </c>
      <c r="G30" s="13">
        <v>19.0</v>
      </c>
      <c r="H30" s="21">
        <v>0.0244</v>
      </c>
      <c r="I30" s="13" t="s">
        <v>186</v>
      </c>
      <c r="J30" s="13">
        <v>69.0</v>
      </c>
      <c r="K30" s="21">
        <v>0.0986</v>
      </c>
      <c r="L30" s="18">
        <f>100-1.13</f>
        <v>98.87</v>
      </c>
    </row>
    <row r="31" ht="22.5" customHeight="1">
      <c r="A31" s="5" t="s">
        <v>11</v>
      </c>
      <c r="B31" s="5" t="s">
        <v>170</v>
      </c>
      <c r="C31" s="6">
        <v>304.0</v>
      </c>
      <c r="D31" s="6">
        <v>1.0</v>
      </c>
      <c r="E31" s="7">
        <v>0.0033</v>
      </c>
      <c r="F31" s="28" t="s">
        <v>128</v>
      </c>
      <c r="G31" s="6">
        <v>12.0</v>
      </c>
      <c r="H31" s="7">
        <v>0.0395</v>
      </c>
      <c r="I31" s="9" t="s">
        <v>194</v>
      </c>
      <c r="J31" s="6">
        <v>38.0</v>
      </c>
      <c r="K31" s="7">
        <v>0.1439</v>
      </c>
      <c r="L31" s="18">
        <f>100-1.09</f>
        <v>98.91</v>
      </c>
    </row>
    <row r="32" ht="22.5" customHeight="1">
      <c r="A32" s="5" t="s">
        <v>11</v>
      </c>
      <c r="B32" s="5" t="s">
        <v>123</v>
      </c>
      <c r="C32" s="13">
        <v>460.0</v>
      </c>
      <c r="D32" s="13">
        <v>0.0</v>
      </c>
      <c r="E32" s="13">
        <v>0.0</v>
      </c>
      <c r="F32" s="13">
        <v>0.0</v>
      </c>
      <c r="G32" s="13">
        <v>13.0</v>
      </c>
      <c r="H32" s="21">
        <v>0.0304</v>
      </c>
      <c r="I32" s="13" t="s">
        <v>205</v>
      </c>
      <c r="J32" s="13">
        <v>29.0</v>
      </c>
      <c r="K32" s="21">
        <v>0.0713</v>
      </c>
      <c r="L32" s="18">
        <f>100-1.74</f>
        <v>98.26</v>
      </c>
    </row>
    <row r="33" ht="22.5" customHeight="1">
      <c r="A33" s="5" t="s">
        <v>11</v>
      </c>
      <c r="B33" s="5" t="s">
        <v>96</v>
      </c>
      <c r="C33" s="13">
        <v>327.0</v>
      </c>
      <c r="D33" s="13">
        <v>0.0</v>
      </c>
      <c r="E33" s="13">
        <v>0.0</v>
      </c>
      <c r="F33" s="13">
        <v>0.0</v>
      </c>
      <c r="G33" s="13">
        <v>5.0</v>
      </c>
      <c r="H33" s="21">
        <v>0.0153</v>
      </c>
      <c r="I33" s="13" t="s">
        <v>216</v>
      </c>
      <c r="J33" s="13">
        <v>16.0</v>
      </c>
      <c r="K33" s="21">
        <v>0.0554</v>
      </c>
      <c r="L33" s="18">
        <f>100-0.31</f>
        <v>99.69</v>
      </c>
    </row>
    <row r="34" ht="22.5" customHeight="1">
      <c r="A34" s="5" t="s">
        <v>11</v>
      </c>
      <c r="B34" s="5" t="s">
        <v>156</v>
      </c>
      <c r="C34" s="13">
        <v>431.0</v>
      </c>
      <c r="D34" s="13">
        <v>0.0</v>
      </c>
      <c r="E34" s="13">
        <v>0.0</v>
      </c>
      <c r="F34" s="13">
        <v>0.0</v>
      </c>
      <c r="G34" s="13">
        <v>15.0</v>
      </c>
      <c r="H34" s="21">
        <v>0.0348</v>
      </c>
      <c r="I34" s="13" t="s">
        <v>227</v>
      </c>
      <c r="J34" s="13">
        <v>29.0</v>
      </c>
      <c r="K34" s="21">
        <v>0.078</v>
      </c>
      <c r="L34" s="18">
        <f>100-3.79</f>
        <v>96.21</v>
      </c>
    </row>
    <row r="35" ht="22.5" customHeight="1">
      <c r="A35" s="5" t="s">
        <v>11</v>
      </c>
      <c r="B35" s="5" t="s">
        <v>153</v>
      </c>
      <c r="C35" s="13">
        <v>322.0</v>
      </c>
      <c r="D35" s="13">
        <v>1.0</v>
      </c>
      <c r="E35" s="21">
        <v>0.0031</v>
      </c>
      <c r="F35" s="13" t="s">
        <v>235</v>
      </c>
      <c r="G35" s="13">
        <v>8.0</v>
      </c>
      <c r="H35" s="21">
        <v>0.0248</v>
      </c>
      <c r="I35" s="13" t="s">
        <v>236</v>
      </c>
      <c r="J35" s="13">
        <v>10.0</v>
      </c>
      <c r="K35" s="21">
        <v>0.0337</v>
      </c>
      <c r="L35" s="27">
        <v>100.0</v>
      </c>
    </row>
    <row r="36" ht="22.5" customHeight="1">
      <c r="A36" s="5" t="s">
        <v>11</v>
      </c>
      <c r="B36" s="5" t="s">
        <v>159</v>
      </c>
      <c r="C36" s="13">
        <v>318.0</v>
      </c>
      <c r="D36" s="13">
        <v>1.0</v>
      </c>
      <c r="E36" s="21">
        <v>0.0031</v>
      </c>
      <c r="F36" s="13" t="s">
        <v>41</v>
      </c>
      <c r="G36" s="13">
        <v>3.0</v>
      </c>
      <c r="H36" s="21">
        <v>0.0094</v>
      </c>
      <c r="I36" s="13" t="s">
        <v>246</v>
      </c>
      <c r="J36" s="13">
        <v>18.0</v>
      </c>
      <c r="K36" s="21">
        <v>0.0655</v>
      </c>
      <c r="L36" s="18">
        <f>100</f>
        <v>100</v>
      </c>
    </row>
    <row r="37" ht="22.5" customHeight="1">
      <c r="A37" s="5" t="s">
        <v>11</v>
      </c>
      <c r="B37" s="5" t="s">
        <v>26</v>
      </c>
      <c r="C37" s="13">
        <v>799.0</v>
      </c>
      <c r="D37" s="13">
        <v>3.0</v>
      </c>
      <c r="E37" s="21">
        <v>0.0037</v>
      </c>
      <c r="F37" s="13" t="s">
        <v>254</v>
      </c>
      <c r="G37" s="13">
        <v>14.0</v>
      </c>
      <c r="H37" s="21">
        <v>0.0175</v>
      </c>
      <c r="I37" s="13" t="s">
        <v>257</v>
      </c>
      <c r="J37" s="13">
        <v>62.0</v>
      </c>
      <c r="K37" s="21">
        <v>0.0876</v>
      </c>
      <c r="L37" s="18">
        <f>100-1.52</f>
        <v>98.48</v>
      </c>
    </row>
    <row r="38" ht="22.5" customHeight="1">
      <c r="A38" s="5" t="s">
        <v>11</v>
      </c>
      <c r="B38" s="5" t="s">
        <v>23</v>
      </c>
      <c r="C38" s="13">
        <v>953.0</v>
      </c>
      <c r="D38" s="13">
        <v>0.0</v>
      </c>
      <c r="E38" s="13">
        <v>0.0</v>
      </c>
      <c r="F38" s="13">
        <v>0.0</v>
      </c>
      <c r="G38" s="13">
        <v>23.0</v>
      </c>
      <c r="H38" s="21">
        <v>0.0241</v>
      </c>
      <c r="I38" s="13" t="s">
        <v>269</v>
      </c>
      <c r="J38" s="13">
        <v>144.0</v>
      </c>
      <c r="K38" s="21">
        <v>0.1694</v>
      </c>
      <c r="L38" s="18">
        <f>100-0.86</f>
        <v>99.14</v>
      </c>
    </row>
    <row r="39" ht="22.5" customHeight="1">
      <c r="A39" s="5" t="s">
        <v>11</v>
      </c>
      <c r="B39" s="5" t="s">
        <v>63</v>
      </c>
      <c r="C39" s="13">
        <v>633.0</v>
      </c>
      <c r="D39" s="13">
        <v>2.0</v>
      </c>
      <c r="E39" s="21">
        <v>0.0031</v>
      </c>
      <c r="F39" s="13" t="s">
        <v>277</v>
      </c>
      <c r="G39" s="13">
        <v>8.0</v>
      </c>
      <c r="H39" s="21">
        <v>0.0126</v>
      </c>
      <c r="I39" s="13" t="s">
        <v>279</v>
      </c>
      <c r="J39" s="13">
        <v>32.0</v>
      </c>
      <c r="K39" s="21">
        <v>0.0587</v>
      </c>
      <c r="L39" s="27">
        <v>100.0</v>
      </c>
    </row>
    <row r="40" ht="22.5" customHeight="1">
      <c r="A40" s="5" t="s">
        <v>185</v>
      </c>
      <c r="B40" s="5" t="s">
        <v>136</v>
      </c>
      <c r="C40" s="13">
        <v>78.0</v>
      </c>
      <c r="D40" s="49" t="s">
        <v>258</v>
      </c>
      <c r="E40" s="49">
        <v>0.0</v>
      </c>
      <c r="F40" s="50">
        <v>0.0</v>
      </c>
      <c r="G40" s="49" t="s">
        <v>290</v>
      </c>
      <c r="H40" s="49">
        <v>6.0</v>
      </c>
      <c r="I40" s="47" t="s">
        <v>296</v>
      </c>
      <c r="J40" s="51">
        <v>32.0</v>
      </c>
      <c r="K40" s="49" t="s">
        <v>297</v>
      </c>
      <c r="L40" s="49" t="s">
        <v>298</v>
      </c>
    </row>
    <row r="41" ht="22.5" customHeight="1">
      <c r="A41" s="5" t="s">
        <v>185</v>
      </c>
      <c r="B41" s="5" t="s">
        <v>33</v>
      </c>
      <c r="C41" s="13">
        <v>283.0</v>
      </c>
      <c r="D41" s="49" t="s">
        <v>258</v>
      </c>
      <c r="E41" s="49">
        <v>0.0</v>
      </c>
      <c r="F41" s="50">
        <v>0.0</v>
      </c>
      <c r="G41" s="49" t="s">
        <v>304</v>
      </c>
      <c r="H41" s="49">
        <v>10.0</v>
      </c>
      <c r="I41" s="47" t="s">
        <v>305</v>
      </c>
      <c r="J41" s="51">
        <v>171.0</v>
      </c>
      <c r="K41" s="49" t="s">
        <v>307</v>
      </c>
      <c r="L41" s="49" t="s">
        <v>298</v>
      </c>
    </row>
    <row r="42" ht="22.5" customHeight="1">
      <c r="A42" s="5" t="s">
        <v>185</v>
      </c>
      <c r="B42" s="5" t="s">
        <v>26</v>
      </c>
      <c r="C42" s="13">
        <v>472.0</v>
      </c>
      <c r="D42" s="49" t="s">
        <v>313</v>
      </c>
      <c r="E42" s="49">
        <v>2.0</v>
      </c>
      <c r="F42" s="50">
        <v>0.0</v>
      </c>
      <c r="G42" s="49" t="s">
        <v>316</v>
      </c>
      <c r="H42" s="49">
        <v>17.0</v>
      </c>
      <c r="I42" s="47" t="s">
        <v>317</v>
      </c>
      <c r="J42" s="51">
        <v>36.0</v>
      </c>
      <c r="K42" s="49" t="s">
        <v>318</v>
      </c>
      <c r="L42" s="49" t="s">
        <v>320</v>
      </c>
    </row>
    <row r="43" ht="22.5" customHeight="1">
      <c r="A43" s="5" t="s">
        <v>185</v>
      </c>
      <c r="B43" s="5" t="s">
        <v>63</v>
      </c>
      <c r="C43" s="13">
        <v>553.0</v>
      </c>
      <c r="D43" s="49" t="s">
        <v>326</v>
      </c>
      <c r="E43" s="49">
        <v>1.0</v>
      </c>
      <c r="F43" s="50">
        <v>0.0</v>
      </c>
      <c r="G43" s="49" t="s">
        <v>329</v>
      </c>
      <c r="H43" s="49">
        <v>9.0</v>
      </c>
      <c r="I43" s="47">
        <v>65424.0</v>
      </c>
      <c r="J43" s="51">
        <v>177.0</v>
      </c>
      <c r="K43" s="49" t="s">
        <v>331</v>
      </c>
      <c r="L43" s="49" t="s">
        <v>298</v>
      </c>
    </row>
    <row r="44" ht="22.5" customHeight="1">
      <c r="A44" s="5" t="s">
        <v>185</v>
      </c>
      <c r="B44" s="5" t="s">
        <v>13</v>
      </c>
      <c r="C44" s="52">
        <v>570.0</v>
      </c>
      <c r="D44" s="42" t="s">
        <v>336</v>
      </c>
      <c r="E44" s="42">
        <v>2.0</v>
      </c>
      <c r="F44" s="50">
        <v>0.0</v>
      </c>
      <c r="G44" s="42" t="s">
        <v>339</v>
      </c>
      <c r="H44" s="42">
        <v>34.0</v>
      </c>
      <c r="I44" s="47" t="s">
        <v>341</v>
      </c>
      <c r="J44" s="51">
        <v>214.0</v>
      </c>
      <c r="K44" s="44" t="s">
        <v>346</v>
      </c>
      <c r="L44" s="42" t="s">
        <v>298</v>
      </c>
    </row>
    <row r="45" ht="22.5" customHeight="1">
      <c r="A45" s="5" t="s">
        <v>185</v>
      </c>
      <c r="B45" s="5" t="s">
        <v>153</v>
      </c>
      <c r="C45" s="13">
        <v>131.0</v>
      </c>
      <c r="D45" s="42" t="s">
        <v>258</v>
      </c>
      <c r="E45" s="42">
        <v>0.0</v>
      </c>
      <c r="F45" s="50">
        <v>0.0</v>
      </c>
      <c r="G45" s="42" t="s">
        <v>352</v>
      </c>
      <c r="H45" s="42">
        <v>11.0</v>
      </c>
      <c r="I45" s="47" t="s">
        <v>355</v>
      </c>
      <c r="J45" s="51">
        <v>41.0</v>
      </c>
      <c r="K45" s="44" t="s">
        <v>356</v>
      </c>
      <c r="L45" s="42" t="s">
        <v>298</v>
      </c>
    </row>
    <row r="46" ht="22.5" customHeight="1">
      <c r="A46" s="5" t="s">
        <v>185</v>
      </c>
      <c r="B46" s="5" t="s">
        <v>19</v>
      </c>
      <c r="C46" s="13">
        <v>367.0</v>
      </c>
      <c r="D46" s="49" t="s">
        <v>258</v>
      </c>
      <c r="E46" s="49">
        <v>0.0</v>
      </c>
      <c r="F46" s="50">
        <v>0.0</v>
      </c>
      <c r="G46" s="49" t="s">
        <v>364</v>
      </c>
      <c r="H46" s="49">
        <v>12.0</v>
      </c>
      <c r="I46" s="47" t="s">
        <v>367</v>
      </c>
      <c r="J46" s="51">
        <v>125.0</v>
      </c>
      <c r="K46" s="49" t="s">
        <v>370</v>
      </c>
      <c r="L46" s="49" t="s">
        <v>372</v>
      </c>
    </row>
    <row r="47" ht="22.5" customHeight="1">
      <c r="A47" s="5" t="s">
        <v>185</v>
      </c>
      <c r="B47" s="5" t="s">
        <v>15</v>
      </c>
      <c r="C47" s="13">
        <v>48.0</v>
      </c>
      <c r="D47" s="42" t="s">
        <v>258</v>
      </c>
      <c r="E47" s="42">
        <v>0.0</v>
      </c>
      <c r="F47" s="50">
        <v>0.0</v>
      </c>
      <c r="G47" s="42" t="s">
        <v>198</v>
      </c>
      <c r="H47" s="42">
        <v>2.0</v>
      </c>
      <c r="I47" s="47" t="s">
        <v>380</v>
      </c>
      <c r="J47" s="51">
        <v>9.0</v>
      </c>
      <c r="K47" s="44" t="s">
        <v>382</v>
      </c>
      <c r="L47" s="42" t="s">
        <v>386</v>
      </c>
    </row>
    <row r="48" ht="22.5" customHeight="1">
      <c r="A48" s="5" t="s">
        <v>185</v>
      </c>
      <c r="B48" s="5" t="s">
        <v>82</v>
      </c>
      <c r="C48" s="13">
        <v>126.0</v>
      </c>
      <c r="D48" s="42" t="s">
        <v>389</v>
      </c>
      <c r="E48" s="42">
        <v>1.0</v>
      </c>
      <c r="F48" s="50">
        <v>0.0</v>
      </c>
      <c r="G48" s="42" t="s">
        <v>390</v>
      </c>
      <c r="H48" s="42">
        <v>2.0</v>
      </c>
      <c r="I48" s="47">
        <v>8625.0</v>
      </c>
      <c r="J48" s="51">
        <v>42.0</v>
      </c>
      <c r="K48" s="44" t="s">
        <v>391</v>
      </c>
      <c r="L48" s="42" t="s">
        <v>298</v>
      </c>
    </row>
    <row r="49" ht="22.5" customHeight="1">
      <c r="A49" s="5" t="s">
        <v>185</v>
      </c>
      <c r="B49" s="5" t="s">
        <v>59</v>
      </c>
      <c r="C49" s="13">
        <v>83.0</v>
      </c>
      <c r="D49" s="42" t="s">
        <v>393</v>
      </c>
      <c r="E49" s="42">
        <v>1.0</v>
      </c>
      <c r="F49" s="50">
        <v>0.0</v>
      </c>
      <c r="G49" s="42" t="s">
        <v>394</v>
      </c>
      <c r="H49" s="42">
        <v>4.0</v>
      </c>
      <c r="I49" s="47">
        <v>15698.0</v>
      </c>
      <c r="J49" s="51">
        <v>33.0</v>
      </c>
      <c r="K49" s="44" t="s">
        <v>397</v>
      </c>
      <c r="L49" s="42" t="s">
        <v>398</v>
      </c>
    </row>
    <row r="50" ht="22.5" customHeight="1">
      <c r="A50" s="5" t="s">
        <v>185</v>
      </c>
      <c r="B50" s="35" t="s">
        <v>79</v>
      </c>
      <c r="C50" s="13">
        <v>186.0</v>
      </c>
      <c r="D50" s="42" t="s">
        <v>258</v>
      </c>
      <c r="E50" s="42">
        <v>0.0</v>
      </c>
      <c r="F50" s="50">
        <v>0.0</v>
      </c>
      <c r="G50" s="42" t="s">
        <v>289</v>
      </c>
      <c r="H50" s="42">
        <v>12.0</v>
      </c>
      <c r="I50" s="47" t="s">
        <v>400</v>
      </c>
      <c r="J50" s="51">
        <v>66.0</v>
      </c>
      <c r="K50" s="44" t="s">
        <v>403</v>
      </c>
      <c r="L50" s="42" t="s">
        <v>298</v>
      </c>
    </row>
    <row r="51" ht="22.5" customHeight="1">
      <c r="A51" s="5" t="s">
        <v>185</v>
      </c>
      <c r="B51" s="5" t="s">
        <v>45</v>
      </c>
      <c r="C51" s="13">
        <v>226.0</v>
      </c>
      <c r="D51" s="42" t="s">
        <v>258</v>
      </c>
      <c r="E51" s="42">
        <v>0.0</v>
      </c>
      <c r="F51" s="50">
        <v>0.0</v>
      </c>
      <c r="G51" s="42" t="s">
        <v>406</v>
      </c>
      <c r="H51" s="42">
        <v>9.0</v>
      </c>
      <c r="I51" s="47" t="s">
        <v>407</v>
      </c>
      <c r="J51" s="51">
        <v>10.0</v>
      </c>
      <c r="K51" s="44" t="s">
        <v>222</v>
      </c>
      <c r="L51" s="42" t="s">
        <v>298</v>
      </c>
    </row>
    <row r="52" ht="22.5" customHeight="1">
      <c r="A52" s="5" t="s">
        <v>185</v>
      </c>
      <c r="B52" s="5" t="s">
        <v>39</v>
      </c>
      <c r="C52" s="13">
        <v>42.0</v>
      </c>
      <c r="D52" s="42" t="s">
        <v>258</v>
      </c>
      <c r="E52" s="42">
        <v>0.0</v>
      </c>
      <c r="F52" s="50">
        <v>0.0</v>
      </c>
      <c r="G52" s="42" t="s">
        <v>258</v>
      </c>
      <c r="H52" s="42">
        <v>0.0</v>
      </c>
      <c r="I52" s="13">
        <v>0.0</v>
      </c>
      <c r="J52" s="51">
        <v>25.0</v>
      </c>
      <c r="K52" s="44" t="s">
        <v>409</v>
      </c>
      <c r="L52" s="42" t="s">
        <v>298</v>
      </c>
    </row>
    <row r="53" ht="22.5" customHeight="1">
      <c r="A53" s="5" t="s">
        <v>185</v>
      </c>
      <c r="B53" s="5" t="s">
        <v>114</v>
      </c>
      <c r="C53" s="13">
        <v>113.0</v>
      </c>
      <c r="D53" s="42" t="s">
        <v>258</v>
      </c>
      <c r="E53" s="42">
        <v>0.0</v>
      </c>
      <c r="F53" s="50">
        <v>0.0</v>
      </c>
      <c r="G53" s="42" t="s">
        <v>412</v>
      </c>
      <c r="H53" s="42">
        <v>4.0</v>
      </c>
      <c r="I53" s="47" t="s">
        <v>413</v>
      </c>
      <c r="J53" s="51">
        <v>80.0</v>
      </c>
      <c r="K53" s="44" t="s">
        <v>414</v>
      </c>
      <c r="L53" s="42" t="s">
        <v>298</v>
      </c>
    </row>
    <row r="54" ht="22.5" customHeight="1">
      <c r="A54" s="5" t="s">
        <v>185</v>
      </c>
      <c r="B54" s="5" t="s">
        <v>77</v>
      </c>
      <c r="C54" s="13">
        <v>130.0</v>
      </c>
      <c r="D54" s="42" t="s">
        <v>258</v>
      </c>
      <c r="E54" s="42">
        <v>0.0</v>
      </c>
      <c r="F54" s="50">
        <v>0.0</v>
      </c>
      <c r="G54" s="42" t="s">
        <v>417</v>
      </c>
      <c r="H54" s="42">
        <v>7.0</v>
      </c>
      <c r="I54" s="47">
        <v>0.0</v>
      </c>
      <c r="J54" s="51">
        <v>45.0</v>
      </c>
      <c r="K54" s="44" t="s">
        <v>418</v>
      </c>
      <c r="L54" s="42" t="s">
        <v>419</v>
      </c>
    </row>
    <row r="55" ht="22.5" customHeight="1">
      <c r="A55" s="5" t="s">
        <v>185</v>
      </c>
      <c r="B55" s="5" t="s">
        <v>58</v>
      </c>
      <c r="C55" s="13">
        <v>190.0</v>
      </c>
      <c r="D55" s="42" t="s">
        <v>258</v>
      </c>
      <c r="E55" s="42">
        <v>0.0</v>
      </c>
      <c r="F55" s="50">
        <v>0.0</v>
      </c>
      <c r="G55" s="42" t="s">
        <v>421</v>
      </c>
      <c r="H55" s="42">
        <v>5.0</v>
      </c>
      <c r="I55" s="47">
        <v>49991.0</v>
      </c>
      <c r="J55" s="51">
        <v>104.0</v>
      </c>
      <c r="K55" s="44" t="s">
        <v>424</v>
      </c>
      <c r="L55" s="42" t="s">
        <v>298</v>
      </c>
    </row>
    <row r="56" ht="22.5" customHeight="1">
      <c r="A56" s="5" t="s">
        <v>185</v>
      </c>
      <c r="B56" s="5" t="s">
        <v>27</v>
      </c>
      <c r="C56" s="13">
        <v>265.0</v>
      </c>
      <c r="D56" s="42" t="s">
        <v>258</v>
      </c>
      <c r="E56" s="42">
        <v>0.0</v>
      </c>
      <c r="F56" s="50">
        <v>0.0</v>
      </c>
      <c r="G56" s="42" t="s">
        <v>427</v>
      </c>
      <c r="H56" s="42">
        <v>15.0</v>
      </c>
      <c r="I56" s="47" t="s">
        <v>430</v>
      </c>
      <c r="J56" s="51">
        <v>161.0</v>
      </c>
      <c r="K56" s="44" t="s">
        <v>431</v>
      </c>
      <c r="L56" s="42" t="s">
        <v>298</v>
      </c>
    </row>
    <row r="57" ht="22.5" customHeight="1">
      <c r="A57" s="5" t="s">
        <v>185</v>
      </c>
      <c r="B57" s="5" t="s">
        <v>23</v>
      </c>
      <c r="C57" s="13">
        <v>238.0</v>
      </c>
      <c r="D57" s="42" t="s">
        <v>258</v>
      </c>
      <c r="E57" s="42">
        <v>0.0</v>
      </c>
      <c r="F57" s="50">
        <v>0.0</v>
      </c>
      <c r="G57" s="42" t="s">
        <v>435</v>
      </c>
      <c r="H57" s="42">
        <v>6.0</v>
      </c>
      <c r="I57" s="47" t="s">
        <v>436</v>
      </c>
      <c r="J57" s="51">
        <v>103.0</v>
      </c>
      <c r="K57" s="44" t="s">
        <v>437</v>
      </c>
      <c r="L57" s="42" t="s">
        <v>298</v>
      </c>
    </row>
    <row r="58" ht="22.5" customHeight="1">
      <c r="A58" s="5" t="s">
        <v>185</v>
      </c>
      <c r="B58" s="5" t="s">
        <v>170</v>
      </c>
      <c r="C58" s="13">
        <v>110.0</v>
      </c>
      <c r="D58" s="42" t="s">
        <v>258</v>
      </c>
      <c r="E58" s="42">
        <v>0.0</v>
      </c>
      <c r="F58" s="50">
        <v>0.0</v>
      </c>
      <c r="G58" s="42" t="s">
        <v>439</v>
      </c>
      <c r="H58" s="42">
        <v>4.0</v>
      </c>
      <c r="I58" s="47" t="s">
        <v>440</v>
      </c>
      <c r="J58" s="51">
        <v>22.0</v>
      </c>
      <c r="K58" s="13" t="s">
        <v>441</v>
      </c>
      <c r="L58" s="46" t="s">
        <v>298</v>
      </c>
    </row>
    <row r="59" ht="22.5" customHeight="1">
      <c r="A59" s="5" t="s">
        <v>185</v>
      </c>
      <c r="B59" s="5" t="s">
        <v>85</v>
      </c>
      <c r="C59" s="13">
        <v>204.0</v>
      </c>
      <c r="D59" s="42" t="s">
        <v>258</v>
      </c>
      <c r="E59" s="42">
        <v>0.0</v>
      </c>
      <c r="F59" s="50">
        <v>0.0</v>
      </c>
      <c r="G59" s="42" t="s">
        <v>444</v>
      </c>
      <c r="H59" s="42">
        <v>8.0</v>
      </c>
      <c r="I59" s="47" t="s">
        <v>445</v>
      </c>
      <c r="J59" s="51">
        <v>44.0</v>
      </c>
      <c r="K59" s="44" t="s">
        <v>447</v>
      </c>
      <c r="L59" s="42" t="s">
        <v>298</v>
      </c>
    </row>
    <row r="60" ht="22.5" customHeight="1">
      <c r="A60" s="5" t="s">
        <v>185</v>
      </c>
      <c r="B60" s="5" t="s">
        <v>90</v>
      </c>
      <c r="C60" s="13">
        <v>11.0</v>
      </c>
      <c r="D60" s="49" t="s">
        <v>258</v>
      </c>
      <c r="E60" s="49">
        <v>0.0</v>
      </c>
      <c r="F60" s="50">
        <v>0.0</v>
      </c>
      <c r="G60" s="49" t="s">
        <v>258</v>
      </c>
      <c r="H60" s="49">
        <v>0.0</v>
      </c>
      <c r="I60" s="50">
        <v>0.0</v>
      </c>
      <c r="J60" s="51">
        <v>11.0</v>
      </c>
      <c r="K60" s="49" t="s">
        <v>298</v>
      </c>
      <c r="L60" s="49" t="s">
        <v>298</v>
      </c>
    </row>
    <row r="61" ht="22.5" customHeight="1">
      <c r="A61" s="5" t="s">
        <v>185</v>
      </c>
      <c r="B61" s="50" t="s">
        <v>94</v>
      </c>
      <c r="C61" s="13">
        <v>4.0</v>
      </c>
      <c r="D61" s="49" t="s">
        <v>258</v>
      </c>
      <c r="E61" s="49">
        <v>0.0</v>
      </c>
      <c r="F61" s="50">
        <v>0.0</v>
      </c>
      <c r="G61" s="49" t="s">
        <v>258</v>
      </c>
      <c r="H61" s="49">
        <v>0.0</v>
      </c>
      <c r="I61" s="50">
        <v>0.0</v>
      </c>
      <c r="J61" s="51">
        <v>4.0</v>
      </c>
      <c r="K61" s="49" t="s">
        <v>298</v>
      </c>
      <c r="L61" s="49" t="s">
        <v>298</v>
      </c>
    </row>
    <row r="62" ht="22.5" customHeight="1">
      <c r="A62" s="5" t="s">
        <v>185</v>
      </c>
      <c r="B62" s="5" t="s">
        <v>159</v>
      </c>
      <c r="C62" s="13">
        <v>36.0</v>
      </c>
      <c r="D62" s="49" t="s">
        <v>456</v>
      </c>
      <c r="E62" s="49">
        <v>1.0</v>
      </c>
      <c r="F62" s="50">
        <v>0.0</v>
      </c>
      <c r="G62" s="49" t="s">
        <v>458</v>
      </c>
      <c r="H62" s="49">
        <v>2.0</v>
      </c>
      <c r="I62" s="47" t="s">
        <v>460</v>
      </c>
      <c r="J62" s="51">
        <v>20.0</v>
      </c>
      <c r="K62" s="49" t="s">
        <v>461</v>
      </c>
      <c r="L62" s="49" t="s">
        <v>298</v>
      </c>
    </row>
    <row r="63" ht="22.5" customHeight="1">
      <c r="A63" s="5" t="s">
        <v>383</v>
      </c>
      <c r="B63" s="5" t="s">
        <v>13</v>
      </c>
      <c r="C63" s="62">
        <v>442.0</v>
      </c>
      <c r="D63" s="62">
        <v>6.0</v>
      </c>
      <c r="E63" s="63">
        <v>0.013</v>
      </c>
      <c r="F63" s="64">
        <v>0.0</v>
      </c>
      <c r="G63" s="64">
        <v>13.0</v>
      </c>
      <c r="H63" s="63">
        <v>0.029</v>
      </c>
      <c r="I63" s="66">
        <v>0.0</v>
      </c>
      <c r="J63" s="72">
        <v>14.0</v>
      </c>
      <c r="K63" s="73">
        <v>0.03218390804597701</v>
      </c>
      <c r="L63" s="74">
        <v>0.9308</v>
      </c>
    </row>
    <row r="64" ht="22.5" customHeight="1">
      <c r="A64" s="5" t="s">
        <v>383</v>
      </c>
      <c r="B64" s="5" t="s">
        <v>26</v>
      </c>
      <c r="C64" s="75">
        <v>333.0</v>
      </c>
      <c r="D64" s="76">
        <v>0.0</v>
      </c>
      <c r="E64" s="73">
        <v>0.0</v>
      </c>
      <c r="F64" s="64">
        <v>0.0</v>
      </c>
      <c r="G64" s="77">
        <v>10.0</v>
      </c>
      <c r="H64" s="73">
        <v>0.03003003003003003</v>
      </c>
      <c r="I64" s="66">
        <v>0.0</v>
      </c>
      <c r="J64" s="77">
        <v>13.0</v>
      </c>
      <c r="K64" s="73">
        <v>0.039634146341463415</v>
      </c>
      <c r="L64" s="32">
        <v>0.9552</v>
      </c>
    </row>
    <row r="65" ht="22.5" customHeight="1">
      <c r="A65" s="5" t="s">
        <v>383</v>
      </c>
      <c r="B65" s="5" t="s">
        <v>19</v>
      </c>
      <c r="C65" s="76">
        <v>290.0</v>
      </c>
      <c r="D65" s="76">
        <v>0.0</v>
      </c>
      <c r="E65" s="73">
        <v>0.0</v>
      </c>
      <c r="F65" s="64">
        <v>0.0</v>
      </c>
      <c r="G65" s="77">
        <v>10.0</v>
      </c>
      <c r="H65" s="73">
        <v>0.034482758620689655</v>
      </c>
      <c r="I65" s="66">
        <v>0.0</v>
      </c>
      <c r="J65" s="77">
        <v>44.0</v>
      </c>
      <c r="K65" s="73">
        <v>0.16117216117216118</v>
      </c>
      <c r="L65" s="32">
        <v>0.8882</v>
      </c>
    </row>
    <row r="66" ht="22.5" customHeight="1">
      <c r="A66" s="5" t="s">
        <v>383</v>
      </c>
      <c r="B66" s="5" t="s">
        <v>23</v>
      </c>
      <c r="C66" s="76">
        <v>237.0</v>
      </c>
      <c r="D66" s="76">
        <v>0.0</v>
      </c>
      <c r="E66" s="73">
        <v>0.0</v>
      </c>
      <c r="F66" s="64">
        <v>0.0</v>
      </c>
      <c r="G66" s="77">
        <v>6.0</v>
      </c>
      <c r="H66" s="73">
        <v>0.02531645569620253</v>
      </c>
      <c r="I66" s="66">
        <v>0.0</v>
      </c>
      <c r="J66" s="77">
        <v>14.0</v>
      </c>
      <c r="K66" s="73">
        <v>0.05982905982905983</v>
      </c>
      <c r="L66" s="80">
        <v>1.0</v>
      </c>
    </row>
    <row r="67" ht="22.5" customHeight="1">
      <c r="A67" s="5" t="s">
        <v>383</v>
      </c>
      <c r="B67" s="5" t="s">
        <v>33</v>
      </c>
      <c r="C67" s="76">
        <v>188.0</v>
      </c>
      <c r="D67" s="76">
        <v>0.0</v>
      </c>
      <c r="E67" s="73">
        <v>0.0</v>
      </c>
      <c r="F67" s="64">
        <v>0.0</v>
      </c>
      <c r="G67" s="77">
        <v>6.0</v>
      </c>
      <c r="H67" s="73">
        <v>0.031914893617021274</v>
      </c>
      <c r="I67" s="66">
        <v>0.0</v>
      </c>
      <c r="J67" s="77">
        <v>31.0</v>
      </c>
      <c r="K67" s="73">
        <v>0.16489361702127658</v>
      </c>
      <c r="L67" s="32">
        <v>0.9989</v>
      </c>
    </row>
    <row r="68" ht="22.5" customHeight="1">
      <c r="A68" s="5" t="s">
        <v>383</v>
      </c>
      <c r="B68" s="35" t="s">
        <v>79</v>
      </c>
      <c r="C68" s="76">
        <v>165.0</v>
      </c>
      <c r="D68" s="76">
        <v>0.0</v>
      </c>
      <c r="E68" s="73">
        <v>0.0</v>
      </c>
      <c r="F68" s="64">
        <v>0.0</v>
      </c>
      <c r="G68" s="18">
        <v>3.0</v>
      </c>
      <c r="H68" s="81">
        <v>0.01818181818181818</v>
      </c>
      <c r="I68" s="66">
        <v>0.0</v>
      </c>
      <c r="J68" s="18">
        <v>4.0</v>
      </c>
      <c r="K68" s="81">
        <v>0.024242424242424242</v>
      </c>
      <c r="L68" s="32">
        <v>0.9329</v>
      </c>
    </row>
    <row r="69" ht="22.5" customHeight="1">
      <c r="A69" s="5" t="s">
        <v>383</v>
      </c>
      <c r="B69" s="5" t="s">
        <v>63</v>
      </c>
      <c r="C69" s="76">
        <v>173.0</v>
      </c>
      <c r="D69" s="76">
        <v>1.0</v>
      </c>
      <c r="E69" s="73">
        <v>0.005747126436781609</v>
      </c>
      <c r="F69" s="64">
        <v>0.0</v>
      </c>
      <c r="G69" s="77">
        <v>3.0</v>
      </c>
      <c r="H69" s="73">
        <v>0.017241379310344827</v>
      </c>
      <c r="I69" s="66">
        <v>0.0</v>
      </c>
      <c r="J69" s="77">
        <v>12.0</v>
      </c>
      <c r="K69" s="73">
        <v>0.06976744186046512</v>
      </c>
      <c r="L69" s="32">
        <v>0.9965</v>
      </c>
    </row>
    <row r="70" ht="22.5" customHeight="1">
      <c r="A70" s="5" t="s">
        <v>383</v>
      </c>
      <c r="B70" s="5" t="s">
        <v>77</v>
      </c>
      <c r="C70" s="76">
        <v>160.0</v>
      </c>
      <c r="D70" s="76">
        <v>4.0</v>
      </c>
      <c r="E70" s="73">
        <v>0.024390243902439025</v>
      </c>
      <c r="F70" s="64">
        <v>0.0</v>
      </c>
      <c r="G70" s="77">
        <v>4.0</v>
      </c>
      <c r="H70" s="73">
        <v>0.024390243902439025</v>
      </c>
      <c r="I70" s="66">
        <v>0.0</v>
      </c>
      <c r="J70" s="77">
        <v>7.0</v>
      </c>
      <c r="K70" s="73">
        <v>0.0440251572327044</v>
      </c>
      <c r="L70" s="32">
        <v>0.9563</v>
      </c>
    </row>
    <row r="71" ht="22.5" customHeight="1">
      <c r="A71" s="5" t="s">
        <v>383</v>
      </c>
      <c r="B71" s="5" t="s">
        <v>58</v>
      </c>
      <c r="C71" s="76">
        <v>145.0</v>
      </c>
      <c r="D71" s="76">
        <v>0.0</v>
      </c>
      <c r="E71" s="73">
        <v>0.0</v>
      </c>
      <c r="F71" s="64">
        <v>0.0</v>
      </c>
      <c r="G71" s="77">
        <v>10.0</v>
      </c>
      <c r="H71" s="73">
        <v>0.06896551724137931</v>
      </c>
      <c r="I71" s="66">
        <v>0.0</v>
      </c>
      <c r="J71" s="77">
        <v>6.0</v>
      </c>
      <c r="K71" s="73">
        <v>0.04225352112676056</v>
      </c>
      <c r="L71" s="32">
        <v>0.9978</v>
      </c>
    </row>
    <row r="72" ht="22.5" customHeight="1">
      <c r="A72" s="5" t="s">
        <v>383</v>
      </c>
      <c r="B72" s="5" t="s">
        <v>45</v>
      </c>
      <c r="C72" s="76">
        <v>132.0</v>
      </c>
      <c r="D72" s="76">
        <v>3.0</v>
      </c>
      <c r="E72" s="73">
        <v>0.022222222222222223</v>
      </c>
      <c r="F72" s="64">
        <v>0.0</v>
      </c>
      <c r="G72" s="77">
        <v>6.0</v>
      </c>
      <c r="H72" s="73">
        <v>0.044444444444444446</v>
      </c>
      <c r="I72" s="66">
        <v>0.0</v>
      </c>
      <c r="J72" s="77">
        <v>11.0</v>
      </c>
      <c r="K72" s="73">
        <v>0.08396946564885496</v>
      </c>
      <c r="L72" s="32">
        <v>0.9358</v>
      </c>
    </row>
    <row r="73" ht="22.5" customHeight="1">
      <c r="A73" s="5" t="s">
        <v>383</v>
      </c>
      <c r="B73" s="5" t="s">
        <v>114</v>
      </c>
      <c r="C73" s="76">
        <v>134.0</v>
      </c>
      <c r="D73" s="76">
        <v>0.0</v>
      </c>
      <c r="E73" s="73">
        <v>0.0</v>
      </c>
      <c r="F73" s="64">
        <v>0.0</v>
      </c>
      <c r="G73" s="77">
        <v>4.0</v>
      </c>
      <c r="H73" s="73">
        <v>0.029850746268656716</v>
      </c>
      <c r="I73" s="66">
        <v>0.0</v>
      </c>
      <c r="J73" s="77">
        <v>15.0</v>
      </c>
      <c r="K73" s="73">
        <v>0.11627906976744186</v>
      </c>
      <c r="L73" s="32">
        <v>1.0</v>
      </c>
    </row>
    <row r="74" ht="22.5" customHeight="1">
      <c r="A74" s="5" t="s">
        <v>383</v>
      </c>
      <c r="B74" s="5" t="s">
        <v>27</v>
      </c>
      <c r="C74" s="76">
        <v>100.0</v>
      </c>
      <c r="D74" s="76">
        <v>0.0</v>
      </c>
      <c r="E74" s="73">
        <v>0.0</v>
      </c>
      <c r="F74" s="64">
        <v>0.0</v>
      </c>
      <c r="G74" s="77">
        <v>5.0</v>
      </c>
      <c r="H74" s="73">
        <v>0.05</v>
      </c>
      <c r="I74" s="66">
        <v>0.0</v>
      </c>
      <c r="J74" s="77">
        <v>5.0</v>
      </c>
      <c r="K74" s="73">
        <v>0.050505050505050504</v>
      </c>
      <c r="L74" s="32">
        <v>0.9569</v>
      </c>
    </row>
    <row r="75" ht="22.5" customHeight="1">
      <c r="A75" s="5" t="s">
        <v>383</v>
      </c>
      <c r="B75" s="5" t="s">
        <v>85</v>
      </c>
      <c r="C75" s="76">
        <v>85.0</v>
      </c>
      <c r="D75" s="76">
        <v>0.0</v>
      </c>
      <c r="E75" s="73">
        <v>0.0</v>
      </c>
      <c r="F75" s="64">
        <v>0.0</v>
      </c>
      <c r="G75" s="77">
        <v>7.0</v>
      </c>
      <c r="H75" s="73">
        <v>0.08235294117647059</v>
      </c>
      <c r="I75" s="66">
        <v>0.0</v>
      </c>
      <c r="J75" s="77">
        <v>3.0</v>
      </c>
      <c r="K75" s="73">
        <v>0.03614457831325301</v>
      </c>
      <c r="L75" s="65">
        <v>0.9787</v>
      </c>
    </row>
    <row r="76" ht="22.5" customHeight="1">
      <c r="A76" s="5" t="s">
        <v>383</v>
      </c>
      <c r="B76" s="5" t="s">
        <v>153</v>
      </c>
      <c r="C76" s="76">
        <v>80.0</v>
      </c>
      <c r="D76" s="76">
        <v>0.0</v>
      </c>
      <c r="E76" s="73">
        <v>0.0</v>
      </c>
      <c r="F76" s="64">
        <v>0.0</v>
      </c>
      <c r="G76" s="77">
        <v>5.0</v>
      </c>
      <c r="H76" s="73">
        <v>0.0625</v>
      </c>
      <c r="I76" s="66">
        <v>0.0</v>
      </c>
      <c r="J76" s="77">
        <v>3.0</v>
      </c>
      <c r="K76" s="73">
        <v>0.03896103896103896</v>
      </c>
      <c r="L76" s="32">
        <v>0.9787</v>
      </c>
    </row>
    <row r="77" ht="22.5" customHeight="1">
      <c r="A77" s="5" t="s">
        <v>383</v>
      </c>
      <c r="B77" s="5" t="s">
        <v>136</v>
      </c>
      <c r="C77" s="76">
        <v>65.0</v>
      </c>
      <c r="D77" s="76">
        <v>1.0</v>
      </c>
      <c r="E77" s="73">
        <v>0.015151515151515152</v>
      </c>
      <c r="F77" s="64">
        <v>0.0</v>
      </c>
      <c r="G77" s="77">
        <v>0.0</v>
      </c>
      <c r="H77" s="73">
        <v>0.0</v>
      </c>
      <c r="I77" s="66">
        <v>0.0</v>
      </c>
      <c r="J77" s="77">
        <v>5.0</v>
      </c>
      <c r="K77" s="73">
        <v>0.07936507936507936</v>
      </c>
      <c r="L77" s="32">
        <v>0.9241</v>
      </c>
    </row>
    <row r="78" ht="22.5" customHeight="1">
      <c r="A78" s="5" t="s">
        <v>383</v>
      </c>
      <c r="B78" s="96" t="s">
        <v>492</v>
      </c>
      <c r="C78" s="76">
        <v>54.0</v>
      </c>
      <c r="D78" s="76">
        <v>0.0</v>
      </c>
      <c r="E78" s="73">
        <v>0.0</v>
      </c>
      <c r="F78" s="64">
        <v>0.0</v>
      </c>
      <c r="G78" s="77">
        <v>2.0</v>
      </c>
      <c r="H78" s="73">
        <v>0.037037037037037035</v>
      </c>
      <c r="I78" s="66">
        <v>0.0</v>
      </c>
      <c r="J78" s="77">
        <v>1.0</v>
      </c>
      <c r="K78" s="73">
        <v>0.018867924528301886</v>
      </c>
      <c r="L78" s="80">
        <v>0.91</v>
      </c>
    </row>
    <row r="79" ht="22.5" customHeight="1">
      <c r="A79" s="5" t="s">
        <v>383</v>
      </c>
      <c r="B79" s="5" t="s">
        <v>82</v>
      </c>
      <c r="C79" s="75">
        <v>64.0</v>
      </c>
      <c r="D79" s="75">
        <v>0.0</v>
      </c>
      <c r="E79" s="81">
        <v>0.0</v>
      </c>
      <c r="F79" s="64">
        <v>0.0</v>
      </c>
      <c r="G79" s="77">
        <v>1.0</v>
      </c>
      <c r="H79" s="73">
        <v>0.015625</v>
      </c>
      <c r="I79" s="66">
        <v>0.0</v>
      </c>
      <c r="J79" s="77">
        <v>1.0</v>
      </c>
      <c r="K79" s="73">
        <v>0.015625</v>
      </c>
      <c r="L79" s="32">
        <v>0.9665</v>
      </c>
    </row>
    <row r="80" ht="22.5" customHeight="1">
      <c r="A80" s="5" t="s">
        <v>383</v>
      </c>
      <c r="B80" s="5" t="s">
        <v>123</v>
      </c>
      <c r="C80" s="76">
        <v>55.0</v>
      </c>
      <c r="D80" s="76">
        <v>0.0</v>
      </c>
      <c r="E80" s="73">
        <v>0.0</v>
      </c>
      <c r="F80" s="64">
        <v>0.0</v>
      </c>
      <c r="G80" s="77">
        <v>2.0</v>
      </c>
      <c r="H80" s="73">
        <v>0.03636363636363636</v>
      </c>
      <c r="I80" s="66">
        <v>0.0</v>
      </c>
      <c r="J80" s="77">
        <v>1.0</v>
      </c>
      <c r="K80" s="73">
        <v>0.018867924528301886</v>
      </c>
      <c r="L80" s="32">
        <v>0.991</v>
      </c>
    </row>
    <row r="81" ht="22.5" customHeight="1">
      <c r="A81" s="5" t="s">
        <v>383</v>
      </c>
      <c r="B81" s="5" t="s">
        <v>159</v>
      </c>
      <c r="C81" s="76">
        <v>48.0</v>
      </c>
      <c r="D81" s="76">
        <v>0.0</v>
      </c>
      <c r="E81" s="73">
        <v>0.0</v>
      </c>
      <c r="F81" s="64">
        <v>0.0</v>
      </c>
      <c r="G81" s="77">
        <v>2.0</v>
      </c>
      <c r="H81" s="73">
        <v>0.041666666666666664</v>
      </c>
      <c r="I81" s="66">
        <v>0.0</v>
      </c>
      <c r="J81" s="77">
        <v>0.0</v>
      </c>
      <c r="K81" s="73">
        <v>0.0</v>
      </c>
      <c r="L81" s="32">
        <v>0.9466</v>
      </c>
    </row>
    <row r="82" ht="22.5" customHeight="1">
      <c r="A82" s="5" t="s">
        <v>383</v>
      </c>
      <c r="B82" s="5" t="s">
        <v>59</v>
      </c>
      <c r="C82" s="76">
        <v>41.0</v>
      </c>
      <c r="D82" s="76">
        <v>1.0</v>
      </c>
      <c r="E82" s="73">
        <v>0.023809523809523808</v>
      </c>
      <c r="F82" s="64">
        <v>0.0</v>
      </c>
      <c r="G82" s="77">
        <v>1.0</v>
      </c>
      <c r="H82" s="73">
        <v>0.023809523809523808</v>
      </c>
      <c r="I82" s="66">
        <v>0.0</v>
      </c>
      <c r="J82" s="77">
        <v>4.0</v>
      </c>
      <c r="K82" s="73">
        <v>0.0975609756097561</v>
      </c>
      <c r="L82" s="32">
        <v>0.905</v>
      </c>
    </row>
    <row r="83" ht="22.5" customHeight="1">
      <c r="A83" s="5" t="s">
        <v>383</v>
      </c>
      <c r="B83" s="5" t="s">
        <v>39</v>
      </c>
      <c r="C83" s="76">
        <v>37.0</v>
      </c>
      <c r="D83" s="76">
        <v>1.0</v>
      </c>
      <c r="E83" s="73">
        <v>0.02631578947368421</v>
      </c>
      <c r="F83" s="64">
        <v>0.0</v>
      </c>
      <c r="G83" s="77">
        <v>2.0</v>
      </c>
      <c r="H83" s="73">
        <v>0.05263157894736842</v>
      </c>
      <c r="I83" s="66">
        <v>0.0</v>
      </c>
      <c r="J83" s="77">
        <v>4.0</v>
      </c>
      <c r="K83" s="73">
        <v>0.12121212121212122</v>
      </c>
      <c r="L83" s="32">
        <v>1.0</v>
      </c>
    </row>
    <row r="84">
      <c r="A84" s="102"/>
      <c r="B84" s="103"/>
      <c r="C84" s="105"/>
      <c r="D84" s="105"/>
      <c r="E84" s="105"/>
      <c r="F84" s="105"/>
      <c r="G84" s="105"/>
      <c r="H84" s="105"/>
      <c r="I84" s="106"/>
      <c r="J84" s="105"/>
      <c r="K84" s="105"/>
      <c r="L84" s="105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79"/>
      <c r="K85" s="79"/>
      <c r="L85" s="79"/>
    </row>
    <row r="86">
      <c r="C86" s="79"/>
      <c r="D86" s="79"/>
      <c r="E86" s="79"/>
      <c r="F86" s="79"/>
      <c r="G86" s="79"/>
      <c r="H86" s="79"/>
      <c r="I86" s="79"/>
      <c r="J86" s="79"/>
      <c r="K86" s="79"/>
      <c r="L86" s="79"/>
    </row>
    <row r="87">
      <c r="C87" s="79"/>
      <c r="D87" s="79"/>
      <c r="E87" s="79"/>
      <c r="F87" s="79"/>
      <c r="G87" s="79"/>
      <c r="H87" s="79"/>
      <c r="I87" s="79"/>
      <c r="J87" s="108"/>
      <c r="K87" s="108"/>
      <c r="L87" s="79"/>
    </row>
    <row r="88">
      <c r="C88" s="79"/>
      <c r="D88" s="79"/>
      <c r="E88" s="79"/>
      <c r="F88" s="79"/>
      <c r="G88" s="79"/>
      <c r="H88" s="79"/>
      <c r="I88" s="79"/>
      <c r="J88" s="109"/>
      <c r="K88" s="110"/>
      <c r="L88" s="79"/>
    </row>
    <row r="89">
      <c r="C89" s="79"/>
      <c r="D89" s="79"/>
      <c r="E89" s="79"/>
      <c r="F89" s="79"/>
      <c r="G89" s="79"/>
      <c r="H89" s="79"/>
      <c r="I89" s="79"/>
      <c r="J89" s="109"/>
      <c r="K89" s="110"/>
      <c r="L89" s="79"/>
    </row>
    <row r="90">
      <c r="C90" s="79"/>
      <c r="D90" s="79"/>
      <c r="E90" s="79"/>
      <c r="F90" s="79"/>
      <c r="G90" s="79"/>
      <c r="H90" s="79"/>
      <c r="I90" s="79"/>
      <c r="J90" s="109"/>
      <c r="K90" s="110"/>
      <c r="L90" s="79"/>
    </row>
    <row r="91">
      <c r="C91" s="79"/>
      <c r="D91" s="79"/>
      <c r="E91" s="79"/>
      <c r="F91" s="79"/>
      <c r="G91" s="79"/>
      <c r="H91" s="79"/>
      <c r="I91" s="79"/>
      <c r="J91" s="109"/>
      <c r="K91" s="110"/>
      <c r="L91" s="79"/>
    </row>
    <row r="92">
      <c r="C92" s="79"/>
      <c r="D92" s="79"/>
      <c r="E92" s="79"/>
      <c r="F92" s="79"/>
      <c r="G92" s="79"/>
      <c r="H92" s="79"/>
      <c r="I92" s="79"/>
      <c r="J92" s="109"/>
      <c r="K92" s="110"/>
      <c r="L92" s="79"/>
    </row>
    <row r="93">
      <c r="C93" s="79"/>
      <c r="D93" s="79"/>
      <c r="E93" s="79"/>
      <c r="F93" s="79"/>
      <c r="G93" s="79"/>
      <c r="H93" s="79"/>
      <c r="I93" s="79"/>
      <c r="J93" s="109"/>
      <c r="K93" s="110"/>
      <c r="L93" s="79"/>
    </row>
    <row r="94">
      <c r="C94" s="79"/>
      <c r="D94" s="79"/>
      <c r="E94" s="79"/>
      <c r="F94" s="79"/>
      <c r="G94" s="79"/>
      <c r="H94" s="79"/>
      <c r="I94" s="79"/>
      <c r="J94" s="109"/>
      <c r="K94" s="110"/>
      <c r="L94" s="79"/>
    </row>
    <row r="95">
      <c r="C95" s="79"/>
      <c r="D95" s="79"/>
      <c r="E95" s="79"/>
      <c r="F95" s="79"/>
      <c r="G95" s="79"/>
      <c r="H95" s="79"/>
      <c r="I95" s="79"/>
      <c r="J95" s="109"/>
      <c r="K95" s="110"/>
      <c r="L95" s="79"/>
    </row>
    <row r="96">
      <c r="C96" s="79"/>
      <c r="D96" s="79"/>
      <c r="E96" s="79"/>
      <c r="F96" s="79"/>
      <c r="G96" s="79"/>
      <c r="H96" s="79"/>
      <c r="I96" s="79"/>
      <c r="J96" s="109"/>
      <c r="K96" s="110"/>
      <c r="L96" s="79"/>
    </row>
    <row r="97">
      <c r="C97" s="79"/>
      <c r="D97" s="79"/>
      <c r="E97" s="79"/>
      <c r="F97" s="79"/>
      <c r="G97" s="79"/>
      <c r="H97" s="79"/>
      <c r="I97" s="79"/>
      <c r="J97" s="109"/>
      <c r="K97" s="110"/>
      <c r="L97" s="79"/>
    </row>
    <row r="98">
      <c r="C98" s="79"/>
      <c r="D98" s="79"/>
      <c r="E98" s="79"/>
      <c r="F98" s="79"/>
      <c r="G98" s="79"/>
      <c r="H98" s="79"/>
      <c r="I98" s="79"/>
      <c r="J98" s="109"/>
      <c r="K98" s="110"/>
      <c r="L98" s="79"/>
    </row>
    <row r="99">
      <c r="C99" s="79"/>
      <c r="D99" s="79"/>
      <c r="E99" s="79"/>
      <c r="F99" s="79"/>
      <c r="G99" s="79"/>
      <c r="H99" s="79"/>
      <c r="I99" s="79"/>
      <c r="J99" s="109"/>
      <c r="K99" s="110"/>
      <c r="L99" s="79"/>
    </row>
    <row r="100">
      <c r="C100" s="79"/>
      <c r="D100" s="79"/>
      <c r="E100" s="79"/>
      <c r="F100" s="79"/>
      <c r="G100" s="79"/>
      <c r="H100" s="79"/>
      <c r="I100" s="79"/>
      <c r="J100" s="109"/>
      <c r="K100" s="110"/>
      <c r="L100" s="79"/>
    </row>
    <row r="101">
      <c r="C101" s="79"/>
      <c r="D101" s="79"/>
      <c r="E101" s="79"/>
      <c r="F101" s="79"/>
      <c r="G101" s="79"/>
      <c r="H101" s="79"/>
      <c r="I101" s="79"/>
      <c r="J101" s="109"/>
      <c r="K101" s="110"/>
      <c r="L101" s="79"/>
    </row>
    <row r="102">
      <c r="C102" s="79"/>
      <c r="D102" s="79"/>
      <c r="E102" s="79"/>
      <c r="F102" s="79"/>
      <c r="G102" s="79"/>
      <c r="H102" s="79"/>
      <c r="I102" s="79"/>
      <c r="J102" s="109"/>
      <c r="K102" s="110"/>
      <c r="L102" s="79"/>
    </row>
    <row r="103">
      <c r="C103" s="79"/>
      <c r="D103" s="79"/>
      <c r="E103" s="79"/>
      <c r="F103" s="79"/>
      <c r="G103" s="79"/>
      <c r="H103" s="79"/>
      <c r="I103" s="79"/>
      <c r="J103" s="109"/>
      <c r="K103" s="110"/>
      <c r="L103" s="79"/>
    </row>
    <row r="104">
      <c r="C104" s="79"/>
      <c r="D104" s="79"/>
      <c r="E104" s="79"/>
      <c r="F104" s="79"/>
      <c r="G104" s="79"/>
      <c r="H104" s="79"/>
      <c r="I104" s="79"/>
      <c r="J104" s="109"/>
      <c r="K104" s="110"/>
      <c r="L104" s="79"/>
    </row>
    <row r="105">
      <c r="C105" s="79"/>
      <c r="D105" s="79"/>
      <c r="E105" s="79"/>
      <c r="F105" s="79"/>
      <c r="G105" s="79"/>
      <c r="H105" s="79"/>
      <c r="I105" s="79"/>
      <c r="J105" s="109"/>
      <c r="K105" s="110"/>
      <c r="L105" s="79"/>
    </row>
    <row r="106">
      <c r="C106" s="79"/>
      <c r="D106" s="79"/>
      <c r="E106" s="79"/>
      <c r="F106" s="79"/>
      <c r="G106" s="79"/>
      <c r="H106" s="79"/>
      <c r="I106" s="79"/>
      <c r="J106" s="109"/>
      <c r="K106" s="110"/>
      <c r="L106" s="79"/>
    </row>
    <row r="107">
      <c r="C107" s="79"/>
      <c r="D107" s="79"/>
      <c r="E107" s="79"/>
      <c r="F107" s="79"/>
      <c r="G107" s="79"/>
      <c r="H107" s="79"/>
      <c r="I107" s="79"/>
      <c r="J107" s="109"/>
      <c r="K107" s="110"/>
      <c r="L107" s="79"/>
    </row>
    <row r="108">
      <c r="C108" s="79"/>
      <c r="D108" s="79"/>
      <c r="E108" s="79"/>
      <c r="F108" s="79"/>
      <c r="G108" s="79"/>
      <c r="H108" s="79"/>
      <c r="I108" s="79"/>
      <c r="J108" s="109"/>
      <c r="K108" s="110"/>
      <c r="L108" s="79"/>
    </row>
    <row r="109">
      <c r="C109" s="79"/>
      <c r="D109" s="79"/>
      <c r="E109" s="79"/>
      <c r="F109" s="79"/>
      <c r="G109" s="79"/>
      <c r="H109" s="79"/>
      <c r="I109" s="79"/>
      <c r="J109" s="108"/>
      <c r="K109" s="108"/>
      <c r="L109" s="79"/>
    </row>
    <row r="110">
      <c r="C110" s="79"/>
      <c r="D110" s="79"/>
      <c r="E110" s="79"/>
      <c r="F110" s="79"/>
      <c r="G110" s="79"/>
      <c r="H110" s="79"/>
      <c r="I110" s="79"/>
      <c r="J110" s="108"/>
      <c r="K110" s="108"/>
      <c r="L110" s="79"/>
    </row>
    <row r="111">
      <c r="C111" s="79"/>
      <c r="D111" s="79"/>
      <c r="E111" s="79"/>
      <c r="F111" s="79"/>
      <c r="G111" s="79"/>
      <c r="H111" s="79"/>
      <c r="I111" s="79"/>
      <c r="J111" s="108"/>
      <c r="K111" s="108"/>
      <c r="L111" s="79"/>
    </row>
    <row r="112">
      <c r="C112" s="79"/>
      <c r="D112" s="79"/>
      <c r="E112" s="79"/>
      <c r="F112" s="79"/>
      <c r="G112" s="79"/>
      <c r="H112" s="79"/>
      <c r="I112" s="79"/>
      <c r="J112" s="108"/>
      <c r="K112" s="108"/>
      <c r="L112" s="79"/>
    </row>
    <row r="113">
      <c r="C113" s="79"/>
      <c r="D113" s="79"/>
      <c r="E113" s="79"/>
      <c r="F113" s="79"/>
      <c r="G113" s="79"/>
      <c r="H113" s="79"/>
      <c r="I113" s="79"/>
      <c r="J113" s="108"/>
      <c r="K113" s="108"/>
      <c r="L113" s="79"/>
    </row>
    <row r="114">
      <c r="C114" s="79"/>
      <c r="D114" s="79"/>
      <c r="E114" s="79"/>
      <c r="F114" s="79"/>
      <c r="G114" s="79"/>
      <c r="H114" s="79"/>
      <c r="I114" s="79"/>
      <c r="J114" s="108"/>
      <c r="K114" s="108"/>
      <c r="L114" s="79"/>
    </row>
    <row r="115">
      <c r="C115" s="79"/>
      <c r="D115" s="79"/>
      <c r="E115" s="79"/>
      <c r="F115" s="79"/>
      <c r="G115" s="79"/>
      <c r="H115" s="79"/>
      <c r="I115" s="79"/>
      <c r="J115" s="108"/>
      <c r="K115" s="108"/>
      <c r="L115" s="79"/>
    </row>
    <row r="116">
      <c r="C116" s="79"/>
      <c r="D116" s="79"/>
      <c r="E116" s="79"/>
      <c r="F116" s="79"/>
      <c r="G116" s="79"/>
      <c r="H116" s="79"/>
      <c r="I116" s="79"/>
      <c r="J116" s="108"/>
      <c r="K116" s="108"/>
      <c r="L116" s="79"/>
    </row>
    <row r="117">
      <c r="C117" s="79"/>
      <c r="D117" s="79"/>
      <c r="E117" s="79"/>
      <c r="F117" s="79"/>
      <c r="G117" s="79"/>
      <c r="H117" s="79"/>
      <c r="I117" s="79"/>
      <c r="J117" s="108"/>
      <c r="K117" s="108"/>
      <c r="L117" s="79"/>
    </row>
    <row r="118">
      <c r="C118" s="79"/>
      <c r="D118" s="79"/>
      <c r="E118" s="79"/>
      <c r="F118" s="79"/>
      <c r="G118" s="79"/>
      <c r="H118" s="79"/>
      <c r="I118" s="79"/>
      <c r="J118" s="108"/>
      <c r="K118" s="108"/>
      <c r="L118" s="79"/>
    </row>
    <row r="119">
      <c r="C119" s="79"/>
      <c r="D119" s="79"/>
      <c r="E119" s="79"/>
      <c r="F119" s="79"/>
      <c r="G119" s="79"/>
      <c r="H119" s="79"/>
      <c r="I119" s="79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79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79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79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79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79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79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79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79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79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79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79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79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79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79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79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79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79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79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79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79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79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79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79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79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79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79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79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79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79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79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79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79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79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79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79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79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79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79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79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7.88"/>
    <col customWidth="1" min="3" max="3" width="26.25"/>
    <col customWidth="1" min="4" max="4" width="21.75"/>
    <col customWidth="1" min="5" max="5" width="22.63"/>
    <col customWidth="1" min="6" max="6" width="24.13"/>
    <col customWidth="1" min="8" max="8" width="25.0"/>
    <col customWidth="1" min="9" max="9" width="23.38"/>
    <col customWidth="1" min="10" max="10" width="20.63"/>
    <col customWidth="1" min="11" max="11" width="23.88"/>
    <col customWidth="1" min="12" max="12" width="18.5"/>
    <col customWidth="1" min="14" max="14" width="14.5"/>
    <col customWidth="1" min="15" max="15" width="30.13"/>
    <col customWidth="1" min="16" max="16" width="19.75"/>
    <col customWidth="1" min="17" max="17" width="23.75"/>
    <col customWidth="1" min="18" max="18" width="17.25"/>
    <col customWidth="1" min="20" max="20" width="19.5"/>
    <col customWidth="1" min="21" max="21" width="18.8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12</v>
      </c>
      <c r="G1" s="4" t="s">
        <v>5</v>
      </c>
      <c r="H1" s="4" t="s">
        <v>6</v>
      </c>
      <c r="I1" s="8" t="s">
        <v>7</v>
      </c>
      <c r="J1" s="4" t="s">
        <v>8</v>
      </c>
      <c r="K1" s="4" t="s">
        <v>9</v>
      </c>
      <c r="L1" s="10" t="s">
        <v>10</v>
      </c>
      <c r="N1" s="124" t="s">
        <v>509</v>
      </c>
      <c r="O1" s="125" t="s">
        <v>3</v>
      </c>
      <c r="P1" s="4" t="s">
        <v>3</v>
      </c>
      <c r="Q1" s="4" t="s">
        <v>4</v>
      </c>
    </row>
    <row r="2" ht="22.5" hidden="1" customHeight="1">
      <c r="A2" s="5" t="s">
        <v>11</v>
      </c>
      <c r="B2" s="5" t="s">
        <v>15</v>
      </c>
      <c r="C2" s="126">
        <v>1614.0</v>
      </c>
      <c r="D2" s="126">
        <v>12.0</v>
      </c>
      <c r="E2" s="126" t="s">
        <v>510</v>
      </c>
      <c r="F2" s="126" t="s">
        <v>511</v>
      </c>
      <c r="G2" s="126">
        <v>32.0</v>
      </c>
      <c r="H2" s="126" t="s">
        <v>512</v>
      </c>
      <c r="I2" s="126" t="s">
        <v>513</v>
      </c>
      <c r="J2" s="126">
        <v>192.0</v>
      </c>
      <c r="K2" s="126" t="s">
        <v>514</v>
      </c>
      <c r="L2" s="127">
        <f>100-9.21</f>
        <v>90.79</v>
      </c>
      <c r="O2" s="128" t="s">
        <v>33</v>
      </c>
      <c r="P2" s="129">
        <v>13.0</v>
      </c>
      <c r="Q2" s="130" t="s">
        <v>348</v>
      </c>
      <c r="R2" s="131"/>
    </row>
    <row r="3" ht="22.5" hidden="1" customHeight="1">
      <c r="A3" s="5" t="s">
        <v>11</v>
      </c>
      <c r="B3" s="5" t="s">
        <v>13</v>
      </c>
      <c r="C3" s="126">
        <v>5884.0</v>
      </c>
      <c r="D3" s="126">
        <v>6.0</v>
      </c>
      <c r="E3" s="126" t="s">
        <v>515</v>
      </c>
      <c r="F3" s="126" t="s">
        <v>516</v>
      </c>
      <c r="G3" s="126">
        <v>157.0</v>
      </c>
      <c r="H3" s="126" t="s">
        <v>517</v>
      </c>
      <c r="I3" s="126" t="s">
        <v>518</v>
      </c>
      <c r="J3" s="126">
        <v>399.0</v>
      </c>
      <c r="K3" s="126" t="s">
        <v>519</v>
      </c>
      <c r="L3" s="127">
        <f>100-2.16</f>
        <v>97.84</v>
      </c>
      <c r="O3" s="128" t="s">
        <v>39</v>
      </c>
      <c r="P3" s="129">
        <v>13.0</v>
      </c>
      <c r="Q3" s="132" t="s">
        <v>520</v>
      </c>
      <c r="R3" s="131"/>
    </row>
    <row r="4" ht="22.5" hidden="1" customHeight="1">
      <c r="A4" s="5" t="s">
        <v>11</v>
      </c>
      <c r="B4" s="5" t="s">
        <v>27</v>
      </c>
      <c r="C4" s="126">
        <v>3053.0</v>
      </c>
      <c r="D4" s="126">
        <v>2.0</v>
      </c>
      <c r="E4" s="126" t="s">
        <v>521</v>
      </c>
      <c r="F4" s="126" t="s">
        <v>522</v>
      </c>
      <c r="G4" s="126">
        <v>66.0</v>
      </c>
      <c r="H4" s="126" t="s">
        <v>523</v>
      </c>
      <c r="I4" s="126" t="s">
        <v>524</v>
      </c>
      <c r="J4" s="126">
        <v>402.0</v>
      </c>
      <c r="K4" s="126" t="s">
        <v>525</v>
      </c>
      <c r="L4" s="13">
        <f>100-0.86</f>
        <v>99.14</v>
      </c>
      <c r="O4" s="128" t="s">
        <v>19</v>
      </c>
      <c r="P4" s="133">
        <v>14.0</v>
      </c>
      <c r="Q4" s="134" t="s">
        <v>526</v>
      </c>
      <c r="R4" s="131"/>
    </row>
    <row r="5" ht="22.5" hidden="1" customHeight="1">
      <c r="A5" s="5" t="s">
        <v>11</v>
      </c>
      <c r="B5" s="5" t="s">
        <v>33</v>
      </c>
      <c r="C5" s="126">
        <v>3417.0</v>
      </c>
      <c r="D5" s="126">
        <v>13.0</v>
      </c>
      <c r="E5" s="126" t="s">
        <v>348</v>
      </c>
      <c r="F5" s="126" t="s">
        <v>527</v>
      </c>
      <c r="G5" s="126">
        <v>54.0</v>
      </c>
      <c r="H5" s="126" t="s">
        <v>528</v>
      </c>
      <c r="I5" s="126" t="s">
        <v>529</v>
      </c>
      <c r="J5" s="126">
        <v>445.0</v>
      </c>
      <c r="K5" s="126" t="s">
        <v>530</v>
      </c>
      <c r="L5" s="127">
        <f>100-1.73</f>
        <v>98.27</v>
      </c>
      <c r="O5" s="128" t="s">
        <v>77</v>
      </c>
      <c r="P5" s="135">
        <v>16.0</v>
      </c>
      <c r="Q5" s="136" t="s">
        <v>531</v>
      </c>
      <c r="R5" s="131"/>
    </row>
    <row r="6" ht="22.5" hidden="1" customHeight="1">
      <c r="A6" s="5" t="s">
        <v>11</v>
      </c>
      <c r="B6" s="5" t="s">
        <v>19</v>
      </c>
      <c r="C6" s="126">
        <v>5095.0</v>
      </c>
      <c r="D6" s="126">
        <v>14.0</v>
      </c>
      <c r="E6" s="126" t="s">
        <v>526</v>
      </c>
      <c r="F6" s="126" t="s">
        <v>532</v>
      </c>
      <c r="G6" s="126">
        <v>92.0</v>
      </c>
      <c r="H6" s="126" t="s">
        <v>533</v>
      </c>
      <c r="I6" s="126" t="s">
        <v>534</v>
      </c>
      <c r="J6" s="126">
        <v>682.0</v>
      </c>
      <c r="K6" s="126" t="s">
        <v>535</v>
      </c>
      <c r="L6" s="127">
        <f>100-3.02</f>
        <v>96.98</v>
      </c>
      <c r="O6" s="128" t="s">
        <v>26</v>
      </c>
      <c r="P6" s="137">
        <v>21.0</v>
      </c>
      <c r="Q6" s="138" t="s">
        <v>536</v>
      </c>
      <c r="R6" s="131"/>
    </row>
    <row r="7" ht="22.5" hidden="1" customHeight="1">
      <c r="A7" s="5" t="s">
        <v>11</v>
      </c>
      <c r="B7" s="5" t="s">
        <v>46</v>
      </c>
      <c r="C7" s="126">
        <v>312.0</v>
      </c>
      <c r="D7" s="126">
        <v>4.0</v>
      </c>
      <c r="E7" s="126" t="s">
        <v>537</v>
      </c>
      <c r="F7" s="126" t="s">
        <v>538</v>
      </c>
      <c r="G7" s="126">
        <v>7.0</v>
      </c>
      <c r="H7" s="126" t="s">
        <v>539</v>
      </c>
      <c r="I7" s="126" t="s">
        <v>540</v>
      </c>
      <c r="J7" s="126">
        <v>27.0</v>
      </c>
      <c r="K7" s="126" t="s">
        <v>541</v>
      </c>
      <c r="L7" s="13">
        <f>100-20.38</f>
        <v>79.62</v>
      </c>
    </row>
    <row r="8" ht="22.5" hidden="1" customHeight="1">
      <c r="A8" s="5" t="s">
        <v>11</v>
      </c>
      <c r="B8" s="5" t="s">
        <v>50</v>
      </c>
      <c r="C8" s="126">
        <v>1601.0</v>
      </c>
      <c r="D8" s="126">
        <v>7.0</v>
      </c>
      <c r="E8" s="126" t="s">
        <v>280</v>
      </c>
      <c r="F8" s="126" t="s">
        <v>542</v>
      </c>
      <c r="G8" s="126">
        <v>44.0</v>
      </c>
      <c r="H8" s="126" t="s">
        <v>543</v>
      </c>
      <c r="I8" s="126" t="s">
        <v>544</v>
      </c>
      <c r="J8" s="126">
        <v>190.0</v>
      </c>
      <c r="K8" s="126" t="s">
        <v>545</v>
      </c>
      <c r="L8" s="13">
        <f>100-3.85</f>
        <v>96.15</v>
      </c>
    </row>
    <row r="9" ht="22.5" hidden="1" customHeight="1">
      <c r="A9" s="5" t="s">
        <v>11</v>
      </c>
      <c r="B9" s="5" t="s">
        <v>58</v>
      </c>
      <c r="C9" s="126">
        <v>2306.0</v>
      </c>
      <c r="D9" s="126">
        <v>2.0</v>
      </c>
      <c r="E9" s="126" t="s">
        <v>399</v>
      </c>
      <c r="F9" s="126" t="s">
        <v>546</v>
      </c>
      <c r="G9" s="126">
        <v>77.0</v>
      </c>
      <c r="H9" s="126" t="s">
        <v>547</v>
      </c>
      <c r="I9" s="126" t="s">
        <v>548</v>
      </c>
      <c r="J9" s="126">
        <v>242.0</v>
      </c>
      <c r="K9" s="126" t="s">
        <v>549</v>
      </c>
      <c r="L9" s="127">
        <f>100-0.82</f>
        <v>99.18</v>
      </c>
      <c r="O9" s="125" t="s">
        <v>550</v>
      </c>
    </row>
    <row r="10" ht="22.5" hidden="1" customHeight="1">
      <c r="A10" s="5" t="s">
        <v>11</v>
      </c>
      <c r="B10" s="5" t="s">
        <v>64</v>
      </c>
      <c r="C10" s="126">
        <v>1557.0</v>
      </c>
      <c r="D10" s="126" t="s">
        <v>17</v>
      </c>
      <c r="E10" s="126" t="s">
        <v>17</v>
      </c>
      <c r="F10" s="126" t="s">
        <v>17</v>
      </c>
      <c r="G10" s="126">
        <v>19.0</v>
      </c>
      <c r="H10" s="126" t="s">
        <v>551</v>
      </c>
      <c r="I10" s="126" t="s">
        <v>552</v>
      </c>
      <c r="J10" s="126">
        <v>209.0</v>
      </c>
      <c r="K10" s="126" t="s">
        <v>553</v>
      </c>
      <c r="L10" s="127">
        <f>100-1.81</f>
        <v>98.19</v>
      </c>
      <c r="O10" s="128" t="s">
        <v>23</v>
      </c>
      <c r="P10" s="139">
        <v>77.0</v>
      </c>
      <c r="Q10" s="140" t="s">
        <v>554</v>
      </c>
      <c r="R10" s="131"/>
    </row>
    <row r="11" ht="22.5" hidden="1" customHeight="1">
      <c r="A11" s="5" t="s">
        <v>11</v>
      </c>
      <c r="B11" s="5" t="s">
        <v>71</v>
      </c>
      <c r="C11" s="126">
        <v>1975.0</v>
      </c>
      <c r="D11" s="126">
        <v>3.0</v>
      </c>
      <c r="E11" s="126" t="s">
        <v>225</v>
      </c>
      <c r="F11" s="126" t="s">
        <v>555</v>
      </c>
      <c r="G11" s="126">
        <v>40.0</v>
      </c>
      <c r="H11" s="126" t="s">
        <v>556</v>
      </c>
      <c r="I11" s="126" t="s">
        <v>557</v>
      </c>
      <c r="J11" s="126">
        <v>178.0</v>
      </c>
      <c r="K11" s="126" t="s">
        <v>558</v>
      </c>
      <c r="L11" s="127">
        <f>100-1.05</f>
        <v>98.95</v>
      </c>
      <c r="O11" s="128" t="s">
        <v>26</v>
      </c>
      <c r="P11" s="139">
        <v>77.0</v>
      </c>
      <c r="Q11" s="141" t="s">
        <v>472</v>
      </c>
      <c r="R11" s="131"/>
    </row>
    <row r="12" ht="22.5" hidden="1" customHeight="1">
      <c r="A12" s="5" t="s">
        <v>11</v>
      </c>
      <c r="B12" s="5" t="s">
        <v>77</v>
      </c>
      <c r="C12" s="126">
        <v>1825.0</v>
      </c>
      <c r="D12" s="126">
        <v>16.0</v>
      </c>
      <c r="E12" s="126" t="s">
        <v>531</v>
      </c>
      <c r="F12" s="126" t="s">
        <v>559</v>
      </c>
      <c r="G12" s="126">
        <v>28.0</v>
      </c>
      <c r="H12" s="126" t="s">
        <v>560</v>
      </c>
      <c r="I12" s="126" t="s">
        <v>561</v>
      </c>
      <c r="J12" s="126">
        <v>186.0</v>
      </c>
      <c r="K12" s="126" t="s">
        <v>562</v>
      </c>
      <c r="L12" s="127">
        <f>100-2.71</f>
        <v>97.29</v>
      </c>
      <c r="O12" s="128" t="s">
        <v>19</v>
      </c>
      <c r="P12" s="142">
        <v>92.0</v>
      </c>
      <c r="Q12" s="143" t="s">
        <v>533</v>
      </c>
      <c r="R12" s="131"/>
    </row>
    <row r="13" ht="22.5" hidden="1" customHeight="1">
      <c r="A13" s="5" t="s">
        <v>11</v>
      </c>
      <c r="B13" s="5" t="s">
        <v>82</v>
      </c>
      <c r="C13" s="126">
        <v>1677.0</v>
      </c>
      <c r="D13" s="126">
        <v>6.0</v>
      </c>
      <c r="E13" s="126" t="s">
        <v>520</v>
      </c>
      <c r="F13" s="126" t="s">
        <v>563</v>
      </c>
      <c r="G13" s="126">
        <v>26.0</v>
      </c>
      <c r="H13" s="126" t="s">
        <v>564</v>
      </c>
      <c r="I13" s="126" t="s">
        <v>565</v>
      </c>
      <c r="J13" s="126">
        <v>166.0</v>
      </c>
      <c r="K13" s="126" t="s">
        <v>291</v>
      </c>
      <c r="L13" s="127">
        <f>100-4.3</f>
        <v>95.7</v>
      </c>
      <c r="O13" s="128" t="s">
        <v>39</v>
      </c>
      <c r="P13" s="144">
        <v>93.0</v>
      </c>
      <c r="Q13" s="145" t="s">
        <v>566</v>
      </c>
      <c r="R13" s="131"/>
    </row>
    <row r="14" ht="22.5" hidden="1" customHeight="1">
      <c r="A14" s="5" t="s">
        <v>11</v>
      </c>
      <c r="B14" s="5" t="s">
        <v>90</v>
      </c>
      <c r="C14" s="126">
        <v>1804.0</v>
      </c>
      <c r="D14" s="126">
        <v>4.0</v>
      </c>
      <c r="E14" s="126" t="s">
        <v>567</v>
      </c>
      <c r="F14" s="126" t="s">
        <v>568</v>
      </c>
      <c r="G14" s="126">
        <v>26.0</v>
      </c>
      <c r="H14" s="126" t="s">
        <v>533</v>
      </c>
      <c r="I14" s="126" t="s">
        <v>569</v>
      </c>
      <c r="J14" s="126">
        <v>159.0</v>
      </c>
      <c r="K14" s="126" t="s">
        <v>570</v>
      </c>
      <c r="L14" s="127">
        <f>100-0.79</f>
        <v>99.21</v>
      </c>
      <c r="O14" s="128" t="s">
        <v>13</v>
      </c>
      <c r="P14" s="137">
        <v>157.0</v>
      </c>
      <c r="Q14" s="146" t="s">
        <v>517</v>
      </c>
      <c r="R14" s="131"/>
    </row>
    <row r="15" ht="22.5" hidden="1" customHeight="1">
      <c r="A15" s="5" t="s">
        <v>11</v>
      </c>
      <c r="B15" s="5" t="s">
        <v>94</v>
      </c>
      <c r="C15" s="126">
        <v>1790.0</v>
      </c>
      <c r="D15" s="126" t="s">
        <v>17</v>
      </c>
      <c r="E15" s="126" t="s">
        <v>17</v>
      </c>
      <c r="F15" s="126" t="s">
        <v>17</v>
      </c>
      <c r="G15" s="126">
        <v>34.0</v>
      </c>
      <c r="H15" s="126" t="s">
        <v>571</v>
      </c>
      <c r="I15" s="126" t="s">
        <v>572</v>
      </c>
      <c r="J15" s="126">
        <v>244.0</v>
      </c>
      <c r="K15" s="126" t="s">
        <v>573</v>
      </c>
      <c r="L15" s="127">
        <f>100-1.94</f>
        <v>98.06</v>
      </c>
    </row>
    <row r="16" ht="22.5" hidden="1" customHeight="1">
      <c r="A16" s="5" t="s">
        <v>11</v>
      </c>
      <c r="B16" s="5" t="s">
        <v>39</v>
      </c>
      <c r="C16" s="126">
        <v>3559.0</v>
      </c>
      <c r="D16" s="126">
        <v>13.0</v>
      </c>
      <c r="E16" s="126" t="s">
        <v>520</v>
      </c>
      <c r="F16" s="126" t="s">
        <v>574</v>
      </c>
      <c r="G16" s="126">
        <v>93.0</v>
      </c>
      <c r="H16" s="126" t="s">
        <v>566</v>
      </c>
      <c r="I16" s="126" t="s">
        <v>575</v>
      </c>
      <c r="J16" s="126">
        <v>379.0</v>
      </c>
      <c r="K16" s="126" t="s">
        <v>576</v>
      </c>
      <c r="L16" s="13">
        <f>100-2.71</f>
        <v>97.29</v>
      </c>
    </row>
    <row r="17" ht="22.5" hidden="1" customHeight="1">
      <c r="A17" s="5" t="s">
        <v>11</v>
      </c>
      <c r="B17" s="5" t="s">
        <v>104</v>
      </c>
      <c r="C17" s="126">
        <v>719.0</v>
      </c>
      <c r="D17" s="126">
        <v>5.0</v>
      </c>
      <c r="E17" s="126" t="s">
        <v>238</v>
      </c>
      <c r="F17" s="126" t="s">
        <v>577</v>
      </c>
      <c r="G17" s="126">
        <v>5.0</v>
      </c>
      <c r="H17" s="126" t="s">
        <v>579</v>
      </c>
      <c r="I17" s="126" t="s">
        <v>580</v>
      </c>
      <c r="J17" s="126">
        <v>0.0</v>
      </c>
      <c r="K17" s="126">
        <v>0.0</v>
      </c>
      <c r="L17" s="13">
        <f>100</f>
        <v>100</v>
      </c>
      <c r="O17" s="125" t="s">
        <v>582</v>
      </c>
    </row>
    <row r="18" ht="22.5" hidden="1" customHeight="1">
      <c r="A18" s="5" t="s">
        <v>11</v>
      </c>
      <c r="B18" s="5" t="s">
        <v>59</v>
      </c>
      <c r="C18" s="126">
        <v>2798.0</v>
      </c>
      <c r="D18" s="126">
        <v>1.0</v>
      </c>
      <c r="E18" s="126" t="s">
        <v>583</v>
      </c>
      <c r="F18" s="126" t="s">
        <v>584</v>
      </c>
      <c r="G18" s="126">
        <v>61.0</v>
      </c>
      <c r="H18" s="126" t="s">
        <v>585</v>
      </c>
      <c r="I18" s="126" t="s">
        <v>586</v>
      </c>
      <c r="J18" s="126">
        <v>280.0</v>
      </c>
      <c r="K18" s="126" t="s">
        <v>587</v>
      </c>
      <c r="L18" s="127">
        <f>100-3.34</f>
        <v>96.66</v>
      </c>
      <c r="O18" s="128" t="s">
        <v>13</v>
      </c>
      <c r="P18" s="137">
        <v>157.0</v>
      </c>
      <c r="Q18" s="146" t="s">
        <v>517</v>
      </c>
      <c r="R18" s="131"/>
    </row>
    <row r="19" ht="22.5" hidden="1" customHeight="1">
      <c r="A19" s="5" t="s">
        <v>11</v>
      </c>
      <c r="B19" s="5" t="s">
        <v>114</v>
      </c>
      <c r="C19" s="126">
        <v>1450.0</v>
      </c>
      <c r="D19" s="126">
        <v>7.0</v>
      </c>
      <c r="E19" s="126" t="s">
        <v>588</v>
      </c>
      <c r="F19" s="126" t="s">
        <v>589</v>
      </c>
      <c r="G19" s="126">
        <v>33.0</v>
      </c>
      <c r="H19" s="126" t="s">
        <v>591</v>
      </c>
      <c r="I19" s="126" t="s">
        <v>592</v>
      </c>
      <c r="J19" s="126">
        <v>271.0</v>
      </c>
      <c r="K19" s="126" t="s">
        <v>593</v>
      </c>
      <c r="L19" s="127">
        <f>100-2.96</f>
        <v>97.04</v>
      </c>
      <c r="O19" s="128" t="s">
        <v>50</v>
      </c>
      <c r="P19" s="148">
        <v>44.0</v>
      </c>
      <c r="Q19" s="149" t="s">
        <v>543</v>
      </c>
      <c r="R19" s="131"/>
    </row>
    <row r="20" ht="22.5" hidden="1" customHeight="1">
      <c r="A20" s="5" t="s">
        <v>11</v>
      </c>
      <c r="B20" s="5" t="s">
        <v>119</v>
      </c>
      <c r="C20" s="126">
        <v>1299.0</v>
      </c>
      <c r="D20" s="126" t="s">
        <v>17</v>
      </c>
      <c r="E20" s="126" t="s">
        <v>17</v>
      </c>
      <c r="F20" s="126" t="s">
        <v>17</v>
      </c>
      <c r="G20" s="126">
        <v>24.0</v>
      </c>
      <c r="H20" s="126" t="s">
        <v>595</v>
      </c>
      <c r="I20" s="126" t="s">
        <v>596</v>
      </c>
      <c r="J20" s="126">
        <v>131.0</v>
      </c>
      <c r="K20" s="126" t="s">
        <v>597</v>
      </c>
      <c r="L20" s="127">
        <f>100-6.24</f>
        <v>93.76</v>
      </c>
      <c r="O20" s="128" t="s">
        <v>159</v>
      </c>
      <c r="P20" s="150">
        <v>47.0</v>
      </c>
      <c r="Q20" s="151" t="s">
        <v>364</v>
      </c>
      <c r="R20" s="131"/>
    </row>
    <row r="21" ht="22.5" hidden="1" customHeight="1">
      <c r="A21" s="5" t="s">
        <v>11</v>
      </c>
      <c r="B21" s="5" t="s">
        <v>126</v>
      </c>
      <c r="C21" s="126">
        <v>1090.0</v>
      </c>
      <c r="D21" s="126">
        <v>4.0</v>
      </c>
      <c r="E21" s="126" t="s">
        <v>600</v>
      </c>
      <c r="F21" s="126" t="s">
        <v>601</v>
      </c>
      <c r="G21" s="126">
        <v>18.0</v>
      </c>
      <c r="H21" s="126" t="s">
        <v>602</v>
      </c>
      <c r="I21" s="126" t="s">
        <v>603</v>
      </c>
      <c r="J21" s="126">
        <v>105.0</v>
      </c>
      <c r="K21" s="126" t="s">
        <v>604</v>
      </c>
      <c r="L21" s="127">
        <f>100-2.27</f>
        <v>97.73</v>
      </c>
      <c r="O21" s="128" t="s">
        <v>58</v>
      </c>
      <c r="P21" s="139">
        <v>77.0</v>
      </c>
      <c r="Q21" s="152" t="s">
        <v>547</v>
      </c>
      <c r="R21" s="131"/>
    </row>
    <row r="22" ht="22.5" hidden="1" customHeight="1">
      <c r="A22" s="5" t="s">
        <v>11</v>
      </c>
      <c r="B22" s="5" t="s">
        <v>136</v>
      </c>
      <c r="C22" s="126">
        <v>1716.0</v>
      </c>
      <c r="D22" s="126">
        <v>3.0</v>
      </c>
      <c r="E22" s="126" t="s">
        <v>607</v>
      </c>
      <c r="F22" s="126" t="s">
        <v>608</v>
      </c>
      <c r="G22" s="126">
        <v>15.0</v>
      </c>
      <c r="H22" s="126" t="s">
        <v>531</v>
      </c>
      <c r="I22" s="126" t="s">
        <v>610</v>
      </c>
      <c r="J22" s="126">
        <v>225.0</v>
      </c>
      <c r="K22" s="126" t="s">
        <v>611</v>
      </c>
      <c r="L22" s="127">
        <f>100-3.37</f>
        <v>96.63</v>
      </c>
      <c r="O22" s="128" t="s">
        <v>145</v>
      </c>
      <c r="P22" s="153">
        <v>59.0</v>
      </c>
      <c r="Q22" s="137" t="s">
        <v>322</v>
      </c>
      <c r="R22" s="131"/>
    </row>
    <row r="23" ht="22.5" hidden="1" customHeight="1">
      <c r="A23" s="5" t="s">
        <v>11</v>
      </c>
      <c r="B23" s="5" t="s">
        <v>72</v>
      </c>
      <c r="C23" s="126">
        <v>2317.0</v>
      </c>
      <c r="D23" s="126">
        <v>1.0</v>
      </c>
      <c r="E23" s="126" t="s">
        <v>583</v>
      </c>
      <c r="F23" s="126" t="s">
        <v>584</v>
      </c>
      <c r="G23" s="126">
        <v>29.0</v>
      </c>
      <c r="H23" s="126" t="s">
        <v>613</v>
      </c>
      <c r="I23" s="126" t="s">
        <v>615</v>
      </c>
      <c r="J23" s="126">
        <v>130.0</v>
      </c>
      <c r="K23" s="126" t="s">
        <v>616</v>
      </c>
      <c r="L23" s="13">
        <f>100-0.57</f>
        <v>99.43</v>
      </c>
    </row>
    <row r="24" ht="22.5" hidden="1" customHeight="1">
      <c r="A24" s="5" t="s">
        <v>11</v>
      </c>
      <c r="B24" s="5" t="s">
        <v>145</v>
      </c>
      <c r="C24" s="126">
        <v>1330.0</v>
      </c>
      <c r="D24" s="126">
        <v>10.0</v>
      </c>
      <c r="E24" s="126" t="s">
        <v>466</v>
      </c>
      <c r="F24" s="126" t="s">
        <v>617</v>
      </c>
      <c r="G24" s="126">
        <v>59.0</v>
      </c>
      <c r="H24" s="126" t="s">
        <v>322</v>
      </c>
      <c r="I24" s="126" t="s">
        <v>619</v>
      </c>
      <c r="J24" s="126">
        <v>165.0</v>
      </c>
      <c r="K24" s="126" t="s">
        <v>620</v>
      </c>
      <c r="L24" s="127">
        <f>100-2.95</f>
        <v>97.05</v>
      </c>
    </row>
    <row r="25" ht="22.5" hidden="1" customHeight="1">
      <c r="A25" s="5" t="s">
        <v>11</v>
      </c>
      <c r="B25" s="5" t="s">
        <v>85</v>
      </c>
      <c r="C25" s="126">
        <v>2103.0</v>
      </c>
      <c r="D25" s="126">
        <v>7.0</v>
      </c>
      <c r="E25" s="126" t="s">
        <v>622</v>
      </c>
      <c r="F25" s="126" t="s">
        <v>623</v>
      </c>
      <c r="G25" s="126">
        <v>55.0</v>
      </c>
      <c r="H25" s="126" t="s">
        <v>624</v>
      </c>
      <c r="I25" s="126" t="s">
        <v>625</v>
      </c>
      <c r="J25" s="126">
        <v>158.0</v>
      </c>
      <c r="K25" s="126" t="s">
        <v>626</v>
      </c>
      <c r="L25" s="127">
        <f>100-1.2</f>
        <v>98.8</v>
      </c>
      <c r="O25" s="125" t="s">
        <v>627</v>
      </c>
    </row>
    <row r="26" ht="22.5" hidden="1" customHeight="1">
      <c r="A26" s="5" t="s">
        <v>11</v>
      </c>
      <c r="B26" s="35" t="s">
        <v>79</v>
      </c>
      <c r="C26" s="126">
        <v>2239.0</v>
      </c>
      <c r="D26" s="126" t="s">
        <v>17</v>
      </c>
      <c r="E26" s="126" t="s">
        <v>17</v>
      </c>
      <c r="F26" s="126" t="s">
        <v>17</v>
      </c>
      <c r="G26" s="126">
        <v>43.0</v>
      </c>
      <c r="H26" s="126" t="s">
        <v>554</v>
      </c>
      <c r="I26" s="126" t="s">
        <v>630</v>
      </c>
      <c r="J26" s="126">
        <v>127.0</v>
      </c>
      <c r="K26" s="126" t="s">
        <v>631</v>
      </c>
      <c r="L26" s="127">
        <f>100-0.63</f>
        <v>99.37</v>
      </c>
      <c r="O26" s="128" t="s">
        <v>13</v>
      </c>
      <c r="P26" s="156">
        <v>399.0</v>
      </c>
      <c r="Q26" s="157" t="s">
        <v>519</v>
      </c>
    </row>
    <row r="27" ht="22.5" hidden="1" customHeight="1">
      <c r="A27" s="5" t="s">
        <v>11</v>
      </c>
      <c r="B27" s="5" t="s">
        <v>109</v>
      </c>
      <c r="C27" s="126">
        <v>2005.0</v>
      </c>
      <c r="D27" s="126">
        <v>4.0</v>
      </c>
      <c r="E27" s="126" t="s">
        <v>634</v>
      </c>
      <c r="F27" s="126" t="s">
        <v>635</v>
      </c>
      <c r="G27" s="126">
        <v>28.0</v>
      </c>
      <c r="H27" s="126" t="s">
        <v>636</v>
      </c>
      <c r="I27" s="126" t="s">
        <v>638</v>
      </c>
      <c r="J27" s="126">
        <v>91.0</v>
      </c>
      <c r="K27" s="126" t="s">
        <v>639</v>
      </c>
      <c r="L27" s="127">
        <f>100-4.11</f>
        <v>95.89</v>
      </c>
      <c r="O27" s="128" t="s">
        <v>27</v>
      </c>
      <c r="P27" s="142">
        <v>402.0</v>
      </c>
      <c r="Q27" s="144" t="s">
        <v>525</v>
      </c>
    </row>
    <row r="28" ht="22.5" hidden="1" customHeight="1">
      <c r="A28" s="5" t="s">
        <v>11</v>
      </c>
      <c r="B28" s="5" t="s">
        <v>49</v>
      </c>
      <c r="C28" s="126">
        <v>3127.0</v>
      </c>
      <c r="D28" s="126">
        <v>12.0</v>
      </c>
      <c r="E28" s="126" t="s">
        <v>348</v>
      </c>
      <c r="F28" s="126" t="s">
        <v>641</v>
      </c>
      <c r="G28" s="126">
        <v>60.0</v>
      </c>
      <c r="H28" s="126" t="s">
        <v>643</v>
      </c>
      <c r="I28" s="126" t="s">
        <v>644</v>
      </c>
      <c r="J28" s="126">
        <v>256.0</v>
      </c>
      <c r="K28" s="126" t="s">
        <v>646</v>
      </c>
      <c r="L28" s="13">
        <f>100-1.58</f>
        <v>98.42</v>
      </c>
      <c r="O28" s="128" t="s">
        <v>23</v>
      </c>
      <c r="P28" s="158">
        <v>416.0</v>
      </c>
      <c r="Q28" s="159" t="s">
        <v>647</v>
      </c>
    </row>
    <row r="29" ht="22.5" hidden="1" customHeight="1">
      <c r="A29" s="5" t="s">
        <v>11</v>
      </c>
      <c r="B29" s="5" t="s">
        <v>115</v>
      </c>
      <c r="C29" s="126">
        <v>1825.0</v>
      </c>
      <c r="D29" s="126">
        <v>1.0</v>
      </c>
      <c r="E29" s="126" t="s">
        <v>648</v>
      </c>
      <c r="F29" s="126" t="s">
        <v>584</v>
      </c>
      <c r="G29" s="126">
        <v>24.0</v>
      </c>
      <c r="H29" s="126" t="s">
        <v>649</v>
      </c>
      <c r="I29" s="126" t="s">
        <v>650</v>
      </c>
      <c r="J29" s="126">
        <v>213.0</v>
      </c>
      <c r="K29" s="126" t="s">
        <v>651</v>
      </c>
      <c r="L29" s="127">
        <f>100-1.66</f>
        <v>98.34</v>
      </c>
      <c r="O29" s="128" t="s">
        <v>33</v>
      </c>
      <c r="P29" s="160">
        <v>445.0</v>
      </c>
      <c r="Q29" s="161" t="s">
        <v>530</v>
      </c>
    </row>
    <row r="30" ht="22.5" hidden="1" customHeight="1">
      <c r="A30" s="5" t="s">
        <v>11</v>
      </c>
      <c r="B30" s="5" t="s">
        <v>45</v>
      </c>
      <c r="C30" s="126">
        <v>3319.0</v>
      </c>
      <c r="D30" s="126">
        <v>4.0</v>
      </c>
      <c r="E30" s="126" t="s">
        <v>653</v>
      </c>
      <c r="F30" s="126" t="s">
        <v>654</v>
      </c>
      <c r="G30" s="126">
        <v>69.0</v>
      </c>
      <c r="H30" s="126" t="s">
        <v>656</v>
      </c>
      <c r="I30" s="126" t="s">
        <v>657</v>
      </c>
      <c r="J30" s="126">
        <v>254.0</v>
      </c>
      <c r="K30" s="126" t="s">
        <v>659</v>
      </c>
      <c r="L30" s="13">
        <f>100-0.84</f>
        <v>99.16</v>
      </c>
      <c r="O30" s="128" t="s">
        <v>19</v>
      </c>
      <c r="P30" s="137">
        <v>682.0</v>
      </c>
      <c r="Q30" s="162" t="s">
        <v>535</v>
      </c>
    </row>
    <row r="31" ht="22.5" hidden="1" customHeight="1">
      <c r="A31" s="5" t="s">
        <v>11</v>
      </c>
      <c r="B31" s="5" t="s">
        <v>170</v>
      </c>
      <c r="C31" s="126">
        <v>1220.0</v>
      </c>
      <c r="D31" s="126">
        <v>8.0</v>
      </c>
      <c r="E31" s="126" t="s">
        <v>660</v>
      </c>
      <c r="F31" s="126" t="s">
        <v>661</v>
      </c>
      <c r="G31" s="126">
        <v>19.0</v>
      </c>
      <c r="H31" s="126" t="s">
        <v>662</v>
      </c>
      <c r="I31" s="126" t="s">
        <v>664</v>
      </c>
      <c r="J31" s="126">
        <v>237.0</v>
      </c>
      <c r="K31" s="126" t="s">
        <v>665</v>
      </c>
      <c r="L31" s="127">
        <f>100-5.17</f>
        <v>94.83</v>
      </c>
    </row>
    <row r="32" ht="22.5" hidden="1" customHeight="1">
      <c r="A32" s="5" t="s">
        <v>11</v>
      </c>
      <c r="B32" s="5" t="s">
        <v>123</v>
      </c>
      <c r="C32" s="126">
        <v>1933.0</v>
      </c>
      <c r="D32" s="126">
        <v>2.0</v>
      </c>
      <c r="E32" s="126" t="s">
        <v>515</v>
      </c>
      <c r="F32" s="126" t="s">
        <v>666</v>
      </c>
      <c r="G32" s="126">
        <v>38.0</v>
      </c>
      <c r="H32" s="126" t="s">
        <v>667</v>
      </c>
      <c r="I32" s="126" t="s">
        <v>668</v>
      </c>
      <c r="J32" s="126">
        <v>159.0</v>
      </c>
      <c r="K32" s="126" t="s">
        <v>669</v>
      </c>
      <c r="L32" s="127">
        <f>100-2.71</f>
        <v>97.29</v>
      </c>
    </row>
    <row r="33" ht="22.5" hidden="1" customHeight="1">
      <c r="A33" s="5" t="s">
        <v>11</v>
      </c>
      <c r="B33" s="5" t="s">
        <v>96</v>
      </c>
      <c r="C33" s="126">
        <v>1791.0</v>
      </c>
      <c r="D33" s="126">
        <v>4.0</v>
      </c>
      <c r="E33" s="126" t="s">
        <v>567</v>
      </c>
      <c r="F33" s="126" t="s">
        <v>671</v>
      </c>
      <c r="G33" s="126">
        <v>33.0</v>
      </c>
      <c r="H33" s="126" t="s">
        <v>672</v>
      </c>
      <c r="I33" s="126" t="s">
        <v>673</v>
      </c>
      <c r="J33" s="126">
        <v>138.0</v>
      </c>
      <c r="K33" s="126" t="s">
        <v>675</v>
      </c>
      <c r="L33" s="127">
        <f>100-1.81</f>
        <v>98.19</v>
      </c>
      <c r="O33" s="125" t="s">
        <v>676</v>
      </c>
    </row>
    <row r="34" ht="22.5" hidden="1" customHeight="1">
      <c r="A34" s="5" t="s">
        <v>11</v>
      </c>
      <c r="B34" s="5" t="s">
        <v>156</v>
      </c>
      <c r="C34" s="126">
        <v>1613.0</v>
      </c>
      <c r="D34" s="126" t="s">
        <v>17</v>
      </c>
      <c r="E34" s="126" t="s">
        <v>17</v>
      </c>
      <c r="F34" s="126" t="s">
        <v>17</v>
      </c>
      <c r="G34" s="126">
        <v>27.0</v>
      </c>
      <c r="H34" s="126" t="s">
        <v>678</v>
      </c>
      <c r="I34" s="126" t="s">
        <v>679</v>
      </c>
      <c r="J34" s="126">
        <v>158.0</v>
      </c>
      <c r="K34" s="126" t="s">
        <v>680</v>
      </c>
      <c r="L34" s="127">
        <f>100-7.39</f>
        <v>92.61</v>
      </c>
      <c r="O34" s="128" t="s">
        <v>50</v>
      </c>
      <c r="P34" s="163">
        <v>190.0</v>
      </c>
      <c r="Q34" s="164" t="s">
        <v>545</v>
      </c>
    </row>
    <row r="35" ht="22.5" hidden="1" customHeight="1">
      <c r="A35" s="5" t="s">
        <v>11</v>
      </c>
      <c r="B35" s="5" t="s">
        <v>153</v>
      </c>
      <c r="C35" s="126">
        <v>1533.0</v>
      </c>
      <c r="D35" s="126">
        <v>3.0</v>
      </c>
      <c r="E35" s="126" t="s">
        <v>634</v>
      </c>
      <c r="F35" s="126" t="s">
        <v>683</v>
      </c>
      <c r="G35" s="126">
        <v>31.0</v>
      </c>
      <c r="H35" s="126" t="s">
        <v>684</v>
      </c>
      <c r="I35" s="126" t="s">
        <v>685</v>
      </c>
      <c r="J35" s="126">
        <v>73.0</v>
      </c>
      <c r="K35" s="126" t="s">
        <v>256</v>
      </c>
      <c r="L35" s="13">
        <f>100-0.93</f>
        <v>99.07</v>
      </c>
      <c r="O35" s="128" t="s">
        <v>33</v>
      </c>
      <c r="P35" s="160">
        <v>445.0</v>
      </c>
      <c r="Q35" s="161" t="s">
        <v>530</v>
      </c>
    </row>
    <row r="36" ht="22.5" hidden="1" customHeight="1">
      <c r="A36" s="5" t="s">
        <v>11</v>
      </c>
      <c r="B36" s="5" t="s">
        <v>159</v>
      </c>
      <c r="C36" s="126">
        <v>1430.0</v>
      </c>
      <c r="D36" s="126">
        <v>2.0</v>
      </c>
      <c r="E36" s="126" t="s">
        <v>687</v>
      </c>
      <c r="F36" s="126" t="s">
        <v>688</v>
      </c>
      <c r="G36" s="126">
        <v>47.0</v>
      </c>
      <c r="H36" s="126" t="s">
        <v>364</v>
      </c>
      <c r="I36" s="126" t="s">
        <v>690</v>
      </c>
      <c r="J36" s="126">
        <v>94.0</v>
      </c>
      <c r="K36" s="126" t="s">
        <v>691</v>
      </c>
      <c r="L36" s="127">
        <f>100-1.08</f>
        <v>98.92</v>
      </c>
      <c r="O36" s="128" t="s">
        <v>94</v>
      </c>
      <c r="P36" s="165">
        <v>244.0</v>
      </c>
      <c r="Q36" s="166" t="s">
        <v>573</v>
      </c>
    </row>
    <row r="37" ht="22.5" hidden="1" customHeight="1">
      <c r="A37" s="5" t="s">
        <v>11</v>
      </c>
      <c r="B37" s="5" t="s">
        <v>26</v>
      </c>
      <c r="C37" s="126">
        <v>3863.0</v>
      </c>
      <c r="D37" s="126">
        <v>21.0</v>
      </c>
      <c r="E37" s="126" t="s">
        <v>536</v>
      </c>
      <c r="F37" s="126" t="s">
        <v>693</v>
      </c>
      <c r="G37" s="126">
        <v>77.0</v>
      </c>
      <c r="H37" s="126" t="s">
        <v>472</v>
      </c>
      <c r="I37" s="126" t="s">
        <v>694</v>
      </c>
      <c r="J37" s="126">
        <v>356.0</v>
      </c>
      <c r="K37" s="126" t="s">
        <v>695</v>
      </c>
      <c r="L37" s="127">
        <f>100-2.77</f>
        <v>97.23</v>
      </c>
      <c r="O37" s="128" t="s">
        <v>114</v>
      </c>
      <c r="P37" s="167">
        <v>271.0</v>
      </c>
      <c r="Q37" s="168" t="s">
        <v>593</v>
      </c>
    </row>
    <row r="38" ht="22.5" hidden="1" customHeight="1">
      <c r="A38" s="5" t="s">
        <v>11</v>
      </c>
      <c r="B38" s="5" t="s">
        <v>23</v>
      </c>
      <c r="C38" s="126">
        <v>3914.0</v>
      </c>
      <c r="D38" s="126">
        <v>5.0</v>
      </c>
      <c r="E38" s="126" t="s">
        <v>697</v>
      </c>
      <c r="F38" s="126" t="s">
        <v>698</v>
      </c>
      <c r="G38" s="126">
        <v>77.0</v>
      </c>
      <c r="H38" s="126" t="s">
        <v>554</v>
      </c>
      <c r="I38" s="126" t="s">
        <v>699</v>
      </c>
      <c r="J38" s="126">
        <v>416.0</v>
      </c>
      <c r="K38" s="126" t="s">
        <v>647</v>
      </c>
      <c r="L38" s="127">
        <f>100-0.9</f>
        <v>99.1</v>
      </c>
      <c r="O38" s="128" t="s">
        <v>170</v>
      </c>
      <c r="P38" s="169">
        <v>237.0</v>
      </c>
      <c r="Q38" s="137" t="s">
        <v>665</v>
      </c>
    </row>
    <row r="39" ht="22.5" hidden="1" customHeight="1">
      <c r="A39" s="5" t="s">
        <v>11</v>
      </c>
      <c r="B39" s="5" t="s">
        <v>63</v>
      </c>
      <c r="C39" s="126">
        <v>2748.0</v>
      </c>
      <c r="D39" s="126">
        <v>6.0</v>
      </c>
      <c r="E39" s="126" t="s">
        <v>567</v>
      </c>
      <c r="F39" s="126" t="s">
        <v>702</v>
      </c>
      <c r="G39" s="126">
        <v>41.0</v>
      </c>
      <c r="H39" s="126" t="s">
        <v>462</v>
      </c>
      <c r="I39" s="126" t="s">
        <v>703</v>
      </c>
      <c r="J39" s="126">
        <v>367.0</v>
      </c>
      <c r="K39" s="126" t="s">
        <v>704</v>
      </c>
      <c r="L39" s="13">
        <f>100-1.41</f>
        <v>98.59</v>
      </c>
      <c r="T39" s="170"/>
      <c r="U39" s="170"/>
      <c r="V39" s="170"/>
    </row>
    <row r="40" ht="22.5" customHeight="1">
      <c r="A40" s="5" t="s">
        <v>185</v>
      </c>
      <c r="B40" s="171" t="s">
        <v>15</v>
      </c>
      <c r="C40" s="172">
        <v>226.0</v>
      </c>
      <c r="D40" s="173" t="s">
        <v>707</v>
      </c>
      <c r="E40" s="174" t="s">
        <v>709</v>
      </c>
      <c r="F40" s="55">
        <v>0.0</v>
      </c>
      <c r="G40" s="47">
        <v>10.0</v>
      </c>
      <c r="H40" s="47" t="s">
        <v>222</v>
      </c>
      <c r="I40" s="47">
        <v>16762.0</v>
      </c>
      <c r="J40" s="57">
        <v>79.0</v>
      </c>
      <c r="K40" s="175" t="s">
        <v>711</v>
      </c>
      <c r="L40" s="47" t="s">
        <v>712</v>
      </c>
      <c r="N40" s="176" t="s">
        <v>713</v>
      </c>
      <c r="O40" s="177" t="s">
        <v>3</v>
      </c>
      <c r="P40" s="178" t="s">
        <v>3</v>
      </c>
      <c r="Q40" s="178" t="s">
        <v>4</v>
      </c>
      <c r="S40" s="179" t="s">
        <v>715</v>
      </c>
      <c r="T40" s="180" t="s">
        <v>717</v>
      </c>
      <c r="U40" s="181"/>
      <c r="V40" s="181"/>
    </row>
    <row r="41" ht="22.5" customHeight="1">
      <c r="A41" s="5" t="s">
        <v>185</v>
      </c>
      <c r="B41" s="171" t="s">
        <v>13</v>
      </c>
      <c r="C41" s="182">
        <v>2493.0</v>
      </c>
      <c r="D41" s="173" t="s">
        <v>718</v>
      </c>
      <c r="E41" s="174" t="s">
        <v>258</v>
      </c>
      <c r="F41" s="55">
        <v>0.0</v>
      </c>
      <c r="G41" s="47">
        <v>100.0</v>
      </c>
      <c r="H41" s="47" t="s">
        <v>719</v>
      </c>
      <c r="I41" s="47" t="s">
        <v>720</v>
      </c>
      <c r="J41" s="57">
        <v>867.0</v>
      </c>
      <c r="K41" s="175" t="s">
        <v>722</v>
      </c>
      <c r="L41" s="47" t="s">
        <v>723</v>
      </c>
      <c r="O41" s="128" t="s">
        <v>26</v>
      </c>
      <c r="P41" s="183" t="s">
        <v>724</v>
      </c>
      <c r="Q41" s="184" t="s">
        <v>725</v>
      </c>
      <c r="T41" s="185" t="s">
        <v>488</v>
      </c>
      <c r="U41" s="186">
        <v>14.0</v>
      </c>
      <c r="V41" s="187" t="s">
        <v>726</v>
      </c>
    </row>
    <row r="42" ht="22.5" customHeight="1">
      <c r="A42" s="5" t="s">
        <v>185</v>
      </c>
      <c r="B42" s="171" t="s">
        <v>27</v>
      </c>
      <c r="C42" s="172">
        <v>768.0</v>
      </c>
      <c r="D42" s="173" t="s">
        <v>718</v>
      </c>
      <c r="E42" s="174" t="s">
        <v>258</v>
      </c>
      <c r="F42" s="55">
        <v>0.0</v>
      </c>
      <c r="G42" s="47">
        <v>22.0</v>
      </c>
      <c r="H42" s="47" t="s">
        <v>729</v>
      </c>
      <c r="I42" s="47" t="s">
        <v>730</v>
      </c>
      <c r="J42" s="57">
        <v>344.0</v>
      </c>
      <c r="K42" s="175" t="s">
        <v>731</v>
      </c>
      <c r="L42" s="47" t="s">
        <v>732</v>
      </c>
      <c r="O42" s="128" t="s">
        <v>33</v>
      </c>
      <c r="P42" s="188" t="s">
        <v>733</v>
      </c>
      <c r="Q42" s="184" t="s">
        <v>734</v>
      </c>
      <c r="T42" s="185" t="s">
        <v>499</v>
      </c>
      <c r="U42" s="189">
        <v>12.0</v>
      </c>
      <c r="V42" s="190" t="s">
        <v>735</v>
      </c>
    </row>
    <row r="43" ht="22.5" customHeight="1">
      <c r="A43" s="5" t="s">
        <v>185</v>
      </c>
      <c r="B43" s="171" t="s">
        <v>33</v>
      </c>
      <c r="C43" s="182">
        <v>1090.0</v>
      </c>
      <c r="D43" s="173" t="s">
        <v>733</v>
      </c>
      <c r="E43" s="174" t="s">
        <v>734</v>
      </c>
      <c r="F43" s="55">
        <v>0.0</v>
      </c>
      <c r="G43" s="47">
        <v>45.0</v>
      </c>
      <c r="H43" s="47" t="s">
        <v>737</v>
      </c>
      <c r="I43" s="47" t="s">
        <v>738</v>
      </c>
      <c r="J43" s="57">
        <v>536.0</v>
      </c>
      <c r="K43" s="175" t="s">
        <v>739</v>
      </c>
      <c r="L43" s="47" t="s">
        <v>740</v>
      </c>
      <c r="O43" s="128" t="s">
        <v>19</v>
      </c>
      <c r="P43" s="188" t="s">
        <v>733</v>
      </c>
      <c r="Q43" s="184" t="s">
        <v>742</v>
      </c>
      <c r="T43" s="185" t="s">
        <v>498</v>
      </c>
      <c r="U43" s="186">
        <v>11.0</v>
      </c>
      <c r="V43" s="187" t="s">
        <v>743</v>
      </c>
    </row>
    <row r="44" ht="22.5" customHeight="1">
      <c r="A44" s="5" t="s">
        <v>185</v>
      </c>
      <c r="B44" s="171" t="s">
        <v>19</v>
      </c>
      <c r="C44" s="172">
        <v>1459.0</v>
      </c>
      <c r="D44" s="173" t="s">
        <v>733</v>
      </c>
      <c r="E44" s="174" t="s">
        <v>742</v>
      </c>
      <c r="F44" s="55">
        <v>0.0</v>
      </c>
      <c r="G44" s="47">
        <v>52.0</v>
      </c>
      <c r="H44" s="47" t="s">
        <v>744</v>
      </c>
      <c r="I44" s="47" t="s">
        <v>745</v>
      </c>
      <c r="J44" s="57">
        <v>807.0</v>
      </c>
      <c r="K44" s="175" t="s">
        <v>747</v>
      </c>
      <c r="L44" s="47" t="s">
        <v>748</v>
      </c>
      <c r="O44" s="128" t="s">
        <v>15</v>
      </c>
      <c r="P44" s="188" t="s">
        <v>707</v>
      </c>
      <c r="Q44" s="184" t="s">
        <v>709</v>
      </c>
      <c r="T44" s="185" t="s">
        <v>494</v>
      </c>
      <c r="U44" s="189">
        <v>10.0</v>
      </c>
      <c r="V44" s="190" t="s">
        <v>749</v>
      </c>
    </row>
    <row r="45" ht="22.5" customHeight="1">
      <c r="A45" s="5" t="s">
        <v>185</v>
      </c>
      <c r="B45" s="171" t="s">
        <v>58</v>
      </c>
      <c r="C45" s="182">
        <v>908.0</v>
      </c>
      <c r="D45" s="173" t="s">
        <v>707</v>
      </c>
      <c r="E45" s="174" t="s">
        <v>750</v>
      </c>
      <c r="F45" s="55">
        <v>0.0</v>
      </c>
      <c r="G45" s="47">
        <v>53.0</v>
      </c>
      <c r="H45" s="47" t="s">
        <v>752</v>
      </c>
      <c r="I45" s="47" t="s">
        <v>753</v>
      </c>
      <c r="J45" s="57">
        <v>528.0</v>
      </c>
      <c r="K45" s="175" t="s">
        <v>755</v>
      </c>
      <c r="L45" s="47" t="s">
        <v>756</v>
      </c>
      <c r="O45" s="128" t="s">
        <v>58</v>
      </c>
      <c r="P45" s="188" t="s">
        <v>707</v>
      </c>
      <c r="Q45" s="184" t="s">
        <v>750</v>
      </c>
      <c r="T45" s="185" t="s">
        <v>504</v>
      </c>
      <c r="U45" s="186">
        <v>8.0</v>
      </c>
      <c r="V45" s="187" t="s">
        <v>757</v>
      </c>
    </row>
    <row r="46" ht="22.5" customHeight="1">
      <c r="A46" s="5" t="s">
        <v>185</v>
      </c>
      <c r="B46" s="171" t="s">
        <v>77</v>
      </c>
      <c r="C46" s="172">
        <v>512.0</v>
      </c>
      <c r="D46" s="191" t="s">
        <v>718</v>
      </c>
      <c r="E46" s="174" t="s">
        <v>258</v>
      </c>
      <c r="F46" s="55">
        <v>0.0</v>
      </c>
      <c r="G46" s="47">
        <v>19.0</v>
      </c>
      <c r="H46" s="47" t="s">
        <v>760</v>
      </c>
      <c r="I46" s="47" t="s">
        <v>761</v>
      </c>
      <c r="J46" s="57">
        <v>218.0</v>
      </c>
      <c r="K46" s="175" t="s">
        <v>762</v>
      </c>
      <c r="L46" s="47" t="s">
        <v>230</v>
      </c>
      <c r="T46" s="170"/>
      <c r="U46" s="170"/>
      <c r="V46" s="170"/>
    </row>
    <row r="47" ht="22.5" customHeight="1">
      <c r="A47" s="5" t="s">
        <v>185</v>
      </c>
      <c r="B47" s="171" t="s">
        <v>82</v>
      </c>
      <c r="C47" s="182">
        <v>596.0</v>
      </c>
      <c r="D47" s="192" t="s">
        <v>718</v>
      </c>
      <c r="E47" s="174" t="s">
        <v>258</v>
      </c>
      <c r="F47" s="55">
        <v>0.0</v>
      </c>
      <c r="G47" s="47">
        <v>19.0</v>
      </c>
      <c r="H47" s="47" t="s">
        <v>764</v>
      </c>
      <c r="I47" s="47" t="s">
        <v>765</v>
      </c>
      <c r="J47" s="57">
        <v>305.0</v>
      </c>
      <c r="K47" s="175" t="s">
        <v>767</v>
      </c>
      <c r="L47" s="47" t="s">
        <v>768</v>
      </c>
      <c r="O47" s="177" t="s">
        <v>769</v>
      </c>
      <c r="P47" s="177"/>
      <c r="Q47" s="177"/>
      <c r="T47" s="193" t="s">
        <v>770</v>
      </c>
      <c r="U47" s="194"/>
      <c r="V47" s="194"/>
    </row>
    <row r="48" ht="22.5" customHeight="1">
      <c r="A48" s="5" t="s">
        <v>185</v>
      </c>
      <c r="B48" s="50" t="s">
        <v>94</v>
      </c>
      <c r="C48" s="195">
        <v>0.0</v>
      </c>
      <c r="D48" s="192" t="s">
        <v>718</v>
      </c>
      <c r="E48" s="174" t="s">
        <v>258</v>
      </c>
      <c r="F48" s="55">
        <v>0.0</v>
      </c>
      <c r="G48" s="50">
        <v>0.0</v>
      </c>
      <c r="H48" s="50">
        <v>0.0</v>
      </c>
      <c r="I48" s="50">
        <v>0.0</v>
      </c>
      <c r="J48" s="57">
        <v>0.0</v>
      </c>
      <c r="K48" s="196">
        <v>0.0</v>
      </c>
      <c r="L48" s="50">
        <v>0.0</v>
      </c>
      <c r="O48" s="128" t="s">
        <v>15</v>
      </c>
      <c r="P48" s="188" t="s">
        <v>707</v>
      </c>
      <c r="Q48" s="184" t="s">
        <v>709</v>
      </c>
      <c r="T48" s="197" t="s">
        <v>504</v>
      </c>
      <c r="U48" s="198">
        <v>8.0</v>
      </c>
      <c r="V48" s="199" t="s">
        <v>757</v>
      </c>
    </row>
    <row r="49" ht="22.5" customHeight="1">
      <c r="A49" s="5" t="s">
        <v>185</v>
      </c>
      <c r="B49" s="171" t="s">
        <v>39</v>
      </c>
      <c r="C49" s="182">
        <v>173.0</v>
      </c>
      <c r="D49" s="192" t="s">
        <v>718</v>
      </c>
      <c r="E49" s="174" t="s">
        <v>258</v>
      </c>
      <c r="F49" s="55">
        <v>0.0</v>
      </c>
      <c r="G49" s="50">
        <v>0.0</v>
      </c>
      <c r="H49" s="50">
        <v>0.0</v>
      </c>
      <c r="I49" s="50">
        <v>0.0</v>
      </c>
      <c r="J49" s="57">
        <v>10.0</v>
      </c>
      <c r="K49" s="175" t="s">
        <v>776</v>
      </c>
      <c r="L49" s="47" t="s">
        <v>777</v>
      </c>
      <c r="O49" s="128" t="s">
        <v>136</v>
      </c>
      <c r="P49" s="200" t="s">
        <v>707</v>
      </c>
      <c r="Q49" s="184" t="s">
        <v>778</v>
      </c>
      <c r="T49" s="197" t="s">
        <v>499</v>
      </c>
      <c r="U49" s="198">
        <v>12.0</v>
      </c>
      <c r="V49" s="199" t="s">
        <v>735</v>
      </c>
    </row>
    <row r="50" ht="22.5" customHeight="1">
      <c r="A50" s="5" t="s">
        <v>185</v>
      </c>
      <c r="B50" s="171" t="s">
        <v>59</v>
      </c>
      <c r="C50" s="172">
        <v>460.0</v>
      </c>
      <c r="D50" s="192" t="s">
        <v>718</v>
      </c>
      <c r="E50" s="174" t="s">
        <v>258</v>
      </c>
      <c r="F50" s="55">
        <v>0.0</v>
      </c>
      <c r="G50" s="47">
        <v>8.0</v>
      </c>
      <c r="H50" s="47" t="s">
        <v>779</v>
      </c>
      <c r="I50" s="47" t="s">
        <v>780</v>
      </c>
      <c r="J50" s="57">
        <v>109.0</v>
      </c>
      <c r="K50" s="175" t="s">
        <v>781</v>
      </c>
      <c r="L50" s="47" t="s">
        <v>783</v>
      </c>
      <c r="O50" s="128" t="s">
        <v>26</v>
      </c>
      <c r="P50" s="183" t="s">
        <v>724</v>
      </c>
      <c r="Q50" s="184" t="s">
        <v>725</v>
      </c>
      <c r="T50" s="197" t="s">
        <v>508</v>
      </c>
      <c r="U50" s="198">
        <v>1.0</v>
      </c>
      <c r="V50" s="199" t="s">
        <v>785</v>
      </c>
    </row>
    <row r="51" ht="22.5" customHeight="1">
      <c r="A51" s="5" t="s">
        <v>185</v>
      </c>
      <c r="B51" s="171" t="s">
        <v>114</v>
      </c>
      <c r="C51" s="182">
        <v>486.0</v>
      </c>
      <c r="D51" s="192" t="s">
        <v>718</v>
      </c>
      <c r="E51" s="174" t="s">
        <v>258</v>
      </c>
      <c r="F51" s="55">
        <v>0.0</v>
      </c>
      <c r="G51" s="47">
        <v>19.0</v>
      </c>
      <c r="H51" s="47" t="s">
        <v>786</v>
      </c>
      <c r="I51" s="47" t="s">
        <v>787</v>
      </c>
      <c r="J51" s="57">
        <v>180.0</v>
      </c>
      <c r="K51" s="175" t="s">
        <v>789</v>
      </c>
      <c r="L51" s="47" t="s">
        <v>790</v>
      </c>
      <c r="O51" s="128" t="s">
        <v>33</v>
      </c>
      <c r="P51" s="188" t="s">
        <v>733</v>
      </c>
      <c r="Q51" s="184" t="s">
        <v>734</v>
      </c>
      <c r="T51" s="197" t="s">
        <v>498</v>
      </c>
      <c r="U51" s="198">
        <v>11.0</v>
      </c>
      <c r="V51" s="199" t="s">
        <v>743</v>
      </c>
    </row>
    <row r="52" ht="22.5" customHeight="1">
      <c r="A52" s="5" t="s">
        <v>185</v>
      </c>
      <c r="B52" s="171" t="s">
        <v>136</v>
      </c>
      <c r="C52" s="172">
        <v>346.0</v>
      </c>
      <c r="D52" s="192" t="s">
        <v>707</v>
      </c>
      <c r="E52" s="174" t="s">
        <v>778</v>
      </c>
      <c r="F52" s="55">
        <v>0.0</v>
      </c>
      <c r="G52" s="47">
        <v>24.0</v>
      </c>
      <c r="H52" s="47" t="s">
        <v>793</v>
      </c>
      <c r="I52" s="47" t="s">
        <v>795</v>
      </c>
      <c r="J52" s="57">
        <v>354.0</v>
      </c>
      <c r="K52" s="175" t="s">
        <v>798</v>
      </c>
      <c r="L52" s="47" t="s">
        <v>800</v>
      </c>
      <c r="O52" s="128" t="s">
        <v>58</v>
      </c>
      <c r="P52" s="188" t="s">
        <v>707</v>
      </c>
      <c r="Q52" s="184" t="s">
        <v>750</v>
      </c>
      <c r="T52" s="197" t="s">
        <v>494</v>
      </c>
      <c r="U52" s="198">
        <v>10.0</v>
      </c>
      <c r="V52" s="199" t="s">
        <v>749</v>
      </c>
    </row>
    <row r="53" ht="22.5" customHeight="1">
      <c r="A53" s="5" t="s">
        <v>185</v>
      </c>
      <c r="B53" s="171" t="s">
        <v>85</v>
      </c>
      <c r="C53" s="182">
        <v>549.0</v>
      </c>
      <c r="D53" s="192" t="s">
        <v>718</v>
      </c>
      <c r="E53" s="174" t="s">
        <v>258</v>
      </c>
      <c r="F53" s="55">
        <v>0.0</v>
      </c>
      <c r="G53" s="47">
        <v>18.0</v>
      </c>
      <c r="H53" s="47" t="s">
        <v>803</v>
      </c>
      <c r="I53" s="47" t="s">
        <v>805</v>
      </c>
      <c r="J53" s="57">
        <v>170.0</v>
      </c>
      <c r="K53" s="175" t="s">
        <v>806</v>
      </c>
      <c r="L53" s="47" t="s">
        <v>807</v>
      </c>
      <c r="T53" s="170"/>
      <c r="U53" s="170"/>
      <c r="V53" s="170"/>
    </row>
    <row r="54" ht="22.5" customHeight="1">
      <c r="A54" s="5" t="s">
        <v>185</v>
      </c>
      <c r="B54" s="171" t="s">
        <v>79</v>
      </c>
      <c r="C54" s="172">
        <v>897.0</v>
      </c>
      <c r="D54" s="192" t="s">
        <v>718</v>
      </c>
      <c r="E54" s="174" t="s">
        <v>258</v>
      </c>
      <c r="F54" s="55">
        <v>0.0</v>
      </c>
      <c r="G54" s="47">
        <v>25.0</v>
      </c>
      <c r="H54" s="47" t="s">
        <v>810</v>
      </c>
      <c r="I54" s="47" t="s">
        <v>811</v>
      </c>
      <c r="J54" s="57">
        <v>191.0</v>
      </c>
      <c r="K54" s="175" t="s">
        <v>813</v>
      </c>
      <c r="L54" s="47" t="s">
        <v>814</v>
      </c>
      <c r="O54" s="177" t="s">
        <v>5</v>
      </c>
      <c r="P54" s="177"/>
      <c r="Q54" s="177"/>
      <c r="T54" s="170"/>
      <c r="U54" s="170"/>
      <c r="V54" s="170"/>
    </row>
    <row r="55" ht="22.5" customHeight="1">
      <c r="A55" s="5" t="s">
        <v>185</v>
      </c>
      <c r="B55" s="171" t="s">
        <v>45</v>
      </c>
      <c r="C55" s="182">
        <v>998.0</v>
      </c>
      <c r="D55" s="173" t="s">
        <v>718</v>
      </c>
      <c r="E55" s="174" t="s">
        <v>258</v>
      </c>
      <c r="F55" s="55">
        <v>0.0</v>
      </c>
      <c r="G55" s="47">
        <v>34.0</v>
      </c>
      <c r="H55" s="47" t="s">
        <v>818</v>
      </c>
      <c r="I55" s="47" t="s">
        <v>819</v>
      </c>
      <c r="J55" s="57">
        <v>383.0</v>
      </c>
      <c r="K55" s="175" t="s">
        <v>820</v>
      </c>
      <c r="L55" s="47" t="s">
        <v>303</v>
      </c>
      <c r="O55" s="128" t="s">
        <v>63</v>
      </c>
      <c r="P55" s="205">
        <v>123.0</v>
      </c>
      <c r="Q55" s="205" t="s">
        <v>821</v>
      </c>
      <c r="T55" s="193" t="s">
        <v>822</v>
      </c>
      <c r="U55" s="194"/>
      <c r="V55" s="194"/>
    </row>
    <row r="56" ht="22.5" customHeight="1">
      <c r="A56" s="5" t="s">
        <v>185</v>
      </c>
      <c r="B56" s="171" t="s">
        <v>170</v>
      </c>
      <c r="C56" s="172">
        <v>387.0</v>
      </c>
      <c r="D56" s="173" t="s">
        <v>718</v>
      </c>
      <c r="E56" s="174" t="s">
        <v>258</v>
      </c>
      <c r="F56" s="55">
        <v>0.0</v>
      </c>
      <c r="G56" s="47">
        <v>43.0</v>
      </c>
      <c r="H56" s="47" t="s">
        <v>825</v>
      </c>
      <c r="I56" s="47">
        <v>184654.0</v>
      </c>
      <c r="J56" s="57">
        <v>91.0</v>
      </c>
      <c r="K56" s="175" t="s">
        <v>826</v>
      </c>
      <c r="L56" s="47" t="s">
        <v>827</v>
      </c>
      <c r="O56" s="128" t="s">
        <v>13</v>
      </c>
      <c r="P56" s="206">
        <v>100.0</v>
      </c>
      <c r="Q56" s="206" t="s">
        <v>719</v>
      </c>
      <c r="T56" s="185" t="s">
        <v>488</v>
      </c>
      <c r="U56" s="207">
        <v>63.0</v>
      </c>
      <c r="V56" s="208">
        <v>0.035734543391945546</v>
      </c>
    </row>
    <row r="57" ht="22.5" customHeight="1">
      <c r="A57" s="5" t="s">
        <v>185</v>
      </c>
      <c r="B57" s="171" t="s">
        <v>153</v>
      </c>
      <c r="C57" s="182">
        <v>631.0</v>
      </c>
      <c r="D57" s="191" t="s">
        <v>718</v>
      </c>
      <c r="E57" s="174" t="s">
        <v>258</v>
      </c>
      <c r="F57" s="55">
        <v>0.0</v>
      </c>
      <c r="G57" s="47">
        <v>9.0</v>
      </c>
      <c r="H57" s="47" t="s">
        <v>832</v>
      </c>
      <c r="I57" s="47" t="s">
        <v>833</v>
      </c>
      <c r="J57" s="57">
        <v>126.0</v>
      </c>
      <c r="K57" s="175" t="s">
        <v>834</v>
      </c>
      <c r="L57" s="47" t="s">
        <v>835</v>
      </c>
      <c r="O57" s="128" t="s">
        <v>23</v>
      </c>
      <c r="P57" s="206">
        <v>80.0</v>
      </c>
      <c r="Q57" s="206" t="s">
        <v>836</v>
      </c>
      <c r="T57" s="185" t="s">
        <v>495</v>
      </c>
      <c r="U57" s="209">
        <v>37.0</v>
      </c>
      <c r="V57" s="210">
        <v>0.05530642750373692</v>
      </c>
    </row>
    <row r="58" ht="22.5" customHeight="1">
      <c r="A58" s="5" t="s">
        <v>185</v>
      </c>
      <c r="B58" s="171" t="s">
        <v>26</v>
      </c>
      <c r="C58" s="172">
        <v>1687.0</v>
      </c>
      <c r="D58" s="191" t="s">
        <v>724</v>
      </c>
      <c r="E58" s="174" t="s">
        <v>725</v>
      </c>
      <c r="F58" s="55">
        <v>0.0</v>
      </c>
      <c r="G58" s="47">
        <v>22.0</v>
      </c>
      <c r="H58" s="47" t="s">
        <v>838</v>
      </c>
      <c r="I58" s="47" t="s">
        <v>839</v>
      </c>
      <c r="J58" s="57">
        <v>293.0</v>
      </c>
      <c r="K58" s="175" t="s">
        <v>449</v>
      </c>
      <c r="L58" s="47" t="s">
        <v>840</v>
      </c>
      <c r="O58" s="213" t="s">
        <v>505</v>
      </c>
      <c r="P58" s="206">
        <v>58.0</v>
      </c>
      <c r="Q58" s="206" t="s">
        <v>841</v>
      </c>
      <c r="T58" s="185" t="s">
        <v>490</v>
      </c>
      <c r="U58" s="207">
        <v>31.0</v>
      </c>
      <c r="V58" s="208">
        <v>0.025726141078838173</v>
      </c>
    </row>
    <row r="59" ht="22.5" customHeight="1">
      <c r="A59" s="5" t="s">
        <v>185</v>
      </c>
      <c r="B59" s="171" t="s">
        <v>23</v>
      </c>
      <c r="C59" s="182">
        <v>1104.0</v>
      </c>
      <c r="D59" s="173" t="s">
        <v>718</v>
      </c>
      <c r="E59" s="174" t="s">
        <v>258</v>
      </c>
      <c r="F59" s="55">
        <v>0.0</v>
      </c>
      <c r="G59" s="47">
        <v>80.0</v>
      </c>
      <c r="H59" s="47" t="s">
        <v>836</v>
      </c>
      <c r="I59" s="47" t="s">
        <v>845</v>
      </c>
      <c r="J59" s="57">
        <v>181.0</v>
      </c>
      <c r="K59" s="175" t="s">
        <v>846</v>
      </c>
      <c r="L59" s="47" t="s">
        <v>847</v>
      </c>
      <c r="O59" s="128" t="s">
        <v>58</v>
      </c>
      <c r="P59" s="206">
        <v>53.0</v>
      </c>
      <c r="Q59" s="206" t="s">
        <v>752</v>
      </c>
      <c r="T59" s="185" t="s">
        <v>489</v>
      </c>
      <c r="U59" s="209">
        <v>29.0</v>
      </c>
      <c r="V59" s="210">
        <v>0.02212051868802441</v>
      </c>
    </row>
    <row r="60" ht="22.5" customHeight="1">
      <c r="A60" s="5" t="s">
        <v>185</v>
      </c>
      <c r="B60" s="50" t="s">
        <v>505</v>
      </c>
      <c r="C60" s="195">
        <v>0.0</v>
      </c>
      <c r="D60" s="214" t="s">
        <v>718</v>
      </c>
      <c r="E60" s="174" t="s">
        <v>258</v>
      </c>
      <c r="F60" s="55">
        <v>0.0</v>
      </c>
      <c r="G60" s="47">
        <v>58.0</v>
      </c>
      <c r="H60" s="47" t="s">
        <v>841</v>
      </c>
      <c r="I60" s="47" t="s">
        <v>852</v>
      </c>
      <c r="J60" s="57">
        <v>525.0</v>
      </c>
      <c r="K60" s="175" t="s">
        <v>854</v>
      </c>
      <c r="L60" s="47" t="s">
        <v>855</v>
      </c>
      <c r="T60" s="185" t="s">
        <v>491</v>
      </c>
      <c r="U60" s="207">
        <v>24.0</v>
      </c>
      <c r="V60" s="208">
        <v>0.02456499488229273</v>
      </c>
    </row>
    <row r="61" ht="22.5" customHeight="1">
      <c r="A61" s="5" t="s">
        <v>185</v>
      </c>
      <c r="B61" s="171" t="s">
        <v>485</v>
      </c>
      <c r="C61" s="195">
        <v>24.0</v>
      </c>
      <c r="D61" s="215" t="s">
        <v>718</v>
      </c>
      <c r="E61" s="174" t="s">
        <v>258</v>
      </c>
      <c r="F61" s="50">
        <v>0.0</v>
      </c>
      <c r="G61" s="50">
        <v>0.0</v>
      </c>
      <c r="H61" s="50">
        <v>0.0</v>
      </c>
      <c r="I61" s="50">
        <v>0.0</v>
      </c>
      <c r="J61" s="13">
        <v>0.0</v>
      </c>
      <c r="K61" s="216">
        <v>0.0</v>
      </c>
      <c r="L61" s="50">
        <v>0.0</v>
      </c>
      <c r="O61" s="177" t="s">
        <v>857</v>
      </c>
      <c r="P61" s="177"/>
      <c r="Q61" s="177"/>
      <c r="T61" s="170"/>
      <c r="U61" s="170"/>
      <c r="V61" s="170"/>
    </row>
    <row r="62" ht="22.5" customHeight="1">
      <c r="A62" s="5" t="s">
        <v>185</v>
      </c>
      <c r="B62" s="171" t="s">
        <v>63</v>
      </c>
      <c r="C62" s="172">
        <v>3946.0</v>
      </c>
      <c r="D62" s="215" t="s">
        <v>718</v>
      </c>
      <c r="E62" s="174" t="s">
        <v>258</v>
      </c>
      <c r="F62" s="50">
        <v>0.0</v>
      </c>
      <c r="G62" s="49">
        <v>123.0</v>
      </c>
      <c r="H62" s="49" t="s">
        <v>821</v>
      </c>
      <c r="I62" s="49" t="s">
        <v>859</v>
      </c>
      <c r="J62" s="217">
        <v>1686.0</v>
      </c>
      <c r="K62" s="218" t="s">
        <v>862</v>
      </c>
      <c r="L62" s="49" t="s">
        <v>864</v>
      </c>
      <c r="O62" s="128" t="s">
        <v>58</v>
      </c>
      <c r="P62" s="206">
        <v>53.0</v>
      </c>
      <c r="Q62" s="206" t="s">
        <v>752</v>
      </c>
      <c r="T62" s="170"/>
      <c r="U62" s="170"/>
      <c r="V62" s="170"/>
    </row>
    <row r="63" ht="22.5" hidden="1" customHeight="1">
      <c r="A63" s="5" t="s">
        <v>383</v>
      </c>
      <c r="B63" s="96" t="s">
        <v>506</v>
      </c>
      <c r="C63" s="76">
        <v>317.0</v>
      </c>
      <c r="D63" s="76">
        <v>1.0</v>
      </c>
      <c r="E63" s="219" t="s">
        <v>869</v>
      </c>
      <c r="F63" s="27">
        <v>0.0</v>
      </c>
      <c r="G63" s="77">
        <v>5.0</v>
      </c>
      <c r="H63" s="73">
        <v>0.015723270440251572</v>
      </c>
      <c r="I63" s="27">
        <v>0.0</v>
      </c>
      <c r="J63" s="77">
        <v>50.0</v>
      </c>
      <c r="K63" s="73">
        <v>0.16233766233766234</v>
      </c>
      <c r="L63" s="32">
        <v>0.9741</v>
      </c>
      <c r="O63" s="213" t="s">
        <v>505</v>
      </c>
      <c r="P63" s="206">
        <v>58.0</v>
      </c>
      <c r="Q63" s="206" t="s">
        <v>841</v>
      </c>
      <c r="T63" s="193" t="s">
        <v>874</v>
      </c>
      <c r="U63" s="220"/>
      <c r="V63" s="194"/>
      <c r="W63" s="79"/>
    </row>
    <row r="64" ht="22.5" hidden="1" customHeight="1">
      <c r="A64" s="5" t="s">
        <v>383</v>
      </c>
      <c r="B64" s="96" t="s">
        <v>493</v>
      </c>
      <c r="C64" s="76">
        <v>818.0</v>
      </c>
      <c r="D64" s="76">
        <v>1.0</v>
      </c>
      <c r="E64" s="219" t="s">
        <v>876</v>
      </c>
      <c r="F64" s="27">
        <v>0.0</v>
      </c>
      <c r="G64" s="77">
        <v>18.0</v>
      </c>
      <c r="H64" s="73">
        <v>0.02197802197802198</v>
      </c>
      <c r="I64" s="27">
        <v>0.0</v>
      </c>
      <c r="J64" s="77">
        <v>124.0</v>
      </c>
      <c r="K64" s="73">
        <v>0.15384615384615385</v>
      </c>
      <c r="L64" s="32">
        <v>0.9898</v>
      </c>
      <c r="O64" s="128" t="s">
        <v>85</v>
      </c>
      <c r="P64" s="206">
        <v>18.0</v>
      </c>
      <c r="Q64" s="206" t="s">
        <v>803</v>
      </c>
      <c r="T64" s="197" t="s">
        <v>495</v>
      </c>
      <c r="U64" s="197">
        <v>37.0</v>
      </c>
      <c r="V64" s="221">
        <v>0.05530642750373692</v>
      </c>
      <c r="W64" s="222"/>
    </row>
    <row r="65" ht="22.5" hidden="1" customHeight="1">
      <c r="A65" s="5" t="s">
        <v>383</v>
      </c>
      <c r="B65" s="96" t="s">
        <v>490</v>
      </c>
      <c r="C65" s="76">
        <v>1203.0</v>
      </c>
      <c r="D65" s="76">
        <v>2.0</v>
      </c>
      <c r="E65" s="219" t="s">
        <v>884</v>
      </c>
      <c r="F65" s="27">
        <v>0.0</v>
      </c>
      <c r="G65" s="77">
        <v>31.0</v>
      </c>
      <c r="H65" s="73">
        <v>0.025726141078838173</v>
      </c>
      <c r="I65" s="27">
        <v>0.0</v>
      </c>
      <c r="J65" s="77">
        <v>171.0</v>
      </c>
      <c r="K65" s="73">
        <v>0.14947552447552448</v>
      </c>
      <c r="L65" s="32">
        <v>0.9188</v>
      </c>
      <c r="O65" s="128" t="s">
        <v>136</v>
      </c>
      <c r="P65" s="206">
        <v>24.0</v>
      </c>
      <c r="Q65" s="206" t="s">
        <v>793</v>
      </c>
      <c r="T65" s="197" t="s">
        <v>501</v>
      </c>
      <c r="U65" s="197">
        <v>19.0</v>
      </c>
      <c r="V65" s="221">
        <v>0.04449648711943794</v>
      </c>
      <c r="W65" s="222"/>
    </row>
    <row r="66" ht="22.5" hidden="1" customHeight="1">
      <c r="A66" s="5" t="s">
        <v>383</v>
      </c>
      <c r="B66" s="5" t="s">
        <v>39</v>
      </c>
      <c r="C66" s="76">
        <v>48.0</v>
      </c>
      <c r="D66" s="76">
        <v>1.0</v>
      </c>
      <c r="E66" s="219" t="s">
        <v>785</v>
      </c>
      <c r="F66" s="27">
        <v>0.0</v>
      </c>
      <c r="G66" s="77">
        <v>2.0</v>
      </c>
      <c r="H66" s="73">
        <v>0.04081632653061224</v>
      </c>
      <c r="I66" s="27">
        <v>0.0</v>
      </c>
      <c r="J66" s="77">
        <v>6.0</v>
      </c>
      <c r="K66" s="73">
        <v>0.14285714285714285</v>
      </c>
      <c r="L66" s="32">
        <v>0.9157</v>
      </c>
      <c r="O66" s="128" t="s">
        <v>23</v>
      </c>
      <c r="P66" s="206">
        <v>80.0</v>
      </c>
      <c r="Q66" s="206" t="s">
        <v>836</v>
      </c>
      <c r="T66" s="197" t="s">
        <v>507</v>
      </c>
      <c r="U66" s="197">
        <v>12.0</v>
      </c>
      <c r="V66" s="221">
        <v>0.040955631399317405</v>
      </c>
      <c r="W66" s="222"/>
    </row>
    <row r="67" ht="22.5" hidden="1" customHeight="1">
      <c r="A67" s="5" t="s">
        <v>383</v>
      </c>
      <c r="B67" s="5" t="s">
        <v>63</v>
      </c>
      <c r="C67" s="76">
        <v>630.0</v>
      </c>
      <c r="D67" s="76">
        <v>3.0</v>
      </c>
      <c r="E67" s="219" t="s">
        <v>894</v>
      </c>
      <c r="F67" s="27">
        <v>0.0</v>
      </c>
      <c r="G67" s="77">
        <v>20.0</v>
      </c>
      <c r="H67" s="73">
        <v>0.0315955766192733</v>
      </c>
      <c r="I67" s="27">
        <v>0.0</v>
      </c>
      <c r="J67" s="77">
        <v>88.0</v>
      </c>
      <c r="K67" s="73">
        <v>0.14193548387096774</v>
      </c>
      <c r="L67" s="32">
        <v>0.9908</v>
      </c>
      <c r="T67" s="197" t="s">
        <v>508</v>
      </c>
      <c r="U67" s="197">
        <v>2.0</v>
      </c>
      <c r="V67" s="221">
        <v>0.04081632653061224</v>
      </c>
      <c r="W67" s="222"/>
    </row>
    <row r="68" ht="22.5" hidden="1" customHeight="1">
      <c r="A68" s="5" t="s">
        <v>383</v>
      </c>
      <c r="B68" s="96" t="s">
        <v>498</v>
      </c>
      <c r="C68" s="76">
        <v>539.0</v>
      </c>
      <c r="D68" s="76">
        <v>11.0</v>
      </c>
      <c r="E68" s="219" t="s">
        <v>743</v>
      </c>
      <c r="F68" s="27">
        <v>0.0</v>
      </c>
      <c r="G68" s="77">
        <v>20.0</v>
      </c>
      <c r="H68" s="73">
        <v>0.03636363636363636</v>
      </c>
      <c r="I68" s="27">
        <v>0.0</v>
      </c>
      <c r="J68" s="77">
        <v>72.0</v>
      </c>
      <c r="K68" s="73">
        <v>0.138996138996139</v>
      </c>
      <c r="L68" s="32">
        <v>0.9796</v>
      </c>
      <c r="O68" s="177" t="s">
        <v>899</v>
      </c>
      <c r="P68" s="177"/>
      <c r="Q68" s="177"/>
      <c r="T68" s="197" t="s">
        <v>498</v>
      </c>
      <c r="U68" s="197">
        <v>20.0</v>
      </c>
      <c r="V68" s="221">
        <v>0.03636363636363636</v>
      </c>
      <c r="W68" s="222"/>
    </row>
    <row r="69" ht="22.5" hidden="1" customHeight="1">
      <c r="A69" s="5" t="s">
        <v>383</v>
      </c>
      <c r="B69" s="96" t="s">
        <v>491</v>
      </c>
      <c r="C69" s="76">
        <v>969.0</v>
      </c>
      <c r="D69" s="76">
        <v>8.0</v>
      </c>
      <c r="E69" s="219" t="s">
        <v>901</v>
      </c>
      <c r="F69" s="27">
        <v>0.0</v>
      </c>
      <c r="G69" s="77">
        <v>24.0</v>
      </c>
      <c r="H69" s="73">
        <v>0.02456499488229273</v>
      </c>
      <c r="I69" s="27">
        <v>0.0</v>
      </c>
      <c r="J69" s="77">
        <v>67.0</v>
      </c>
      <c r="K69" s="73">
        <v>0.07045215562565721</v>
      </c>
      <c r="L69" s="32">
        <v>0.9994</v>
      </c>
      <c r="O69" s="128" t="s">
        <v>63</v>
      </c>
      <c r="P69" s="223">
        <v>1686.0</v>
      </c>
      <c r="Q69" s="224" t="s">
        <v>862</v>
      </c>
      <c r="T69" s="170"/>
      <c r="U69" s="170"/>
      <c r="V69" s="170"/>
      <c r="W69" s="79"/>
    </row>
    <row r="70" ht="22.5" hidden="1" customHeight="1">
      <c r="A70" s="5" t="s">
        <v>383</v>
      </c>
      <c r="B70" s="96" t="s">
        <v>499</v>
      </c>
      <c r="C70" s="76">
        <v>530.0</v>
      </c>
      <c r="D70" s="76">
        <v>12.0</v>
      </c>
      <c r="E70" s="219" t="s">
        <v>735</v>
      </c>
      <c r="F70" s="27">
        <v>0.0</v>
      </c>
      <c r="G70" s="77">
        <v>15.0</v>
      </c>
      <c r="H70" s="73">
        <v>0.027675276752767528</v>
      </c>
      <c r="I70" s="27">
        <v>0.0</v>
      </c>
      <c r="J70" s="77">
        <v>35.0</v>
      </c>
      <c r="K70" s="73">
        <v>0.0673076923076923</v>
      </c>
      <c r="L70" s="32">
        <v>0.9818</v>
      </c>
      <c r="O70" s="128" t="s">
        <v>13</v>
      </c>
      <c r="P70" s="225">
        <v>867.0</v>
      </c>
      <c r="Q70" s="226" t="s">
        <v>722</v>
      </c>
      <c r="T70" s="194" t="s">
        <v>902</v>
      </c>
      <c r="U70" s="220"/>
      <c r="V70" s="194"/>
      <c r="W70" s="79"/>
    </row>
    <row r="71" ht="22.5" hidden="1" customHeight="1">
      <c r="A71" s="5" t="s">
        <v>383</v>
      </c>
      <c r="B71" s="96" t="s">
        <v>500</v>
      </c>
      <c r="C71" s="76">
        <v>453.0</v>
      </c>
      <c r="D71" s="76">
        <v>2.0</v>
      </c>
      <c r="E71" s="219" t="s">
        <v>903</v>
      </c>
      <c r="F71" s="27">
        <v>0.0</v>
      </c>
      <c r="G71" s="77">
        <v>8.0</v>
      </c>
      <c r="H71" s="73">
        <v>0.017582417582417582</v>
      </c>
      <c r="I71" s="27">
        <v>0.0</v>
      </c>
      <c r="J71" s="77">
        <v>30.0</v>
      </c>
      <c r="K71" s="73">
        <v>0.06726457399103139</v>
      </c>
      <c r="L71" s="32">
        <v>0.9867</v>
      </c>
      <c r="O71" s="128" t="s">
        <v>19</v>
      </c>
      <c r="P71" s="225">
        <v>807.0</v>
      </c>
      <c r="Q71" s="226" t="s">
        <v>747</v>
      </c>
      <c r="T71" s="227" t="s">
        <v>490</v>
      </c>
      <c r="U71" s="228">
        <v>171.0</v>
      </c>
      <c r="V71" s="229">
        <v>0.14947552447552448</v>
      </c>
      <c r="W71" s="230"/>
    </row>
    <row r="72" ht="22.5" hidden="1" customHeight="1">
      <c r="A72" s="5" t="s">
        <v>383</v>
      </c>
      <c r="B72" s="96" t="s">
        <v>504</v>
      </c>
      <c r="C72" s="76">
        <v>260.0</v>
      </c>
      <c r="D72" s="76">
        <v>8.0</v>
      </c>
      <c r="E72" s="219" t="s">
        <v>757</v>
      </c>
      <c r="F72" s="27">
        <v>0.0</v>
      </c>
      <c r="G72" s="77">
        <v>6.0</v>
      </c>
      <c r="H72" s="73">
        <v>0.022388059701492536</v>
      </c>
      <c r="I72" s="27">
        <v>0.0</v>
      </c>
      <c r="J72" s="77">
        <v>16.0</v>
      </c>
      <c r="K72" s="73">
        <v>0.06349206349206349</v>
      </c>
      <c r="L72" s="32">
        <v>0.9741</v>
      </c>
      <c r="O72" s="128" t="s">
        <v>33</v>
      </c>
      <c r="P72" s="225">
        <v>536.0</v>
      </c>
      <c r="Q72" s="226" t="s">
        <v>739</v>
      </c>
      <c r="T72" s="227" t="s">
        <v>493</v>
      </c>
      <c r="U72" s="228">
        <v>124.0</v>
      </c>
      <c r="V72" s="229">
        <v>0.15384615384615385</v>
      </c>
      <c r="W72" s="230"/>
    </row>
    <row r="73" ht="22.5" hidden="1" customHeight="1">
      <c r="A73" s="5" t="s">
        <v>383</v>
      </c>
      <c r="B73" s="96" t="s">
        <v>494</v>
      </c>
      <c r="C73" s="76">
        <v>626.0</v>
      </c>
      <c r="D73" s="76">
        <v>10.0</v>
      </c>
      <c r="E73" s="219" t="s">
        <v>749</v>
      </c>
      <c r="F73" s="27">
        <v>0.0</v>
      </c>
      <c r="G73" s="77">
        <v>8.0</v>
      </c>
      <c r="H73" s="73">
        <v>0.012578616352201259</v>
      </c>
      <c r="I73" s="27">
        <v>0.0</v>
      </c>
      <c r="J73" s="77">
        <v>33.0</v>
      </c>
      <c r="K73" s="73">
        <v>0.05348460291734198</v>
      </c>
      <c r="L73" s="32">
        <v>0.9667</v>
      </c>
      <c r="O73" s="128" t="s">
        <v>58</v>
      </c>
      <c r="P73" s="225">
        <v>528.0</v>
      </c>
      <c r="Q73" s="226" t="s">
        <v>755</v>
      </c>
      <c r="T73" s="227" t="s">
        <v>497</v>
      </c>
      <c r="U73" s="228">
        <v>88.0</v>
      </c>
      <c r="V73" s="229">
        <v>0.14193548387096774</v>
      </c>
      <c r="W73" s="230"/>
    </row>
    <row r="74" ht="22.5" hidden="1" customHeight="1">
      <c r="A74" s="5" t="s">
        <v>383</v>
      </c>
      <c r="B74" s="96" t="s">
        <v>502</v>
      </c>
      <c r="C74" s="76">
        <v>308.0</v>
      </c>
      <c r="D74" s="76">
        <v>4.0</v>
      </c>
      <c r="E74" s="219" t="s">
        <v>904</v>
      </c>
      <c r="F74" s="27">
        <v>0.0</v>
      </c>
      <c r="G74" s="77">
        <v>4.0</v>
      </c>
      <c r="H74" s="73">
        <v>0.01282051282051282</v>
      </c>
      <c r="I74" s="27">
        <v>0.0</v>
      </c>
      <c r="J74" s="77">
        <v>16.0</v>
      </c>
      <c r="K74" s="73">
        <v>0.05245901639344262</v>
      </c>
      <c r="L74" s="32">
        <v>0.9912</v>
      </c>
      <c r="T74" s="227" t="s">
        <v>498</v>
      </c>
      <c r="U74" s="228">
        <v>72.0</v>
      </c>
      <c r="V74" s="229">
        <v>0.138996138996139</v>
      </c>
      <c r="W74" s="230"/>
    </row>
    <row r="75" ht="22.5" hidden="1" customHeight="1">
      <c r="A75" s="5" t="s">
        <v>383</v>
      </c>
      <c r="B75" s="96" t="s">
        <v>495</v>
      </c>
      <c r="C75" s="76">
        <v>668.0</v>
      </c>
      <c r="D75" s="76">
        <v>1.0</v>
      </c>
      <c r="E75" s="219" t="s">
        <v>905</v>
      </c>
      <c r="F75" s="27">
        <v>0.0</v>
      </c>
      <c r="G75" s="77">
        <v>37.0</v>
      </c>
      <c r="H75" s="73">
        <v>0.05530642750373692</v>
      </c>
      <c r="I75" s="27">
        <v>0.0</v>
      </c>
      <c r="J75" s="77">
        <v>32.0</v>
      </c>
      <c r="K75" s="73">
        <v>0.049079754601226995</v>
      </c>
      <c r="L75" s="32">
        <v>0.9977</v>
      </c>
      <c r="O75" s="177" t="s">
        <v>906</v>
      </c>
      <c r="P75" s="177"/>
      <c r="Q75" s="177"/>
      <c r="T75" s="227" t="s">
        <v>491</v>
      </c>
      <c r="U75" s="228">
        <v>67.0</v>
      </c>
      <c r="V75" s="229">
        <v>0.07045215562565721</v>
      </c>
      <c r="W75" s="230"/>
    </row>
    <row r="76" ht="22.5" hidden="1" customHeight="1">
      <c r="A76" s="5" t="s">
        <v>383</v>
      </c>
      <c r="B76" s="96" t="s">
        <v>503</v>
      </c>
      <c r="C76" s="76">
        <v>292.0</v>
      </c>
      <c r="D76" s="76">
        <v>1.0</v>
      </c>
      <c r="E76" s="219" t="s">
        <v>907</v>
      </c>
      <c r="F76" s="27">
        <v>0.0</v>
      </c>
      <c r="G76" s="77">
        <v>10.0</v>
      </c>
      <c r="H76" s="73">
        <v>0.034129692832764506</v>
      </c>
      <c r="I76" s="27">
        <v>0.0</v>
      </c>
      <c r="J76" s="77">
        <v>14.0</v>
      </c>
      <c r="K76" s="73">
        <v>0.04827586206896552</v>
      </c>
      <c r="L76" s="32">
        <v>0.9558</v>
      </c>
      <c r="O76" s="128" t="s">
        <v>136</v>
      </c>
      <c r="P76" s="225">
        <v>354.0</v>
      </c>
      <c r="Q76" s="226" t="s">
        <v>798</v>
      </c>
      <c r="T76" s="170"/>
      <c r="U76" s="170"/>
      <c r="V76" s="170"/>
      <c r="W76" s="79"/>
    </row>
    <row r="77" ht="22.5" hidden="1" customHeight="1">
      <c r="A77" s="5" t="s">
        <v>383</v>
      </c>
      <c r="B77" s="96" t="s">
        <v>507</v>
      </c>
      <c r="C77" s="76">
        <v>292.0</v>
      </c>
      <c r="D77" s="76">
        <v>1.0</v>
      </c>
      <c r="E77" s="219" t="s">
        <v>907</v>
      </c>
      <c r="F77" s="27">
        <v>0.0</v>
      </c>
      <c r="G77" s="77">
        <v>12.0</v>
      </c>
      <c r="H77" s="73">
        <v>0.040955631399317405</v>
      </c>
      <c r="I77" s="27">
        <v>0.0</v>
      </c>
      <c r="J77" s="77">
        <v>13.0</v>
      </c>
      <c r="K77" s="73">
        <v>0.04609929078014184</v>
      </c>
      <c r="L77" s="32">
        <v>0.9912</v>
      </c>
      <c r="O77" s="128" t="s">
        <v>59</v>
      </c>
      <c r="P77" s="225">
        <v>109.0</v>
      </c>
      <c r="Q77" s="226" t="s">
        <v>781</v>
      </c>
      <c r="T77" s="170"/>
      <c r="U77" s="170"/>
      <c r="V77" s="170"/>
      <c r="W77" s="79"/>
    </row>
    <row r="78" ht="22.5" hidden="1" customHeight="1">
      <c r="A78" s="5" t="s">
        <v>383</v>
      </c>
      <c r="B78" s="96" t="s">
        <v>505</v>
      </c>
      <c r="C78" s="76">
        <v>211.0</v>
      </c>
      <c r="D78" s="76">
        <v>1.0</v>
      </c>
      <c r="E78" s="219" t="s">
        <v>894</v>
      </c>
      <c r="F78" s="27">
        <v>0.0</v>
      </c>
      <c r="G78" s="77">
        <v>2.0</v>
      </c>
      <c r="H78" s="73">
        <v>0.009433962264150943</v>
      </c>
      <c r="I78" s="27">
        <v>0.0</v>
      </c>
      <c r="J78" s="77">
        <v>8.0</v>
      </c>
      <c r="K78" s="73">
        <v>0.038834951456310676</v>
      </c>
      <c r="L78" s="32">
        <v>0.9875</v>
      </c>
      <c r="O78" s="128" t="s">
        <v>58</v>
      </c>
      <c r="P78" s="225">
        <v>528.0</v>
      </c>
      <c r="Q78" s="226" t="s">
        <v>755</v>
      </c>
      <c r="T78" s="194" t="s">
        <v>908</v>
      </c>
      <c r="U78" s="220"/>
      <c r="V78" s="194"/>
      <c r="W78" s="79"/>
    </row>
    <row r="79" ht="22.5" hidden="1" customHeight="1">
      <c r="A79" s="5" t="s">
        <v>383</v>
      </c>
      <c r="B79" s="96" t="s">
        <v>489</v>
      </c>
      <c r="C79" s="76">
        <v>1307.0</v>
      </c>
      <c r="D79" s="76">
        <v>4.0</v>
      </c>
      <c r="E79" s="219" t="s">
        <v>869</v>
      </c>
      <c r="F79" s="27">
        <v>0.0</v>
      </c>
      <c r="G79" s="77">
        <v>29.0</v>
      </c>
      <c r="H79" s="73">
        <v>0.02212051868802441</v>
      </c>
      <c r="I79" s="27">
        <v>0.0</v>
      </c>
      <c r="J79" s="77">
        <v>48.0</v>
      </c>
      <c r="K79" s="73">
        <v>0.0375</v>
      </c>
      <c r="L79" s="32">
        <v>0.9797</v>
      </c>
      <c r="O79" s="128" t="s">
        <v>19</v>
      </c>
      <c r="P79" s="225">
        <v>807.0</v>
      </c>
      <c r="Q79" s="226" t="s">
        <v>747</v>
      </c>
      <c r="T79" s="227" t="s">
        <v>506</v>
      </c>
      <c r="U79" s="228">
        <v>50.0</v>
      </c>
      <c r="V79" s="229">
        <v>0.16233766233766234</v>
      </c>
      <c r="W79" s="231"/>
    </row>
    <row r="80" ht="22.5" hidden="1" customHeight="1">
      <c r="A80" s="5" t="s">
        <v>383</v>
      </c>
      <c r="B80" s="5" t="s">
        <v>13</v>
      </c>
      <c r="C80" s="76">
        <v>1749.0</v>
      </c>
      <c r="D80" s="76">
        <v>14.0</v>
      </c>
      <c r="E80" s="219" t="s">
        <v>726</v>
      </c>
      <c r="F80" s="27">
        <v>0.0</v>
      </c>
      <c r="G80" s="77">
        <v>63.0</v>
      </c>
      <c r="H80" s="73">
        <v>0.035734543391945546</v>
      </c>
      <c r="I80" s="27">
        <v>0.0</v>
      </c>
      <c r="J80" s="77">
        <v>64.0</v>
      </c>
      <c r="K80" s="73">
        <v>0.037296037296037296</v>
      </c>
      <c r="L80" s="32">
        <v>0.9709</v>
      </c>
      <c r="O80" s="128" t="s">
        <v>82</v>
      </c>
      <c r="P80" s="225">
        <v>305.0</v>
      </c>
      <c r="Q80" s="226" t="s">
        <v>767</v>
      </c>
      <c r="T80" s="227" t="s">
        <v>493</v>
      </c>
      <c r="U80" s="228">
        <v>124.0</v>
      </c>
      <c r="V80" s="229">
        <v>0.15384615384615385</v>
      </c>
      <c r="W80" s="231"/>
    </row>
    <row r="81" ht="22.5" hidden="1" customHeight="1">
      <c r="A81" s="5" t="s">
        <v>383</v>
      </c>
      <c r="B81" s="96" t="s">
        <v>501</v>
      </c>
      <c r="C81" s="76">
        <v>426.0</v>
      </c>
      <c r="D81" s="76">
        <v>1.0</v>
      </c>
      <c r="E81" s="219" t="s">
        <v>909</v>
      </c>
      <c r="F81" s="27">
        <v>0.0</v>
      </c>
      <c r="G81" s="77">
        <v>19.0</v>
      </c>
      <c r="H81" s="73">
        <v>0.04449648711943794</v>
      </c>
      <c r="I81" s="27">
        <v>0.0</v>
      </c>
      <c r="J81" s="77">
        <v>15.0</v>
      </c>
      <c r="K81" s="73">
        <v>0.036057692307692304</v>
      </c>
      <c r="L81" s="32">
        <v>0.9939</v>
      </c>
      <c r="T81" s="227" t="s">
        <v>490</v>
      </c>
      <c r="U81" s="228">
        <v>171.0</v>
      </c>
      <c r="V81" s="229">
        <v>0.14947552447552448</v>
      </c>
      <c r="W81" s="231"/>
    </row>
    <row r="82" ht="22.5" hidden="1" customHeight="1">
      <c r="A82" s="5" t="s">
        <v>383</v>
      </c>
      <c r="B82" s="35" t="s">
        <v>79</v>
      </c>
      <c r="C82" s="76">
        <v>603.0</v>
      </c>
      <c r="D82" s="76">
        <v>1.0</v>
      </c>
      <c r="E82" s="219" t="s">
        <v>884</v>
      </c>
      <c r="F82" s="27">
        <v>0.0</v>
      </c>
      <c r="G82" s="77">
        <v>16.0</v>
      </c>
      <c r="H82" s="73">
        <v>0.026490066225165563</v>
      </c>
      <c r="I82" s="27">
        <v>0.0</v>
      </c>
      <c r="J82" s="77">
        <v>16.0</v>
      </c>
      <c r="K82" s="73">
        <v>0.026845637583892617</v>
      </c>
      <c r="L82" s="32">
        <v>0.9501</v>
      </c>
      <c r="T82" s="227" t="s">
        <v>508</v>
      </c>
      <c r="U82" s="228">
        <v>6.0</v>
      </c>
      <c r="V82" s="229">
        <v>0.14285714285714285</v>
      </c>
      <c r="W82" s="231"/>
    </row>
    <row r="83" ht="22.5" hidden="1" customHeight="1">
      <c r="A83" s="5" t="s">
        <v>383</v>
      </c>
      <c r="B83" s="96" t="s">
        <v>492</v>
      </c>
      <c r="C83" s="76">
        <v>271.0</v>
      </c>
      <c r="D83" s="76">
        <v>3.0</v>
      </c>
      <c r="E83" s="232" t="s">
        <v>910</v>
      </c>
      <c r="F83" s="27">
        <v>0.0</v>
      </c>
      <c r="G83" s="77">
        <v>7.0</v>
      </c>
      <c r="H83" s="73">
        <v>0.025547445255474453</v>
      </c>
      <c r="I83" s="27">
        <v>0.0</v>
      </c>
      <c r="J83" s="77">
        <v>7.0</v>
      </c>
      <c r="K83" s="73">
        <v>0.026615969581749048</v>
      </c>
      <c r="L83" s="32">
        <v>0.9378</v>
      </c>
      <c r="T83" s="227" t="s">
        <v>497</v>
      </c>
      <c r="U83" s="228">
        <v>88.0</v>
      </c>
      <c r="V83" s="229">
        <v>0.14193548387096774</v>
      </c>
      <c r="W83" s="231"/>
    </row>
    <row r="84" ht="22.5" hidden="1" customHeight="1">
      <c r="A84" s="233"/>
      <c r="B84" s="234"/>
      <c r="C84" s="235"/>
      <c r="D84" s="235"/>
      <c r="E84" s="236"/>
      <c r="F84" s="237"/>
      <c r="G84" s="238"/>
      <c r="H84" s="239"/>
      <c r="I84" s="237"/>
      <c r="J84" s="238"/>
      <c r="K84" s="239"/>
      <c r="L84" s="240"/>
      <c r="O84" s="241"/>
      <c r="P84" s="40"/>
      <c r="Q84" s="40"/>
      <c r="T84" s="170"/>
      <c r="U84" s="170"/>
      <c r="V84" s="170"/>
    </row>
    <row r="85" ht="22.5" hidden="1" customHeight="1">
      <c r="A85" s="233"/>
      <c r="B85" s="234"/>
      <c r="C85" s="235"/>
      <c r="D85" s="235"/>
      <c r="E85" s="242"/>
      <c r="F85" s="237"/>
      <c r="G85" s="238"/>
      <c r="H85" s="239"/>
      <c r="I85" s="237"/>
      <c r="J85" s="238"/>
      <c r="K85" s="239"/>
      <c r="L85" s="240"/>
      <c r="O85" s="103"/>
      <c r="P85" s="40"/>
      <c r="Q85" s="40"/>
      <c r="T85" s="170"/>
      <c r="U85" s="170"/>
      <c r="V85" s="170"/>
    </row>
    <row r="86" ht="22.5" hidden="1" customHeight="1">
      <c r="A86" s="233"/>
      <c r="B86" s="234"/>
      <c r="C86" s="235"/>
      <c r="D86" s="235"/>
      <c r="E86" s="236"/>
      <c r="F86" s="237"/>
      <c r="G86" s="238"/>
      <c r="H86" s="239"/>
      <c r="I86" s="237"/>
      <c r="J86" s="238"/>
      <c r="K86" s="239"/>
      <c r="L86" s="240"/>
      <c r="O86" s="103"/>
      <c r="P86" s="40"/>
      <c r="Q86" s="40"/>
      <c r="T86" s="170"/>
      <c r="U86" s="170"/>
      <c r="V86" s="170"/>
    </row>
    <row r="87" ht="22.5" hidden="1" customHeight="1">
      <c r="A87" s="233"/>
      <c r="B87" s="234"/>
      <c r="C87" s="235"/>
      <c r="D87" s="235"/>
      <c r="E87" s="236"/>
      <c r="F87" s="237"/>
      <c r="G87" s="238"/>
      <c r="H87" s="239"/>
      <c r="I87" s="237"/>
      <c r="J87" s="238"/>
      <c r="K87" s="239"/>
      <c r="L87" s="240"/>
      <c r="O87" s="103"/>
      <c r="P87" s="40"/>
      <c r="Q87" s="40"/>
      <c r="T87" s="170"/>
      <c r="U87" s="170"/>
      <c r="V87" s="170"/>
    </row>
    <row r="88" ht="22.5" hidden="1" customHeight="1">
      <c r="A88" s="233"/>
      <c r="B88" s="234"/>
      <c r="C88" s="235"/>
      <c r="D88" s="235"/>
      <c r="E88" s="242"/>
      <c r="F88" s="237"/>
      <c r="G88" s="238"/>
      <c r="H88" s="239"/>
      <c r="I88" s="237"/>
      <c r="J88" s="238"/>
      <c r="K88" s="239"/>
      <c r="L88" s="240"/>
      <c r="T88" s="170"/>
      <c r="U88" s="170"/>
      <c r="V88" s="170"/>
    </row>
    <row r="89" ht="22.5" hidden="1" customHeight="1">
      <c r="A89" s="233"/>
      <c r="B89" s="234"/>
      <c r="C89" s="235"/>
      <c r="D89" s="235"/>
      <c r="E89" s="236"/>
      <c r="F89" s="237"/>
      <c r="G89" s="238"/>
      <c r="H89" s="239"/>
      <c r="I89" s="237"/>
      <c r="J89" s="238"/>
      <c r="K89" s="239"/>
      <c r="L89" s="240"/>
      <c r="T89" s="170"/>
      <c r="U89" s="170"/>
      <c r="V89" s="170"/>
    </row>
    <row r="90" ht="22.5" hidden="1" customHeight="1">
      <c r="A90" s="233"/>
      <c r="B90" s="234"/>
      <c r="C90" s="235"/>
      <c r="D90" s="235"/>
      <c r="E90" s="236"/>
      <c r="F90" s="237"/>
      <c r="G90" s="238"/>
      <c r="H90" s="239"/>
      <c r="I90" s="237"/>
      <c r="J90" s="238"/>
      <c r="K90" s="239"/>
      <c r="L90" s="240"/>
      <c r="O90" s="103"/>
      <c r="P90" s="248"/>
      <c r="Q90" s="249"/>
      <c r="T90" s="170"/>
      <c r="U90" s="170"/>
      <c r="V90" s="170"/>
    </row>
    <row r="91" ht="22.5" hidden="1" customHeight="1">
      <c r="A91" s="233"/>
      <c r="B91" s="234"/>
      <c r="C91" s="235"/>
      <c r="D91" s="235"/>
      <c r="E91" s="242"/>
      <c r="F91" s="237"/>
      <c r="G91" s="238"/>
      <c r="H91" s="239"/>
      <c r="I91" s="237"/>
      <c r="J91" s="238"/>
      <c r="K91" s="239"/>
      <c r="L91" s="240"/>
      <c r="O91" s="103"/>
      <c r="P91" s="250"/>
      <c r="Q91" s="40"/>
      <c r="T91" s="170"/>
      <c r="U91" s="170"/>
      <c r="V91" s="170"/>
    </row>
    <row r="92" ht="22.5" hidden="1" customHeight="1">
      <c r="A92" s="233"/>
      <c r="B92" s="234"/>
      <c r="C92" s="235"/>
      <c r="D92" s="235"/>
      <c r="E92" s="242"/>
      <c r="F92" s="237"/>
      <c r="G92" s="238"/>
      <c r="H92" s="239"/>
      <c r="I92" s="237"/>
      <c r="J92" s="238"/>
      <c r="K92" s="239"/>
      <c r="L92" s="240"/>
      <c r="O92" s="103"/>
      <c r="P92" s="250"/>
      <c r="Q92" s="40"/>
      <c r="T92" s="170"/>
      <c r="U92" s="170"/>
      <c r="V92" s="170"/>
    </row>
    <row r="93" ht="22.5" hidden="1" customHeight="1">
      <c r="A93" s="233"/>
      <c r="B93" s="234"/>
      <c r="C93" s="235"/>
      <c r="D93" s="235"/>
      <c r="E93" s="236"/>
      <c r="F93" s="237"/>
      <c r="G93" s="238"/>
      <c r="H93" s="239"/>
      <c r="I93" s="237"/>
      <c r="J93" s="238"/>
      <c r="K93" s="239"/>
      <c r="L93" s="240"/>
      <c r="O93" s="103"/>
      <c r="P93" s="250"/>
      <c r="Q93" s="40"/>
      <c r="T93" s="170"/>
      <c r="U93" s="170"/>
      <c r="V93" s="170"/>
    </row>
    <row r="94" ht="22.5" hidden="1" customHeight="1">
      <c r="A94" s="233"/>
      <c r="B94" s="234"/>
      <c r="C94" s="235"/>
      <c r="D94" s="235"/>
      <c r="E94" s="236"/>
      <c r="F94" s="237"/>
      <c r="G94" s="238"/>
      <c r="H94" s="239"/>
      <c r="I94" s="237"/>
      <c r="J94" s="238"/>
      <c r="K94" s="239"/>
      <c r="L94" s="240"/>
      <c r="O94" s="103"/>
      <c r="P94" s="250"/>
      <c r="Q94" s="40"/>
      <c r="T94" s="170"/>
      <c r="U94" s="170"/>
      <c r="V94" s="170"/>
    </row>
    <row r="95" ht="22.5" hidden="1" customHeight="1">
      <c r="A95" s="233"/>
      <c r="B95" s="234"/>
      <c r="C95" s="235"/>
      <c r="D95" s="235"/>
      <c r="E95" s="236"/>
      <c r="F95" s="237"/>
      <c r="G95" s="238"/>
      <c r="H95" s="239"/>
      <c r="I95" s="237"/>
      <c r="J95" s="238"/>
      <c r="K95" s="239"/>
      <c r="L95" s="240"/>
    </row>
    <row r="96" ht="22.5" hidden="1" customHeight="1">
      <c r="A96" s="233"/>
      <c r="B96" s="234"/>
      <c r="C96" s="235"/>
      <c r="D96" s="235"/>
      <c r="E96" s="236"/>
      <c r="F96" s="237"/>
      <c r="G96" s="238"/>
      <c r="H96" s="239"/>
      <c r="I96" s="237"/>
      <c r="J96" s="238"/>
      <c r="K96" s="239"/>
      <c r="L96" s="240"/>
    </row>
    <row r="97" ht="22.5" hidden="1" customHeight="1">
      <c r="A97" s="233"/>
      <c r="B97" s="234"/>
      <c r="C97" s="235"/>
      <c r="D97" s="235"/>
      <c r="E97" s="236"/>
      <c r="F97" s="237"/>
      <c r="G97" s="238"/>
      <c r="H97" s="239"/>
      <c r="I97" s="237"/>
      <c r="J97" s="238"/>
      <c r="K97" s="239"/>
      <c r="L97" s="240"/>
      <c r="O97" s="103"/>
      <c r="P97" s="250"/>
      <c r="Q97" s="40"/>
    </row>
    <row r="98" ht="22.5" hidden="1" customHeight="1">
      <c r="A98" s="233"/>
      <c r="B98" s="234"/>
      <c r="C98" s="235"/>
      <c r="D98" s="235"/>
      <c r="E98" s="236"/>
      <c r="F98" s="237"/>
      <c r="G98" s="238"/>
      <c r="H98" s="239"/>
      <c r="I98" s="237"/>
      <c r="J98" s="238"/>
      <c r="K98" s="239"/>
      <c r="L98" s="240"/>
      <c r="O98" s="103"/>
      <c r="P98" s="250"/>
      <c r="Q98" s="40"/>
    </row>
    <row r="99" ht="22.5" hidden="1" customHeight="1">
      <c r="A99" s="233"/>
      <c r="B99" s="234"/>
      <c r="C99" s="235"/>
      <c r="D99" s="235"/>
      <c r="E99" s="242"/>
      <c r="F99" s="237"/>
      <c r="G99" s="238"/>
      <c r="H99" s="239"/>
      <c r="I99" s="237"/>
      <c r="J99" s="238"/>
      <c r="K99" s="239"/>
      <c r="L99" s="240"/>
      <c r="O99" s="103"/>
      <c r="P99" s="250"/>
      <c r="Q99" s="40"/>
    </row>
    <row r="100" ht="22.5" hidden="1" customHeight="1">
      <c r="A100" s="233"/>
      <c r="B100" s="234"/>
      <c r="C100" s="235"/>
      <c r="D100" s="235"/>
      <c r="E100" s="236"/>
      <c r="F100" s="237"/>
      <c r="G100" s="238"/>
      <c r="H100" s="239"/>
      <c r="I100" s="237"/>
      <c r="J100" s="238"/>
      <c r="K100" s="239"/>
      <c r="L100" s="240"/>
      <c r="O100" s="103"/>
      <c r="P100" s="250"/>
      <c r="Q100" s="40"/>
    </row>
    <row r="101" ht="22.5" hidden="1" customHeight="1">
      <c r="A101" s="233"/>
      <c r="B101" s="234"/>
      <c r="C101" s="235"/>
      <c r="D101" s="235"/>
      <c r="E101" s="211"/>
      <c r="F101" s="237"/>
      <c r="G101" s="238"/>
      <c r="H101" s="239"/>
      <c r="I101" s="237"/>
      <c r="J101" s="238"/>
      <c r="K101" s="239"/>
      <c r="L101" s="240"/>
      <c r="O101" s="103"/>
      <c r="P101" s="250"/>
      <c r="Q101" s="40"/>
    </row>
    <row r="102" ht="22.5" hidden="1" customHeight="1">
      <c r="A102" s="233"/>
      <c r="B102" s="234"/>
      <c r="C102" s="235"/>
      <c r="D102" s="235"/>
      <c r="E102" s="211"/>
      <c r="F102" s="237"/>
      <c r="G102" s="238"/>
      <c r="H102" s="239"/>
      <c r="I102" s="237"/>
      <c r="J102" s="238"/>
      <c r="K102" s="239"/>
      <c r="L102" s="240"/>
    </row>
    <row r="103" ht="22.5" hidden="1" customHeight="1">
      <c r="A103" s="233"/>
      <c r="B103" s="234"/>
      <c r="C103" s="235"/>
      <c r="D103" s="235"/>
      <c r="E103" s="211"/>
      <c r="F103" s="237"/>
      <c r="G103" s="238"/>
      <c r="H103" s="239"/>
      <c r="I103" s="237"/>
      <c r="J103" s="238"/>
      <c r="K103" s="239"/>
      <c r="L103" s="240"/>
    </row>
    <row r="104" ht="22.5" hidden="1" customHeight="1">
      <c r="A104" s="233"/>
      <c r="B104" s="234"/>
      <c r="C104" s="235"/>
      <c r="D104" s="235"/>
      <c r="E104" s="236"/>
      <c r="F104" s="237"/>
      <c r="G104" s="238"/>
      <c r="H104" s="239"/>
      <c r="I104" s="237"/>
      <c r="J104" s="238"/>
      <c r="K104" s="239"/>
      <c r="L104" s="240"/>
    </row>
    <row r="105" ht="22.5" hidden="1" customHeight="1">
      <c r="A105" s="233"/>
      <c r="B105" s="234"/>
      <c r="C105" s="235"/>
      <c r="D105" s="235"/>
      <c r="E105" s="236"/>
      <c r="F105" s="237"/>
      <c r="G105" s="238"/>
      <c r="H105" s="239"/>
      <c r="I105" s="237"/>
      <c r="J105" s="238"/>
      <c r="K105" s="239"/>
      <c r="L105" s="240"/>
    </row>
    <row r="106" ht="22.5" hidden="1" customHeight="1">
      <c r="A106" s="233"/>
      <c r="B106" s="234"/>
      <c r="C106" s="235"/>
      <c r="D106" s="235"/>
      <c r="E106" s="242"/>
      <c r="F106" s="237"/>
      <c r="G106" s="238"/>
      <c r="H106" s="239"/>
      <c r="I106" s="237"/>
      <c r="J106" s="238"/>
      <c r="K106" s="239"/>
      <c r="L106" s="240"/>
    </row>
    <row r="107"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U107" s="79"/>
      <c r="V107" s="79"/>
      <c r="W107" s="79"/>
    </row>
    <row r="108"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U108" s="79"/>
      <c r="V108" s="79"/>
      <c r="W108" s="79"/>
    </row>
    <row r="109"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U109" s="251"/>
      <c r="V109" s="79"/>
      <c r="W109" s="79"/>
    </row>
    <row r="110"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U110" s="252"/>
      <c r="V110" s="79"/>
      <c r="W110" s="253"/>
    </row>
    <row r="111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U111" s="252"/>
      <c r="V111" s="79"/>
      <c r="W111" s="253"/>
    </row>
    <row r="112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U112" s="252"/>
      <c r="V112" s="79"/>
      <c r="W112" s="253"/>
    </row>
    <row r="113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U113" s="252"/>
      <c r="V113" s="79"/>
      <c r="W113" s="253"/>
    </row>
    <row r="114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U114" s="252"/>
      <c r="V114" s="79"/>
      <c r="W114" s="253"/>
    </row>
    <row r="115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</row>
    <row r="116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</row>
    <row r="117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U117" s="254"/>
      <c r="W117" s="255"/>
    </row>
    <row r="118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U118" s="254"/>
      <c r="W118" s="255"/>
    </row>
    <row r="119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U119" s="254"/>
      <c r="W119" s="255"/>
    </row>
    <row r="120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U120" s="254"/>
      <c r="W120" s="255"/>
    </row>
    <row r="121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U121" s="254"/>
      <c r="W121" s="255"/>
    </row>
    <row r="12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U125" s="254"/>
      <c r="W125" s="255"/>
    </row>
    <row r="126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U126" s="254"/>
      <c r="W126" s="255"/>
    </row>
    <row r="127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U127" s="254"/>
      <c r="W127" s="255"/>
    </row>
    <row r="128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U128" s="254"/>
      <c r="W128" s="255"/>
    </row>
    <row r="129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U129" s="254"/>
      <c r="W129" s="255"/>
    </row>
    <row r="130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</row>
    <row r="137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</row>
    <row r="138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</row>
    <row r="139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</row>
    <row r="140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</row>
    <row r="141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</row>
    <row r="143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</row>
    <row r="144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</row>
    <row r="145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</row>
    <row r="146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</row>
    <row r="147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</row>
    <row r="148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</row>
    <row r="149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</row>
    <row r="151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</row>
    <row r="15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</row>
    <row r="153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</row>
    <row r="154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</row>
    <row r="155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</row>
    <row r="156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</row>
    <row r="157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</row>
    <row r="158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  <row r="159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</row>
    <row r="160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</row>
    <row r="161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</row>
    <row r="16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</row>
    <row r="163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</row>
    <row r="164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</row>
    <row r="166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</row>
    <row r="167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</row>
    <row r="168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</row>
    <row r="169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</row>
    <row r="170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</row>
    <row r="171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</row>
    <row r="17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  <row r="925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</row>
    <row r="926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</row>
    <row r="927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</row>
    <row r="928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</row>
    <row r="929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</row>
    <row r="930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</row>
    <row r="931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</row>
    <row r="93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</row>
    <row r="933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</row>
    <row r="934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</row>
    <row r="935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</row>
    <row r="936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</row>
    <row r="938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</row>
    <row r="939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</row>
    <row r="940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</row>
    <row r="941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</row>
    <row r="94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</row>
    <row r="943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</row>
    <row r="944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</row>
    <row r="945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</row>
    <row r="946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</row>
    <row r="947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</row>
    <row r="948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</row>
    <row r="949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</row>
  </sheetData>
  <mergeCells count="3">
    <mergeCell ref="N1:N38"/>
    <mergeCell ref="N40:N80"/>
    <mergeCell ref="S40:S80"/>
  </mergeCells>
  <dataValidations>
    <dataValidation allowBlank="1" showDropDown="1" sqref="E2:E106"/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47" t="s">
        <v>10</v>
      </c>
    </row>
    <row r="2" ht="22.5" customHeight="1">
      <c r="A2" s="5" t="s">
        <v>11</v>
      </c>
      <c r="B2" s="5" t="s">
        <v>15</v>
      </c>
      <c r="C2" s="57">
        <v>403.0</v>
      </c>
      <c r="D2" s="57">
        <v>2.0</v>
      </c>
      <c r="E2" s="82">
        <v>0.0049</v>
      </c>
      <c r="F2" s="57" t="s">
        <v>578</v>
      </c>
      <c r="G2" s="57">
        <v>8.0</v>
      </c>
      <c r="H2" s="82">
        <v>0.0199</v>
      </c>
      <c r="I2" s="57" t="s">
        <v>581</v>
      </c>
      <c r="J2" s="57">
        <v>63.0</v>
      </c>
      <c r="K2" s="82">
        <v>0.1853</v>
      </c>
      <c r="L2" s="127">
        <f>100-9.24</f>
        <v>90.76</v>
      </c>
    </row>
    <row r="3" ht="22.5" customHeight="1">
      <c r="A3" s="5" t="s">
        <v>11</v>
      </c>
      <c r="B3" s="5" t="s">
        <v>13</v>
      </c>
      <c r="C3" s="57">
        <v>1382.0</v>
      </c>
      <c r="D3" s="57" t="s">
        <v>17</v>
      </c>
      <c r="E3" s="57" t="s">
        <v>17</v>
      </c>
      <c r="F3" s="57" t="s">
        <v>17</v>
      </c>
      <c r="G3" s="57">
        <v>35.0</v>
      </c>
      <c r="H3" s="82">
        <v>0.0253</v>
      </c>
      <c r="I3" s="57" t="s">
        <v>590</v>
      </c>
      <c r="J3" s="57">
        <v>149.0</v>
      </c>
      <c r="K3" s="82">
        <v>0.1241</v>
      </c>
      <c r="L3" s="127">
        <f>100-6.04</f>
        <v>93.96</v>
      </c>
    </row>
    <row r="4" ht="22.5" customHeight="1">
      <c r="A4" s="5" t="s">
        <v>11</v>
      </c>
      <c r="B4" s="5" t="s">
        <v>27</v>
      </c>
      <c r="C4" s="57">
        <v>705.0</v>
      </c>
      <c r="D4" s="57" t="s">
        <v>17</v>
      </c>
      <c r="E4" s="57" t="s">
        <v>17</v>
      </c>
      <c r="F4" s="57" t="s">
        <v>17</v>
      </c>
      <c r="G4" s="57">
        <v>11.0</v>
      </c>
      <c r="H4" s="82">
        <v>0.0156</v>
      </c>
      <c r="I4" s="57" t="s">
        <v>594</v>
      </c>
      <c r="J4" s="57">
        <v>115.0</v>
      </c>
      <c r="K4" s="82">
        <v>0.1936</v>
      </c>
      <c r="L4" s="13">
        <f>100-1.54</f>
        <v>98.46</v>
      </c>
    </row>
    <row r="5" ht="22.5" customHeight="1">
      <c r="A5" s="5" t="s">
        <v>11</v>
      </c>
      <c r="B5" s="5" t="s">
        <v>33</v>
      </c>
      <c r="C5" s="57">
        <v>808.0</v>
      </c>
      <c r="D5" s="57">
        <v>5.0</v>
      </c>
      <c r="E5" s="82">
        <v>0.0062</v>
      </c>
      <c r="F5" s="57" t="s">
        <v>598</v>
      </c>
      <c r="G5" s="57">
        <v>18.0</v>
      </c>
      <c r="H5" s="82">
        <v>0.0223</v>
      </c>
      <c r="I5" s="57" t="s">
        <v>599</v>
      </c>
      <c r="J5" s="57">
        <v>148.0</v>
      </c>
      <c r="K5" s="82">
        <v>0.2216</v>
      </c>
      <c r="L5" s="127">
        <f>100-3.04</f>
        <v>96.96</v>
      </c>
    </row>
    <row r="6" ht="22.5" customHeight="1">
      <c r="A6" s="5" t="s">
        <v>11</v>
      </c>
      <c r="B6" s="5" t="s">
        <v>19</v>
      </c>
      <c r="C6" s="57">
        <v>1213.0</v>
      </c>
      <c r="D6" s="57">
        <v>2.0</v>
      </c>
      <c r="E6" s="82">
        <v>0.0016</v>
      </c>
      <c r="F6" s="57" t="s">
        <v>605</v>
      </c>
      <c r="G6" s="57">
        <v>28.0</v>
      </c>
      <c r="H6" s="82">
        <v>0.0231</v>
      </c>
      <c r="I6" s="57" t="s">
        <v>606</v>
      </c>
      <c r="J6" s="57">
        <v>143.0</v>
      </c>
      <c r="K6" s="82">
        <v>0.1289</v>
      </c>
      <c r="L6" s="127">
        <f>100-4.71</f>
        <v>95.29</v>
      </c>
    </row>
    <row r="7" ht="22.5" customHeight="1">
      <c r="A7" s="5" t="s">
        <v>11</v>
      </c>
      <c r="B7" s="5" t="s">
        <v>46</v>
      </c>
      <c r="C7" s="57">
        <v>80.0</v>
      </c>
      <c r="D7" s="57">
        <v>6.0</v>
      </c>
      <c r="E7" s="82">
        <v>0.0698</v>
      </c>
      <c r="F7" s="57" t="s">
        <v>609</v>
      </c>
      <c r="G7" s="57">
        <v>0.0</v>
      </c>
      <c r="H7" s="57" t="s">
        <v>17</v>
      </c>
      <c r="I7" s="83"/>
      <c r="J7" s="57">
        <v>13.0</v>
      </c>
      <c r="K7" s="82">
        <v>0.2031</v>
      </c>
      <c r="L7" s="13">
        <f>100-4.67</f>
        <v>95.33</v>
      </c>
    </row>
    <row r="8" ht="22.5" customHeight="1">
      <c r="A8" s="5" t="s">
        <v>11</v>
      </c>
      <c r="B8" s="5" t="s">
        <v>50</v>
      </c>
      <c r="C8" s="57">
        <v>340.0</v>
      </c>
      <c r="D8" s="57">
        <v>5.0</v>
      </c>
      <c r="E8" s="82">
        <v>0.0145</v>
      </c>
      <c r="F8" s="57" t="s">
        <v>612</v>
      </c>
      <c r="G8" s="57">
        <v>9.0</v>
      </c>
      <c r="H8" s="82">
        <v>0.0265</v>
      </c>
      <c r="I8" s="57" t="s">
        <v>614</v>
      </c>
      <c r="J8" s="57">
        <v>47.0</v>
      </c>
      <c r="K8" s="82">
        <v>0.1787</v>
      </c>
      <c r="L8" s="13">
        <f>100-14.61</f>
        <v>85.39</v>
      </c>
    </row>
    <row r="9" ht="22.5" customHeight="1">
      <c r="A9" s="5" t="s">
        <v>11</v>
      </c>
      <c r="B9" s="5" t="s">
        <v>58</v>
      </c>
      <c r="C9" s="57">
        <v>599.0</v>
      </c>
      <c r="D9" s="57" t="s">
        <v>17</v>
      </c>
      <c r="E9" s="57" t="s">
        <v>17</v>
      </c>
      <c r="F9" s="57" t="s">
        <v>17</v>
      </c>
      <c r="G9" s="57">
        <v>11.0</v>
      </c>
      <c r="H9" s="82">
        <v>0.0184</v>
      </c>
      <c r="I9" s="57" t="s">
        <v>618</v>
      </c>
      <c r="J9" s="57">
        <v>50.0</v>
      </c>
      <c r="K9" s="82">
        <v>0.0916</v>
      </c>
      <c r="L9" s="127">
        <f>100-1.42</f>
        <v>98.58</v>
      </c>
      <c r="N9" s="154"/>
    </row>
    <row r="10" ht="22.5" customHeight="1">
      <c r="A10" s="5" t="s">
        <v>11</v>
      </c>
      <c r="B10" s="5" t="s">
        <v>64</v>
      </c>
      <c r="C10" s="57">
        <v>374.0</v>
      </c>
      <c r="D10" s="57" t="s">
        <v>17</v>
      </c>
      <c r="E10" s="57" t="s">
        <v>17</v>
      </c>
      <c r="F10" s="57" t="s">
        <v>17</v>
      </c>
      <c r="G10" s="57">
        <v>5.0</v>
      </c>
      <c r="H10" s="82">
        <v>0.0134</v>
      </c>
      <c r="I10" s="57" t="s">
        <v>621</v>
      </c>
      <c r="J10" s="57">
        <v>55.0</v>
      </c>
      <c r="K10" s="82">
        <v>0.1692</v>
      </c>
      <c r="L10" s="127">
        <f>100-1.43</f>
        <v>98.57</v>
      </c>
      <c r="N10" s="155"/>
    </row>
    <row r="11" ht="22.5" customHeight="1">
      <c r="A11" s="5" t="s">
        <v>11</v>
      </c>
      <c r="B11" s="5" t="s">
        <v>71</v>
      </c>
      <c r="C11" s="57">
        <v>468.0</v>
      </c>
      <c r="D11" s="57">
        <v>4.0</v>
      </c>
      <c r="E11" s="82">
        <v>0.0085</v>
      </c>
      <c r="F11" s="57" t="s">
        <v>628</v>
      </c>
      <c r="G11" s="57">
        <v>8.0</v>
      </c>
      <c r="H11" s="82">
        <v>0.0171</v>
      </c>
      <c r="I11" s="57" t="s">
        <v>629</v>
      </c>
      <c r="J11" s="57">
        <v>72.0</v>
      </c>
      <c r="K11" s="82">
        <v>0.188</v>
      </c>
      <c r="L11" s="127">
        <f>100-5.68</f>
        <v>94.32</v>
      </c>
      <c r="N11" s="155"/>
    </row>
    <row r="12" ht="22.5" customHeight="1">
      <c r="A12" s="5" t="s">
        <v>11</v>
      </c>
      <c r="B12" s="5" t="s">
        <v>77</v>
      </c>
      <c r="C12" s="57">
        <v>374.0</v>
      </c>
      <c r="D12" s="57">
        <v>5.0</v>
      </c>
      <c r="E12" s="82">
        <v>0.0132</v>
      </c>
      <c r="F12" s="57" t="s">
        <v>632</v>
      </c>
      <c r="G12" s="57">
        <v>8.0</v>
      </c>
      <c r="H12" s="82">
        <v>0.0214</v>
      </c>
      <c r="I12" s="57" t="s">
        <v>633</v>
      </c>
      <c r="J12" s="57">
        <v>52.0</v>
      </c>
      <c r="K12" s="82">
        <v>0.1552</v>
      </c>
      <c r="L12" s="127">
        <f>100-11.9</f>
        <v>88.1</v>
      </c>
      <c r="N12" s="155"/>
    </row>
    <row r="13" ht="22.5" customHeight="1">
      <c r="A13" s="5" t="s">
        <v>11</v>
      </c>
      <c r="B13" s="5" t="s">
        <v>82</v>
      </c>
      <c r="C13" s="57">
        <v>414.0</v>
      </c>
      <c r="D13" s="57">
        <v>1.0</v>
      </c>
      <c r="E13" s="82">
        <v>0.0024</v>
      </c>
      <c r="F13" s="57" t="s">
        <v>637</v>
      </c>
      <c r="G13" s="57">
        <v>8.0</v>
      </c>
      <c r="H13" s="82">
        <v>0.0193</v>
      </c>
      <c r="I13" s="57" t="s">
        <v>640</v>
      </c>
      <c r="J13" s="57">
        <v>48.0</v>
      </c>
      <c r="K13" s="82">
        <v>0.1319</v>
      </c>
      <c r="L13" s="127">
        <f>100-1.99</f>
        <v>98.01</v>
      </c>
      <c r="N13" s="155"/>
    </row>
    <row r="14" ht="22.5" customHeight="1">
      <c r="A14" s="5" t="s">
        <v>11</v>
      </c>
      <c r="B14" s="5" t="s">
        <v>90</v>
      </c>
      <c r="C14" s="57">
        <v>476.0</v>
      </c>
      <c r="D14" s="57">
        <v>1.0</v>
      </c>
      <c r="E14" s="82">
        <v>0.0021</v>
      </c>
      <c r="F14" s="57" t="s">
        <v>642</v>
      </c>
      <c r="G14" s="57">
        <v>15.0</v>
      </c>
      <c r="H14" s="82">
        <v>0.0315</v>
      </c>
      <c r="I14" s="57" t="s">
        <v>645</v>
      </c>
      <c r="J14" s="57">
        <v>25.0</v>
      </c>
      <c r="K14" s="82">
        <v>0.0595</v>
      </c>
      <c r="L14" s="127">
        <f>100-0.2</f>
        <v>99.8</v>
      </c>
      <c r="N14" s="155"/>
    </row>
    <row r="15" ht="22.5" customHeight="1">
      <c r="A15" s="5" t="s">
        <v>11</v>
      </c>
      <c r="B15" s="5" t="s">
        <v>94</v>
      </c>
      <c r="C15" s="57">
        <v>442.0</v>
      </c>
      <c r="D15" s="57" t="s">
        <v>17</v>
      </c>
      <c r="E15" s="57" t="s">
        <v>17</v>
      </c>
      <c r="F15" s="57" t="s">
        <v>17</v>
      </c>
      <c r="G15" s="57">
        <v>9.0</v>
      </c>
      <c r="H15" s="82">
        <v>0.0204</v>
      </c>
      <c r="I15" s="57" t="s">
        <v>652</v>
      </c>
      <c r="J15" s="57">
        <v>74.0</v>
      </c>
      <c r="K15" s="82">
        <v>0.2079</v>
      </c>
      <c r="L15" s="127">
        <f>100-2.35</f>
        <v>97.65</v>
      </c>
      <c r="N15" s="155"/>
    </row>
    <row r="16" ht="22.5" customHeight="1">
      <c r="A16" s="5" t="s">
        <v>11</v>
      </c>
      <c r="B16" s="5" t="s">
        <v>39</v>
      </c>
      <c r="C16" s="57">
        <v>904.0</v>
      </c>
      <c r="D16" s="57">
        <v>11.0</v>
      </c>
      <c r="E16" s="82">
        <v>0.012</v>
      </c>
      <c r="F16" s="57" t="s">
        <v>655</v>
      </c>
      <c r="G16" s="57">
        <v>26.0</v>
      </c>
      <c r="H16" s="82">
        <v>0.0288</v>
      </c>
      <c r="I16" s="57" t="s">
        <v>658</v>
      </c>
      <c r="J16" s="57">
        <v>136.0</v>
      </c>
      <c r="K16" s="82">
        <v>0.1739</v>
      </c>
      <c r="L16" s="13">
        <f>100-1.34</f>
        <v>98.66</v>
      </c>
      <c r="N16" s="155"/>
    </row>
    <row r="17" ht="22.5" customHeight="1">
      <c r="A17" s="5" t="s">
        <v>11</v>
      </c>
      <c r="B17" s="5" t="s">
        <v>104</v>
      </c>
      <c r="C17" s="57">
        <v>177.0</v>
      </c>
      <c r="D17" s="57">
        <v>1.0</v>
      </c>
      <c r="E17" s="82">
        <v>0.0056</v>
      </c>
      <c r="F17" s="57" t="s">
        <v>663</v>
      </c>
      <c r="G17" s="57">
        <v>0.0</v>
      </c>
      <c r="H17" s="57" t="s">
        <v>17</v>
      </c>
      <c r="I17" s="83"/>
      <c r="J17" s="57" t="s">
        <v>17</v>
      </c>
      <c r="K17" s="57" t="s">
        <v>17</v>
      </c>
      <c r="L17" s="13">
        <f>100-5.44</f>
        <v>94.56</v>
      </c>
      <c r="N17" s="155"/>
    </row>
    <row r="18" ht="22.5" customHeight="1">
      <c r="A18" s="5" t="s">
        <v>11</v>
      </c>
      <c r="B18" s="5" t="s">
        <v>59</v>
      </c>
      <c r="C18" s="57">
        <v>539.0</v>
      </c>
      <c r="D18" s="57">
        <v>1.0</v>
      </c>
      <c r="E18" s="82">
        <v>0.0019</v>
      </c>
      <c r="F18" s="57" t="s">
        <v>128</v>
      </c>
      <c r="G18" s="57">
        <v>12.0</v>
      </c>
      <c r="H18" s="82">
        <v>0.0223</v>
      </c>
      <c r="I18" s="57" t="s">
        <v>670</v>
      </c>
      <c r="J18" s="57">
        <v>34.0</v>
      </c>
      <c r="K18" s="82">
        <v>0.0697</v>
      </c>
      <c r="L18" s="127">
        <f>100-4.87</f>
        <v>95.13</v>
      </c>
      <c r="N18" s="155"/>
    </row>
    <row r="19" ht="22.5" customHeight="1">
      <c r="A19" s="5" t="s">
        <v>11</v>
      </c>
      <c r="B19" s="5" t="s">
        <v>114</v>
      </c>
      <c r="C19" s="57">
        <v>640.0</v>
      </c>
      <c r="D19" s="57">
        <v>3.0</v>
      </c>
      <c r="E19" s="82">
        <v>0.0047</v>
      </c>
      <c r="F19" s="57" t="s">
        <v>674</v>
      </c>
      <c r="G19" s="57">
        <v>8.0</v>
      </c>
      <c r="H19" s="82">
        <v>0.0125</v>
      </c>
      <c r="I19" s="57" t="s">
        <v>677</v>
      </c>
      <c r="J19" s="57">
        <v>114.0</v>
      </c>
      <c r="K19" s="82">
        <v>0.2039</v>
      </c>
      <c r="L19" s="127">
        <f>100-3.06</f>
        <v>96.94</v>
      </c>
      <c r="N19" s="155"/>
    </row>
    <row r="20" ht="22.5" customHeight="1">
      <c r="A20" s="5" t="s">
        <v>11</v>
      </c>
      <c r="B20" s="5" t="s">
        <v>119</v>
      </c>
      <c r="C20" s="57">
        <v>416.0</v>
      </c>
      <c r="D20" s="57">
        <v>4.0</v>
      </c>
      <c r="E20" s="82">
        <v>0.0095</v>
      </c>
      <c r="F20" s="57" t="s">
        <v>681</v>
      </c>
      <c r="G20" s="57">
        <v>15.0</v>
      </c>
      <c r="H20" s="82">
        <v>0.0361</v>
      </c>
      <c r="I20" s="57" t="s">
        <v>682</v>
      </c>
      <c r="J20" s="57">
        <v>95.0</v>
      </c>
      <c r="K20" s="82">
        <v>0.2844</v>
      </c>
      <c r="L20" s="127">
        <f>100-12.26</f>
        <v>87.74</v>
      </c>
      <c r="N20" s="155"/>
    </row>
    <row r="21" ht="22.5" customHeight="1">
      <c r="A21" s="5" t="s">
        <v>11</v>
      </c>
      <c r="B21" s="5" t="s">
        <v>126</v>
      </c>
      <c r="C21" s="57">
        <v>279.0</v>
      </c>
      <c r="D21" s="57" t="s">
        <v>17</v>
      </c>
      <c r="E21" s="57" t="s">
        <v>17</v>
      </c>
      <c r="F21" s="57" t="s">
        <v>17</v>
      </c>
      <c r="G21" s="57">
        <v>1.0</v>
      </c>
      <c r="H21" s="82">
        <v>0.0036</v>
      </c>
      <c r="I21" s="57" t="s">
        <v>686</v>
      </c>
      <c r="J21" s="57">
        <v>25.0</v>
      </c>
      <c r="K21" s="82">
        <v>0.1008</v>
      </c>
      <c r="L21" s="127">
        <f>100-4.02</f>
        <v>95.98</v>
      </c>
      <c r="N21" s="155"/>
    </row>
    <row r="22" ht="22.5" customHeight="1">
      <c r="A22" s="5" t="s">
        <v>11</v>
      </c>
      <c r="B22" s="5" t="s">
        <v>136</v>
      </c>
      <c r="C22" s="57">
        <v>283.0</v>
      </c>
      <c r="D22" s="57" t="s">
        <v>17</v>
      </c>
      <c r="E22" s="57" t="s">
        <v>17</v>
      </c>
      <c r="F22" s="57" t="s">
        <v>17</v>
      </c>
      <c r="G22" s="57">
        <v>3.0</v>
      </c>
      <c r="H22" s="82">
        <v>0.0106</v>
      </c>
      <c r="I22" s="57" t="s">
        <v>689</v>
      </c>
      <c r="J22" s="57">
        <v>29.0</v>
      </c>
      <c r="K22" s="82">
        <v>0.116</v>
      </c>
      <c r="L22" s="127">
        <f>100-4.29</f>
        <v>95.71</v>
      </c>
      <c r="N22" s="155"/>
    </row>
    <row r="23" ht="22.5" customHeight="1">
      <c r="A23" s="5" t="s">
        <v>11</v>
      </c>
      <c r="B23" s="5" t="s">
        <v>72</v>
      </c>
      <c r="C23" s="57">
        <v>428.0</v>
      </c>
      <c r="D23" s="57">
        <v>1.0</v>
      </c>
      <c r="E23" s="82">
        <v>0.0023</v>
      </c>
      <c r="F23" s="57" t="s">
        <v>128</v>
      </c>
      <c r="G23" s="57">
        <v>3.0</v>
      </c>
      <c r="H23" s="82">
        <v>0.007</v>
      </c>
      <c r="I23" s="57" t="s">
        <v>692</v>
      </c>
      <c r="J23" s="57">
        <v>71.0</v>
      </c>
      <c r="K23" s="82">
        <v>0.1924</v>
      </c>
      <c r="L23" s="13">
        <f>100-0.46</f>
        <v>99.54</v>
      </c>
      <c r="N23" s="155"/>
    </row>
    <row r="24" ht="22.5" customHeight="1">
      <c r="A24" s="5" t="s">
        <v>11</v>
      </c>
      <c r="B24" s="5" t="s">
        <v>145</v>
      </c>
      <c r="C24" s="57">
        <v>613.0</v>
      </c>
      <c r="D24" s="57" t="s">
        <v>17</v>
      </c>
      <c r="E24" s="57" t="s">
        <v>17</v>
      </c>
      <c r="F24" s="57" t="s">
        <v>17</v>
      </c>
      <c r="G24" s="57">
        <v>16.0</v>
      </c>
      <c r="H24" s="82">
        <v>0.0261</v>
      </c>
      <c r="I24" s="57" t="s">
        <v>696</v>
      </c>
      <c r="J24" s="57">
        <v>37.0</v>
      </c>
      <c r="K24" s="82">
        <v>0.0695</v>
      </c>
      <c r="L24" s="127">
        <f>100-2.58</f>
        <v>97.42</v>
      </c>
      <c r="N24" s="155"/>
    </row>
    <row r="25" ht="22.5" customHeight="1">
      <c r="A25" s="5" t="s">
        <v>11</v>
      </c>
      <c r="B25" s="5" t="s">
        <v>85</v>
      </c>
      <c r="C25" s="57">
        <v>290.0</v>
      </c>
      <c r="D25" s="57">
        <v>5.0</v>
      </c>
      <c r="E25" s="82">
        <v>0.0169</v>
      </c>
      <c r="F25" s="57" t="s">
        <v>700</v>
      </c>
      <c r="G25" s="57">
        <v>16.0</v>
      </c>
      <c r="H25" s="82">
        <v>0.0552</v>
      </c>
      <c r="I25" s="57" t="s">
        <v>701</v>
      </c>
      <c r="J25" s="57">
        <v>29.0</v>
      </c>
      <c r="K25" s="82">
        <v>0.1208</v>
      </c>
      <c r="L25" s="127">
        <f>100-5.57</f>
        <v>94.43</v>
      </c>
      <c r="N25" s="155"/>
    </row>
    <row r="26" ht="22.5" customHeight="1">
      <c r="A26" s="5" t="s">
        <v>11</v>
      </c>
      <c r="B26" s="35" t="s">
        <v>79</v>
      </c>
      <c r="C26" s="57">
        <v>433.0</v>
      </c>
      <c r="D26" s="57">
        <v>2.0</v>
      </c>
      <c r="E26" s="82">
        <v>0.0046</v>
      </c>
      <c r="F26" s="57" t="s">
        <v>705</v>
      </c>
      <c r="G26" s="57">
        <v>6.0</v>
      </c>
      <c r="H26" s="82">
        <v>0.0139</v>
      </c>
      <c r="I26" s="57" t="s">
        <v>706</v>
      </c>
      <c r="J26" s="57">
        <v>74.0</v>
      </c>
      <c r="K26" s="82">
        <v>0.1942</v>
      </c>
      <c r="L26" s="127">
        <f>100-2.21</f>
        <v>97.79</v>
      </c>
      <c r="N26" s="155"/>
    </row>
    <row r="27" ht="22.5" customHeight="1">
      <c r="A27" s="5" t="s">
        <v>11</v>
      </c>
      <c r="B27" s="5" t="s">
        <v>109</v>
      </c>
      <c r="C27" s="57">
        <v>476.0</v>
      </c>
      <c r="D27" s="57">
        <v>3.0</v>
      </c>
      <c r="E27" s="82">
        <v>0.0063</v>
      </c>
      <c r="F27" s="57" t="s">
        <v>708</v>
      </c>
      <c r="G27" s="57">
        <v>10.0</v>
      </c>
      <c r="H27" s="82">
        <v>0.021</v>
      </c>
      <c r="I27" s="57" t="s">
        <v>710</v>
      </c>
      <c r="J27" s="57">
        <v>26.0</v>
      </c>
      <c r="K27" s="82">
        <v>0.0633</v>
      </c>
      <c r="L27" s="127">
        <f>100-7.79</f>
        <v>92.21</v>
      </c>
      <c r="N27" s="155"/>
    </row>
    <row r="28" ht="22.5" customHeight="1">
      <c r="A28" s="5" t="s">
        <v>11</v>
      </c>
      <c r="B28" s="5" t="s">
        <v>49</v>
      </c>
      <c r="C28" s="57">
        <v>791.0</v>
      </c>
      <c r="D28" s="57">
        <v>5.0</v>
      </c>
      <c r="E28" s="82">
        <v>0.0063</v>
      </c>
      <c r="F28" s="57" t="s">
        <v>714</v>
      </c>
      <c r="G28" s="57">
        <v>20.0</v>
      </c>
      <c r="H28" s="82">
        <v>0.0265</v>
      </c>
      <c r="I28" s="57" t="s">
        <v>716</v>
      </c>
      <c r="J28" s="57">
        <v>96.0</v>
      </c>
      <c r="K28" s="82">
        <v>0.1406</v>
      </c>
      <c r="L28" s="13">
        <f>100-4.96</f>
        <v>95.04</v>
      </c>
      <c r="N28" s="155"/>
    </row>
    <row r="29" ht="22.5" customHeight="1">
      <c r="A29" s="5" t="s">
        <v>11</v>
      </c>
      <c r="B29" s="5" t="s">
        <v>115</v>
      </c>
      <c r="C29" s="57">
        <v>503.0</v>
      </c>
      <c r="D29" s="57">
        <v>1.0</v>
      </c>
      <c r="E29" s="82">
        <v>0.002</v>
      </c>
      <c r="F29" s="57" t="s">
        <v>277</v>
      </c>
      <c r="G29" s="57">
        <v>9.0</v>
      </c>
      <c r="H29" s="82">
        <v>0.0179</v>
      </c>
      <c r="I29" s="57" t="s">
        <v>721</v>
      </c>
      <c r="J29" s="57">
        <v>62.0</v>
      </c>
      <c r="K29" s="82">
        <v>0.1419</v>
      </c>
      <c r="L29" s="127">
        <f>100-1.31</f>
        <v>98.69</v>
      </c>
      <c r="N29" s="155"/>
    </row>
    <row r="30" ht="22.5" customHeight="1">
      <c r="A30" s="5" t="s">
        <v>11</v>
      </c>
      <c r="B30" s="5" t="s">
        <v>45</v>
      </c>
      <c r="C30" s="57">
        <v>677.0</v>
      </c>
      <c r="D30" s="57">
        <v>3.0</v>
      </c>
      <c r="E30" s="82">
        <v>0.0044</v>
      </c>
      <c r="F30" s="57" t="s">
        <v>727</v>
      </c>
      <c r="G30" s="57">
        <v>12.0</v>
      </c>
      <c r="H30" s="82">
        <v>0.0177</v>
      </c>
      <c r="I30" s="57" t="s">
        <v>728</v>
      </c>
      <c r="J30" s="57">
        <v>65.0</v>
      </c>
      <c r="K30" s="82">
        <v>0.1083</v>
      </c>
      <c r="L30" s="13">
        <f>100-0.64</f>
        <v>99.36</v>
      </c>
      <c r="N30" s="155"/>
    </row>
    <row r="31" ht="22.5" customHeight="1">
      <c r="A31" s="5" t="s">
        <v>11</v>
      </c>
      <c r="B31" s="5" t="s">
        <v>170</v>
      </c>
      <c r="C31" s="57">
        <v>345.0</v>
      </c>
      <c r="D31" s="57" t="s">
        <v>17</v>
      </c>
      <c r="E31" s="57" t="s">
        <v>17</v>
      </c>
      <c r="F31" s="57" t="s">
        <v>17</v>
      </c>
      <c r="G31" s="57">
        <v>6.0</v>
      </c>
      <c r="H31" s="82">
        <v>0.0174</v>
      </c>
      <c r="I31" s="57" t="s">
        <v>736</v>
      </c>
      <c r="J31" s="57">
        <v>42.0</v>
      </c>
      <c r="K31" s="82">
        <v>0.1429</v>
      </c>
      <c r="L31" s="127">
        <f>100-9.67</f>
        <v>90.33</v>
      </c>
      <c r="N31" s="155"/>
    </row>
    <row r="32" ht="22.5" customHeight="1">
      <c r="A32" s="5" t="s">
        <v>11</v>
      </c>
      <c r="B32" s="5" t="s">
        <v>123</v>
      </c>
      <c r="C32" s="57">
        <v>468.0</v>
      </c>
      <c r="D32" s="57">
        <v>1.0</v>
      </c>
      <c r="E32" s="82">
        <v>0.0021</v>
      </c>
      <c r="F32" s="57" t="s">
        <v>41</v>
      </c>
      <c r="G32" s="57">
        <v>15.0</v>
      </c>
      <c r="H32" s="82">
        <v>0.0321</v>
      </c>
      <c r="I32" s="57" t="s">
        <v>741</v>
      </c>
      <c r="J32" s="57">
        <v>65.0</v>
      </c>
      <c r="K32" s="82">
        <v>0.1752</v>
      </c>
      <c r="L32" s="127">
        <f>100-1.89</f>
        <v>98.11</v>
      </c>
      <c r="N32" s="155"/>
    </row>
    <row r="33" ht="22.5" customHeight="1">
      <c r="A33" s="5" t="s">
        <v>11</v>
      </c>
      <c r="B33" s="5" t="s">
        <v>96</v>
      </c>
      <c r="C33" s="57">
        <v>451.0</v>
      </c>
      <c r="D33" s="57" t="s">
        <v>17</v>
      </c>
      <c r="E33" s="57" t="s">
        <v>17</v>
      </c>
      <c r="F33" s="57" t="s">
        <v>17</v>
      </c>
      <c r="G33" s="57">
        <v>10.0</v>
      </c>
      <c r="H33" s="82">
        <v>0.0222</v>
      </c>
      <c r="I33" s="57" t="s">
        <v>746</v>
      </c>
      <c r="J33" s="57">
        <v>51.0</v>
      </c>
      <c r="K33" s="82">
        <v>0.1288</v>
      </c>
      <c r="L33" s="127">
        <f>100-1.26</f>
        <v>98.74</v>
      </c>
      <c r="N33" s="155"/>
    </row>
    <row r="34" ht="22.5" customHeight="1">
      <c r="A34" s="5" t="s">
        <v>11</v>
      </c>
      <c r="B34" s="5" t="s">
        <v>156</v>
      </c>
      <c r="C34" s="57">
        <v>364.0</v>
      </c>
      <c r="D34" s="57">
        <v>2.0</v>
      </c>
      <c r="E34" s="82">
        <v>0.0055</v>
      </c>
      <c r="F34" s="57" t="s">
        <v>751</v>
      </c>
      <c r="G34" s="57">
        <v>12.0</v>
      </c>
      <c r="H34" s="82">
        <v>0.033</v>
      </c>
      <c r="I34" s="57" t="s">
        <v>754</v>
      </c>
      <c r="J34" s="57">
        <v>22.0</v>
      </c>
      <c r="K34" s="82">
        <v>0.069</v>
      </c>
      <c r="L34" s="127">
        <f>100-9.46</f>
        <v>90.54</v>
      </c>
      <c r="N34" s="155"/>
    </row>
    <row r="35" ht="22.5" customHeight="1">
      <c r="A35" s="5" t="s">
        <v>11</v>
      </c>
      <c r="B35" s="5" t="s">
        <v>153</v>
      </c>
      <c r="C35" s="57">
        <v>329.0</v>
      </c>
      <c r="D35" s="57">
        <v>3.0</v>
      </c>
      <c r="E35" s="82">
        <v>0.009</v>
      </c>
      <c r="F35" s="57" t="s">
        <v>758</v>
      </c>
      <c r="G35" s="57">
        <v>12.0</v>
      </c>
      <c r="H35" s="82">
        <v>0.0365</v>
      </c>
      <c r="I35" s="57" t="s">
        <v>759</v>
      </c>
      <c r="J35" s="57">
        <v>24.0</v>
      </c>
      <c r="K35" s="82">
        <v>0.0808</v>
      </c>
      <c r="L35" s="13">
        <f>100-1.29</f>
        <v>98.71</v>
      </c>
      <c r="N35" s="155"/>
    </row>
    <row r="36" ht="22.5" customHeight="1">
      <c r="A36" s="5" t="s">
        <v>11</v>
      </c>
      <c r="B36" s="5" t="s">
        <v>159</v>
      </c>
      <c r="C36" s="57">
        <v>339.0</v>
      </c>
      <c r="D36" s="57">
        <v>2.0</v>
      </c>
      <c r="E36" s="82">
        <v>0.0059</v>
      </c>
      <c r="F36" s="57" t="s">
        <v>763</v>
      </c>
      <c r="G36" s="57">
        <v>11.0</v>
      </c>
      <c r="H36" s="82">
        <v>0.0324</v>
      </c>
      <c r="I36" s="57" t="s">
        <v>766</v>
      </c>
      <c r="J36" s="57">
        <v>38.0</v>
      </c>
      <c r="K36" s="82">
        <v>0.1306</v>
      </c>
      <c r="L36" s="127">
        <f>100-2.23</f>
        <v>97.77</v>
      </c>
      <c r="N36" s="155"/>
    </row>
    <row r="37" ht="22.5" customHeight="1">
      <c r="A37" s="5" t="s">
        <v>11</v>
      </c>
      <c r="B37" s="5" t="s">
        <v>26</v>
      </c>
      <c r="C37" s="57">
        <v>882.0</v>
      </c>
      <c r="D37" s="57">
        <v>5.0</v>
      </c>
      <c r="E37" s="82">
        <v>0.0056</v>
      </c>
      <c r="F37" s="57" t="s">
        <v>771</v>
      </c>
      <c r="G37" s="57">
        <v>17.0</v>
      </c>
      <c r="H37" s="82">
        <v>0.0193</v>
      </c>
      <c r="I37" s="57" t="s">
        <v>772</v>
      </c>
      <c r="J37" s="57">
        <v>97.0</v>
      </c>
      <c r="K37" s="82">
        <v>0.1265</v>
      </c>
      <c r="L37" s="127">
        <f>100-6.03</f>
        <v>93.97</v>
      </c>
      <c r="N37" s="155"/>
    </row>
    <row r="38" ht="22.5" customHeight="1">
      <c r="A38" s="5" t="s">
        <v>11</v>
      </c>
      <c r="B38" s="5" t="s">
        <v>23</v>
      </c>
      <c r="C38" s="57">
        <v>879.0</v>
      </c>
      <c r="D38" s="57">
        <v>3.0</v>
      </c>
      <c r="E38" s="82">
        <v>0.0034</v>
      </c>
      <c r="F38" s="57" t="s">
        <v>773</v>
      </c>
      <c r="G38" s="57">
        <v>16.0</v>
      </c>
      <c r="H38" s="82">
        <v>0.0182</v>
      </c>
      <c r="I38" s="57" t="s">
        <v>774</v>
      </c>
      <c r="J38" s="57">
        <v>162.0</v>
      </c>
      <c r="K38" s="82">
        <v>0.208</v>
      </c>
      <c r="L38" s="127">
        <f>100-3.76</f>
        <v>96.24</v>
      </c>
      <c r="N38" s="155"/>
    </row>
    <row r="39" ht="22.5" customHeight="1">
      <c r="A39" s="5" t="s">
        <v>11</v>
      </c>
      <c r="B39" s="5" t="s">
        <v>63</v>
      </c>
      <c r="C39" s="57">
        <v>725.0</v>
      </c>
      <c r="D39" s="57" t="s">
        <v>17</v>
      </c>
      <c r="E39" s="57" t="s">
        <v>17</v>
      </c>
      <c r="F39" s="57" t="s">
        <v>17</v>
      </c>
      <c r="G39" s="57">
        <v>9.0</v>
      </c>
      <c r="H39" s="82">
        <v>0.0124</v>
      </c>
      <c r="I39" s="57" t="s">
        <v>775</v>
      </c>
      <c r="J39" s="57">
        <v>74.0</v>
      </c>
      <c r="K39" s="82">
        <v>0.1171</v>
      </c>
      <c r="L39" s="13">
        <f>100-0.6</f>
        <v>99.4</v>
      </c>
      <c r="N39" s="155"/>
    </row>
    <row r="40" ht="22.5" customHeight="1">
      <c r="A40" s="5" t="s">
        <v>185</v>
      </c>
      <c r="B40" s="5" t="s">
        <v>15</v>
      </c>
      <c r="C40" s="13">
        <v>30.0</v>
      </c>
      <c r="D40" s="42">
        <v>1.0</v>
      </c>
      <c r="E40" s="42" t="s">
        <v>709</v>
      </c>
      <c r="F40" s="42">
        <v>0.0</v>
      </c>
      <c r="G40" s="47">
        <v>0.0</v>
      </c>
      <c r="H40" s="55">
        <v>0.0</v>
      </c>
      <c r="I40" s="55">
        <v>0.0</v>
      </c>
      <c r="J40" s="57">
        <v>7.0</v>
      </c>
      <c r="K40" s="47" t="s">
        <v>782</v>
      </c>
      <c r="L40" s="47" t="s">
        <v>784</v>
      </c>
      <c r="N40" s="155"/>
    </row>
    <row r="41" ht="22.5" customHeight="1">
      <c r="A41" s="5" t="s">
        <v>185</v>
      </c>
      <c r="B41" s="5" t="s">
        <v>13</v>
      </c>
      <c r="C41" s="201">
        <v>680.0</v>
      </c>
      <c r="D41" s="42">
        <v>0.0</v>
      </c>
      <c r="E41" s="42" t="s">
        <v>258</v>
      </c>
      <c r="F41" s="42">
        <v>0.0</v>
      </c>
      <c r="G41" s="47">
        <v>38.0</v>
      </c>
      <c r="H41" s="47" t="s">
        <v>427</v>
      </c>
      <c r="I41" s="47" t="s">
        <v>788</v>
      </c>
      <c r="J41" s="57">
        <v>214.0</v>
      </c>
      <c r="K41" s="47" t="s">
        <v>791</v>
      </c>
      <c r="L41" s="47" t="s">
        <v>792</v>
      </c>
      <c r="N41" s="155"/>
    </row>
    <row r="42" ht="22.5" customHeight="1">
      <c r="A42" s="5" t="s">
        <v>185</v>
      </c>
      <c r="B42" s="5" t="s">
        <v>27</v>
      </c>
      <c r="C42" s="13">
        <v>311.0</v>
      </c>
      <c r="D42" s="42">
        <v>0.0</v>
      </c>
      <c r="E42" s="42" t="s">
        <v>258</v>
      </c>
      <c r="F42" s="55">
        <v>0.0</v>
      </c>
      <c r="G42" s="47">
        <v>17.0</v>
      </c>
      <c r="H42" s="47" t="s">
        <v>794</v>
      </c>
      <c r="I42" s="47" t="s">
        <v>796</v>
      </c>
      <c r="J42" s="57">
        <v>116.0</v>
      </c>
      <c r="K42" s="47" t="s">
        <v>797</v>
      </c>
      <c r="L42" s="47" t="s">
        <v>799</v>
      </c>
      <c r="N42" s="155"/>
    </row>
    <row r="43" ht="22.5" customHeight="1">
      <c r="A43" s="5" t="s">
        <v>185</v>
      </c>
      <c r="B43" s="5" t="s">
        <v>33</v>
      </c>
      <c r="C43" s="13">
        <v>339.0</v>
      </c>
      <c r="D43" s="49">
        <v>2.0</v>
      </c>
      <c r="E43" s="49" t="s">
        <v>734</v>
      </c>
      <c r="F43" s="55">
        <v>0.0</v>
      </c>
      <c r="G43" s="47">
        <v>13.0</v>
      </c>
      <c r="H43" s="47" t="s">
        <v>801</v>
      </c>
      <c r="I43" s="47" t="s">
        <v>802</v>
      </c>
      <c r="J43" s="57">
        <v>118.0</v>
      </c>
      <c r="K43" s="47" t="s">
        <v>804</v>
      </c>
      <c r="L43" s="47" t="s">
        <v>206</v>
      </c>
      <c r="N43" s="155"/>
    </row>
    <row r="44" ht="22.5" customHeight="1">
      <c r="A44" s="5" t="s">
        <v>185</v>
      </c>
      <c r="B44" s="5" t="s">
        <v>19</v>
      </c>
      <c r="C44" s="202">
        <v>508.0</v>
      </c>
      <c r="D44" s="49">
        <v>2.0</v>
      </c>
      <c r="E44" s="49" t="s">
        <v>742</v>
      </c>
      <c r="F44" s="55">
        <v>0.0</v>
      </c>
      <c r="G44" s="47">
        <v>13.0</v>
      </c>
      <c r="H44" s="47" t="s">
        <v>808</v>
      </c>
      <c r="I44" s="47">
        <v>110705.0</v>
      </c>
      <c r="J44" s="57">
        <v>176.0</v>
      </c>
      <c r="K44" s="47" t="s">
        <v>809</v>
      </c>
      <c r="L44" s="47" t="s">
        <v>812</v>
      </c>
      <c r="N44" s="155"/>
    </row>
    <row r="45" ht="22.5" customHeight="1">
      <c r="A45" s="5" t="s">
        <v>185</v>
      </c>
      <c r="B45" s="5" t="s">
        <v>58</v>
      </c>
      <c r="C45" s="13">
        <v>236.0</v>
      </c>
      <c r="D45" s="42">
        <v>1.0</v>
      </c>
      <c r="E45" s="42" t="s">
        <v>750</v>
      </c>
      <c r="F45" s="203">
        <v>0.0</v>
      </c>
      <c r="G45" s="47">
        <v>15.0</v>
      </c>
      <c r="H45" s="47" t="s">
        <v>815</v>
      </c>
      <c r="I45" s="47" t="s">
        <v>816</v>
      </c>
      <c r="J45" s="57">
        <v>104.0</v>
      </c>
      <c r="K45" s="47" t="s">
        <v>817</v>
      </c>
      <c r="L45" s="47" t="s">
        <v>298</v>
      </c>
      <c r="N45" s="204"/>
    </row>
    <row r="46" ht="22.5" customHeight="1">
      <c r="A46" s="5" t="s">
        <v>185</v>
      </c>
      <c r="B46" s="5" t="s">
        <v>77</v>
      </c>
      <c r="C46" s="13">
        <v>141.0</v>
      </c>
      <c r="D46" s="42">
        <v>0.0</v>
      </c>
      <c r="E46" s="42">
        <v>0.0</v>
      </c>
      <c r="F46" s="203">
        <v>0.0</v>
      </c>
      <c r="G46" s="47">
        <v>1.0</v>
      </c>
      <c r="H46" s="47" t="s">
        <v>823</v>
      </c>
      <c r="I46" s="47">
        <v>57884.0</v>
      </c>
      <c r="J46" s="57">
        <v>48.0</v>
      </c>
      <c r="K46" s="47" t="s">
        <v>824</v>
      </c>
      <c r="L46" s="47" t="s">
        <v>298</v>
      </c>
      <c r="N46" s="155"/>
    </row>
    <row r="47" ht="22.5" customHeight="1">
      <c r="A47" s="5" t="s">
        <v>185</v>
      </c>
      <c r="B47" s="5" t="s">
        <v>82</v>
      </c>
      <c r="C47" s="13">
        <v>160.0</v>
      </c>
      <c r="D47" s="42">
        <v>0.0</v>
      </c>
      <c r="E47" s="42">
        <v>0.0</v>
      </c>
      <c r="F47" s="42">
        <v>0.0</v>
      </c>
      <c r="G47" s="47">
        <v>4.0</v>
      </c>
      <c r="H47" s="47" t="s">
        <v>828</v>
      </c>
      <c r="I47" s="47" t="s">
        <v>829</v>
      </c>
      <c r="J47" s="57">
        <v>46.0</v>
      </c>
      <c r="K47" s="47" t="s">
        <v>830</v>
      </c>
      <c r="L47" s="47" t="s">
        <v>831</v>
      </c>
      <c r="N47" s="155"/>
    </row>
    <row r="48" ht="22.5" customHeight="1">
      <c r="A48" s="5" t="s">
        <v>185</v>
      </c>
      <c r="B48" s="50" t="s">
        <v>94</v>
      </c>
      <c r="C48" s="13">
        <v>3.0</v>
      </c>
      <c r="D48" s="55">
        <v>0.0</v>
      </c>
      <c r="E48" s="55">
        <v>0.0</v>
      </c>
      <c r="F48" s="42">
        <v>0.0</v>
      </c>
      <c r="G48" s="50">
        <v>0.0</v>
      </c>
      <c r="H48" s="50">
        <v>0.0</v>
      </c>
      <c r="I48" s="50">
        <v>0.0</v>
      </c>
      <c r="J48" s="57">
        <v>3.0</v>
      </c>
      <c r="K48" s="47" t="s">
        <v>298</v>
      </c>
      <c r="L48" s="47" t="s">
        <v>298</v>
      </c>
      <c r="N48" s="155"/>
    </row>
    <row r="49" ht="22.5" customHeight="1">
      <c r="A49" s="5" t="s">
        <v>185</v>
      </c>
      <c r="B49" s="5" t="s">
        <v>90</v>
      </c>
      <c r="C49" s="13">
        <v>9.0</v>
      </c>
      <c r="D49" s="55">
        <v>0.0</v>
      </c>
      <c r="E49" s="55">
        <v>0.0</v>
      </c>
      <c r="F49" s="55">
        <v>0.0</v>
      </c>
      <c r="G49" s="50">
        <v>0.0</v>
      </c>
      <c r="H49" s="50">
        <v>0.0</v>
      </c>
      <c r="I49" s="50">
        <v>0.0</v>
      </c>
      <c r="J49" s="57">
        <v>1.0</v>
      </c>
      <c r="K49" s="211" t="s">
        <v>837</v>
      </c>
      <c r="L49" s="47" t="s">
        <v>298</v>
      </c>
      <c r="N49" s="155"/>
    </row>
    <row r="50" ht="22.5" customHeight="1">
      <c r="A50" s="5" t="s">
        <v>185</v>
      </c>
      <c r="B50" s="5" t="s">
        <v>39</v>
      </c>
      <c r="C50" s="13">
        <v>38.0</v>
      </c>
      <c r="D50" s="212">
        <v>0.0</v>
      </c>
      <c r="E50" s="55">
        <v>0.0</v>
      </c>
      <c r="F50" s="55">
        <v>0.0</v>
      </c>
      <c r="G50" s="55">
        <v>1.0</v>
      </c>
      <c r="H50" s="47" t="s">
        <v>456</v>
      </c>
      <c r="I50" s="47" t="s">
        <v>842</v>
      </c>
      <c r="J50" s="57">
        <v>22.0</v>
      </c>
      <c r="K50" s="175" t="s">
        <v>843</v>
      </c>
      <c r="L50" s="47" t="s">
        <v>844</v>
      </c>
      <c r="N50" s="155"/>
    </row>
    <row r="51" ht="22.5" customHeight="1">
      <c r="A51" s="5" t="s">
        <v>185</v>
      </c>
      <c r="B51" s="5" t="s">
        <v>59</v>
      </c>
      <c r="C51" s="13">
        <v>87.0</v>
      </c>
      <c r="D51" s="203">
        <v>0.0</v>
      </c>
      <c r="E51" s="203">
        <v>0.0</v>
      </c>
      <c r="F51" s="55">
        <v>0.0</v>
      </c>
      <c r="G51" s="47">
        <v>5.0</v>
      </c>
      <c r="H51" s="47" t="s">
        <v>848</v>
      </c>
      <c r="I51" s="47" t="s">
        <v>849</v>
      </c>
      <c r="J51" s="57">
        <v>41.0</v>
      </c>
      <c r="K51" s="175" t="s">
        <v>850</v>
      </c>
      <c r="L51" s="47" t="s">
        <v>851</v>
      </c>
      <c r="N51" s="155"/>
    </row>
    <row r="52" ht="22.5" customHeight="1">
      <c r="A52" s="5" t="s">
        <v>185</v>
      </c>
      <c r="B52" s="5" t="s">
        <v>114</v>
      </c>
      <c r="C52" s="13">
        <v>161.0</v>
      </c>
      <c r="D52" s="203">
        <v>0.0</v>
      </c>
      <c r="E52" s="203">
        <v>0.0</v>
      </c>
      <c r="F52" s="203">
        <v>0.0</v>
      </c>
      <c r="G52" s="47">
        <v>8.0</v>
      </c>
      <c r="H52" s="47" t="s">
        <v>853</v>
      </c>
      <c r="I52" s="47">
        <v>1155.0</v>
      </c>
      <c r="J52" s="57">
        <v>97.0</v>
      </c>
      <c r="K52" s="175" t="s">
        <v>856</v>
      </c>
      <c r="L52" s="47" t="s">
        <v>298</v>
      </c>
      <c r="N52" s="155"/>
    </row>
    <row r="53" ht="22.5" customHeight="1">
      <c r="A53" s="5" t="s">
        <v>185</v>
      </c>
      <c r="B53" s="5" t="s">
        <v>136</v>
      </c>
      <c r="C53" s="13">
        <v>79.0</v>
      </c>
      <c r="D53" s="50">
        <v>1.0</v>
      </c>
      <c r="E53" s="211" t="s">
        <v>778</v>
      </c>
      <c r="F53" s="203">
        <v>0.0</v>
      </c>
      <c r="G53" s="47">
        <v>0.0</v>
      </c>
      <c r="H53" s="47" t="s">
        <v>258</v>
      </c>
      <c r="I53" s="55">
        <v>0.0</v>
      </c>
      <c r="J53" s="57">
        <v>40.0</v>
      </c>
      <c r="K53" s="175" t="s">
        <v>384</v>
      </c>
      <c r="L53" s="47" t="s">
        <v>858</v>
      </c>
      <c r="N53" s="155"/>
    </row>
    <row r="54" ht="22.5" customHeight="1">
      <c r="A54" s="5" t="s">
        <v>185</v>
      </c>
      <c r="B54" s="5" t="s">
        <v>85</v>
      </c>
      <c r="C54" s="13">
        <v>317.0</v>
      </c>
      <c r="D54" s="42">
        <v>0.0</v>
      </c>
      <c r="E54" s="203">
        <v>0.0</v>
      </c>
      <c r="F54" s="42">
        <v>0.0</v>
      </c>
      <c r="G54" s="47">
        <v>8.0</v>
      </c>
      <c r="H54" s="47" t="s">
        <v>362</v>
      </c>
      <c r="I54" s="47" t="s">
        <v>860</v>
      </c>
      <c r="J54" s="57">
        <v>151.0</v>
      </c>
      <c r="K54" s="175" t="s">
        <v>861</v>
      </c>
      <c r="L54" s="47" t="s">
        <v>863</v>
      </c>
      <c r="N54" s="155"/>
    </row>
    <row r="55" ht="22.5" customHeight="1">
      <c r="A55" s="5" t="s">
        <v>185</v>
      </c>
      <c r="B55" s="35" t="s">
        <v>79</v>
      </c>
      <c r="C55" s="13">
        <v>197.0</v>
      </c>
      <c r="D55" s="42">
        <v>0.0</v>
      </c>
      <c r="E55" s="203">
        <v>0.0</v>
      </c>
      <c r="F55" s="42">
        <v>0.0</v>
      </c>
      <c r="G55" s="47">
        <v>10.0</v>
      </c>
      <c r="H55" s="47" t="s">
        <v>865</v>
      </c>
      <c r="I55" s="47" t="s">
        <v>866</v>
      </c>
      <c r="J55" s="57">
        <v>95.0</v>
      </c>
      <c r="K55" s="175" t="s">
        <v>867</v>
      </c>
      <c r="L55" s="47" t="s">
        <v>868</v>
      </c>
      <c r="N55" s="155"/>
    </row>
    <row r="56" ht="22.5" customHeight="1">
      <c r="A56" s="5" t="s">
        <v>185</v>
      </c>
      <c r="B56" s="5" t="s">
        <v>45</v>
      </c>
      <c r="C56" s="13">
        <v>210.0</v>
      </c>
      <c r="D56" s="42">
        <v>2.0</v>
      </c>
      <c r="E56" s="42" t="s">
        <v>870</v>
      </c>
      <c r="F56" s="55">
        <v>0.0</v>
      </c>
      <c r="G56" s="47">
        <v>12.0</v>
      </c>
      <c r="H56" s="47" t="s">
        <v>458</v>
      </c>
      <c r="I56" s="47" t="s">
        <v>871</v>
      </c>
      <c r="J56" s="57">
        <v>13.0</v>
      </c>
      <c r="K56" s="175" t="s">
        <v>872</v>
      </c>
      <c r="L56" s="47" t="s">
        <v>873</v>
      </c>
      <c r="N56" s="155"/>
    </row>
    <row r="57" ht="22.5" customHeight="1">
      <c r="A57" s="5" t="s">
        <v>185</v>
      </c>
      <c r="B57" s="5" t="s">
        <v>170</v>
      </c>
      <c r="C57" s="13">
        <v>76.0</v>
      </c>
      <c r="D57" s="42">
        <v>1.0</v>
      </c>
      <c r="E57" s="42" t="s">
        <v>875</v>
      </c>
      <c r="F57" s="55">
        <v>0.0</v>
      </c>
      <c r="G57" s="47">
        <v>3.0</v>
      </c>
      <c r="H57" s="47" t="s">
        <v>877</v>
      </c>
      <c r="I57" s="47">
        <v>4226.0</v>
      </c>
      <c r="J57" s="57">
        <v>16.0</v>
      </c>
      <c r="K57" s="175" t="s">
        <v>878</v>
      </c>
      <c r="L57" s="47" t="s">
        <v>879</v>
      </c>
      <c r="N57" s="155"/>
    </row>
    <row r="58" ht="22.5" customHeight="1">
      <c r="A58" s="5" t="s">
        <v>185</v>
      </c>
      <c r="B58" s="5" t="s">
        <v>153</v>
      </c>
      <c r="C58" s="13">
        <v>126.0</v>
      </c>
      <c r="D58" s="42">
        <v>0.0</v>
      </c>
      <c r="E58" s="42" t="s">
        <v>258</v>
      </c>
      <c r="F58" s="55">
        <v>0.0</v>
      </c>
      <c r="G58" s="47">
        <v>7.0</v>
      </c>
      <c r="H58" s="47" t="s">
        <v>880</v>
      </c>
      <c r="I58" s="47" t="s">
        <v>881</v>
      </c>
      <c r="J58" s="57">
        <v>43.0</v>
      </c>
      <c r="K58" s="175" t="s">
        <v>882</v>
      </c>
      <c r="L58" s="47" t="s">
        <v>883</v>
      </c>
      <c r="N58" s="155"/>
    </row>
    <row r="59" ht="22.5" customHeight="1">
      <c r="A59" s="5" t="s">
        <v>185</v>
      </c>
      <c r="B59" s="5" t="s">
        <v>26</v>
      </c>
      <c r="C59" s="13">
        <v>580.0</v>
      </c>
      <c r="D59" s="49">
        <v>5.0</v>
      </c>
      <c r="E59" s="49" t="s">
        <v>725</v>
      </c>
      <c r="F59" s="203">
        <v>0.0</v>
      </c>
      <c r="G59" s="47">
        <v>23.0</v>
      </c>
      <c r="H59" s="47" t="s">
        <v>885</v>
      </c>
      <c r="I59" s="47" t="s">
        <v>886</v>
      </c>
      <c r="J59" s="57">
        <v>72.0</v>
      </c>
      <c r="K59" s="175" t="s">
        <v>887</v>
      </c>
      <c r="L59" s="47" t="s">
        <v>888</v>
      </c>
      <c r="N59" s="155"/>
    </row>
    <row r="60" ht="22.5" customHeight="1">
      <c r="A60" s="5" t="s">
        <v>185</v>
      </c>
      <c r="B60" s="5" t="s">
        <v>23</v>
      </c>
      <c r="C60" s="13">
        <v>331.0</v>
      </c>
      <c r="D60" s="47">
        <v>1.0</v>
      </c>
      <c r="E60" s="42" t="s">
        <v>889</v>
      </c>
      <c r="F60" s="203">
        <v>0.0</v>
      </c>
      <c r="G60" s="47">
        <v>15.0</v>
      </c>
      <c r="H60" s="47" t="s">
        <v>890</v>
      </c>
      <c r="I60" s="47" t="s">
        <v>891</v>
      </c>
      <c r="J60" s="57">
        <v>127.0</v>
      </c>
      <c r="K60" s="175" t="s">
        <v>892</v>
      </c>
      <c r="L60" s="47" t="s">
        <v>893</v>
      </c>
      <c r="N60" s="155"/>
    </row>
    <row r="61" ht="22.5" customHeight="1">
      <c r="A61" s="5" t="s">
        <v>185</v>
      </c>
      <c r="B61" s="5" t="s">
        <v>159</v>
      </c>
      <c r="C61" s="13">
        <v>57.0</v>
      </c>
      <c r="D61" s="47">
        <v>0.0</v>
      </c>
      <c r="E61" s="49" t="s">
        <v>258</v>
      </c>
      <c r="F61" s="203">
        <v>0.0</v>
      </c>
      <c r="G61" s="47">
        <v>4.0</v>
      </c>
      <c r="H61" s="47" t="s">
        <v>463</v>
      </c>
      <c r="I61" s="47">
        <v>0.0</v>
      </c>
      <c r="J61" s="57">
        <v>16.0</v>
      </c>
      <c r="K61" s="216" t="s">
        <v>895</v>
      </c>
      <c r="L61" s="47" t="s">
        <v>896</v>
      </c>
      <c r="N61" s="155"/>
    </row>
    <row r="62" ht="22.5" customHeight="1">
      <c r="A62" s="5" t="s">
        <v>185</v>
      </c>
      <c r="B62" s="5" t="s">
        <v>63</v>
      </c>
      <c r="C62" s="13">
        <v>448.0</v>
      </c>
      <c r="D62" s="50">
        <v>0.0</v>
      </c>
      <c r="E62" s="50">
        <v>0.0</v>
      </c>
      <c r="F62" s="203">
        <v>0.0</v>
      </c>
      <c r="G62" s="49">
        <v>13.0</v>
      </c>
      <c r="H62" s="49" t="s">
        <v>897</v>
      </c>
      <c r="I62" s="49" t="s">
        <v>898</v>
      </c>
      <c r="J62" s="13">
        <v>129.0</v>
      </c>
      <c r="K62" s="49" t="s">
        <v>900</v>
      </c>
      <c r="L62" s="47" t="s">
        <v>851</v>
      </c>
      <c r="N62" s="155"/>
    </row>
    <row r="63" ht="22.5" customHeight="1">
      <c r="A63" s="5" t="s">
        <v>383</v>
      </c>
      <c r="B63" s="5" t="s">
        <v>15</v>
      </c>
      <c r="C63" s="76">
        <v>68.0</v>
      </c>
      <c r="D63" s="76">
        <v>1.0</v>
      </c>
      <c r="E63" s="73">
        <v>0.014492753623188406</v>
      </c>
      <c r="F63" s="64">
        <v>0.0</v>
      </c>
      <c r="G63" s="77">
        <v>4.0</v>
      </c>
      <c r="H63" s="73">
        <v>0.057971014492753624</v>
      </c>
      <c r="I63" s="66">
        <v>0.0</v>
      </c>
      <c r="J63" s="77">
        <v>4.0</v>
      </c>
      <c r="K63" s="73">
        <v>0.06060606060606061</v>
      </c>
      <c r="L63" s="65">
        <v>0.9378</v>
      </c>
      <c r="N63" s="155"/>
    </row>
    <row r="64" ht="22.5" customHeight="1">
      <c r="A64" s="5" t="s">
        <v>383</v>
      </c>
      <c r="B64" s="5" t="s">
        <v>13</v>
      </c>
      <c r="C64" s="76">
        <v>385.0</v>
      </c>
      <c r="D64" s="76">
        <v>2.0</v>
      </c>
      <c r="E64" s="73">
        <v>0.00516795865633075</v>
      </c>
      <c r="F64" s="64">
        <v>0.0</v>
      </c>
      <c r="G64" s="77">
        <v>8.0</v>
      </c>
      <c r="H64" s="73">
        <v>0.020671834625323</v>
      </c>
      <c r="I64" s="66">
        <v>0.0</v>
      </c>
      <c r="J64" s="77">
        <v>28.0</v>
      </c>
      <c r="K64" s="73">
        <v>0.07427055702917772</v>
      </c>
      <c r="L64" s="65">
        <v>0.9709</v>
      </c>
      <c r="N64" s="155"/>
    </row>
    <row r="65" ht="22.5" customHeight="1">
      <c r="A65" s="5" t="s">
        <v>383</v>
      </c>
      <c r="B65" s="5" t="s">
        <v>27</v>
      </c>
      <c r="C65" s="76">
        <v>97.0</v>
      </c>
      <c r="D65" s="76">
        <v>0.0</v>
      </c>
      <c r="E65" s="73">
        <v>0.0</v>
      </c>
      <c r="F65" s="64">
        <v>0.0</v>
      </c>
      <c r="G65" s="77">
        <v>0.0</v>
      </c>
      <c r="H65" s="73">
        <v>0.0</v>
      </c>
      <c r="I65" s="66">
        <v>0.0</v>
      </c>
      <c r="J65" s="77">
        <v>7.0</v>
      </c>
      <c r="K65" s="73">
        <v>0.07526881720430108</v>
      </c>
      <c r="L65" s="65">
        <v>0.9867</v>
      </c>
      <c r="N65" s="155"/>
    </row>
    <row r="66" ht="22.5" customHeight="1">
      <c r="A66" s="5" t="s">
        <v>383</v>
      </c>
      <c r="B66" s="5" t="s">
        <v>33</v>
      </c>
      <c r="C66" s="76">
        <v>189.0</v>
      </c>
      <c r="D66" s="76">
        <v>0.0</v>
      </c>
      <c r="E66" s="73">
        <v>0.0</v>
      </c>
      <c r="F66" s="64">
        <v>0.0</v>
      </c>
      <c r="G66" s="77">
        <v>4.0</v>
      </c>
      <c r="H66" s="73">
        <v>0.021164021164021163</v>
      </c>
      <c r="I66" s="66">
        <v>0.0</v>
      </c>
      <c r="J66" s="77">
        <v>35.0</v>
      </c>
      <c r="K66" s="73">
        <v>0.19021739130434784</v>
      </c>
      <c r="L66" s="65">
        <v>0.9898</v>
      </c>
      <c r="N66" s="155"/>
    </row>
    <row r="67" ht="22.5" customHeight="1">
      <c r="A67" s="5" t="s">
        <v>383</v>
      </c>
      <c r="B67" s="5" t="s">
        <v>19</v>
      </c>
      <c r="C67" s="76">
        <v>246.0</v>
      </c>
      <c r="D67" s="76">
        <v>1.0</v>
      </c>
      <c r="E67" s="73">
        <v>0.004048582995951417</v>
      </c>
      <c r="F67" s="64">
        <v>0.0</v>
      </c>
      <c r="G67" s="77">
        <v>7.0</v>
      </c>
      <c r="H67" s="73">
        <v>0.02834008097165992</v>
      </c>
      <c r="I67" s="66">
        <v>0.0</v>
      </c>
      <c r="J67" s="77">
        <v>29.0</v>
      </c>
      <c r="K67" s="73">
        <v>0.11983471074380166</v>
      </c>
      <c r="L67" s="65">
        <v>0.9188</v>
      </c>
      <c r="N67" s="155"/>
    </row>
    <row r="68" ht="22.5" customHeight="1">
      <c r="A68" s="5" t="s">
        <v>383</v>
      </c>
      <c r="B68" s="5" t="s">
        <v>77</v>
      </c>
      <c r="C68" s="76">
        <v>170.0</v>
      </c>
      <c r="D68" s="76">
        <v>8.0</v>
      </c>
      <c r="E68" s="73">
        <v>0.0449438202247191</v>
      </c>
      <c r="F68" s="64">
        <v>0.0</v>
      </c>
      <c r="G68" s="77">
        <v>4.0</v>
      </c>
      <c r="H68" s="73">
        <v>0.02247191011235955</v>
      </c>
      <c r="I68" s="66">
        <v>0.0</v>
      </c>
      <c r="J68" s="77">
        <v>8.0</v>
      </c>
      <c r="K68" s="73">
        <v>0.04819277108433735</v>
      </c>
      <c r="L68" s="65">
        <v>0.9667</v>
      </c>
      <c r="N68" s="155"/>
    </row>
    <row r="69" ht="22.5" customHeight="1">
      <c r="A69" s="5" t="s">
        <v>383</v>
      </c>
      <c r="B69" s="5" t="s">
        <v>82</v>
      </c>
      <c r="C69" s="76">
        <v>47.0</v>
      </c>
      <c r="D69" s="76">
        <v>0.0</v>
      </c>
      <c r="E69" s="73">
        <v>0.0</v>
      </c>
      <c r="F69" s="64">
        <v>0.0</v>
      </c>
      <c r="G69" s="77">
        <v>2.0</v>
      </c>
      <c r="H69" s="73">
        <v>0.0425531914893617</v>
      </c>
      <c r="I69" s="66">
        <v>0.0</v>
      </c>
      <c r="J69" s="77">
        <v>4.0</v>
      </c>
      <c r="K69" s="73">
        <v>0.09090909090909091</v>
      </c>
      <c r="L69" s="65">
        <v>0.9912</v>
      </c>
      <c r="N69" s="155"/>
    </row>
    <row r="70" ht="22.5" customHeight="1">
      <c r="A70" s="5" t="s">
        <v>383</v>
      </c>
      <c r="B70" s="5" t="s">
        <v>39</v>
      </c>
      <c r="C70" s="76">
        <v>30.0</v>
      </c>
      <c r="D70" s="76">
        <v>1.0</v>
      </c>
      <c r="E70" s="73">
        <v>0.03225806451612903</v>
      </c>
      <c r="F70" s="64">
        <v>0.0</v>
      </c>
      <c r="G70" s="77">
        <v>4.0</v>
      </c>
      <c r="H70" s="73">
        <v>0.12903225806451613</v>
      </c>
      <c r="I70" s="66">
        <v>0.0</v>
      </c>
      <c r="J70" s="77">
        <v>4.0</v>
      </c>
      <c r="K70" s="73">
        <v>0.14814814814814814</v>
      </c>
      <c r="L70" s="65">
        <v>0.9157</v>
      </c>
      <c r="N70" s="155"/>
    </row>
    <row r="71" ht="22.5" customHeight="1">
      <c r="A71" s="5" t="s">
        <v>383</v>
      </c>
      <c r="B71" s="5" t="s">
        <v>63</v>
      </c>
      <c r="C71" s="76">
        <v>151.0</v>
      </c>
      <c r="D71" s="76">
        <v>0.0</v>
      </c>
      <c r="E71" s="73">
        <v>0.0</v>
      </c>
      <c r="F71" s="64">
        <v>0.0</v>
      </c>
      <c r="G71" s="77">
        <v>5.0</v>
      </c>
      <c r="H71" s="73">
        <v>0.033112582781456956</v>
      </c>
      <c r="I71" s="66">
        <v>0.0</v>
      </c>
      <c r="J71" s="77">
        <v>20.0</v>
      </c>
      <c r="K71" s="73">
        <v>0.13245033112582782</v>
      </c>
      <c r="L71" s="65">
        <v>0.9908</v>
      </c>
      <c r="N71" s="155"/>
    </row>
    <row r="72" ht="22.5" customHeight="1">
      <c r="A72" s="5" t="s">
        <v>383</v>
      </c>
      <c r="B72" s="5" t="s">
        <v>59</v>
      </c>
      <c r="C72" s="76">
        <v>66.0</v>
      </c>
      <c r="D72" s="76">
        <v>1.0</v>
      </c>
      <c r="E72" s="73">
        <v>0.014925373134328358</v>
      </c>
      <c r="F72" s="64">
        <v>0.0</v>
      </c>
      <c r="G72" s="77">
        <v>2.0</v>
      </c>
      <c r="H72" s="73">
        <v>0.029850746268656716</v>
      </c>
      <c r="I72" s="66">
        <v>0.0</v>
      </c>
      <c r="J72" s="77">
        <v>7.0</v>
      </c>
      <c r="K72" s="73">
        <v>0.1076923076923077</v>
      </c>
      <c r="L72" s="65">
        <v>0.9741</v>
      </c>
      <c r="N72" s="155"/>
    </row>
    <row r="73" ht="22.5" customHeight="1">
      <c r="A73" s="5" t="s">
        <v>383</v>
      </c>
      <c r="B73" s="5" t="s">
        <v>114</v>
      </c>
      <c r="C73" s="76">
        <v>127.0</v>
      </c>
      <c r="D73" s="76">
        <v>5.0</v>
      </c>
      <c r="E73" s="73">
        <v>0.03787878787878788</v>
      </c>
      <c r="F73" s="64">
        <v>0.0</v>
      </c>
      <c r="G73" s="77">
        <v>3.0</v>
      </c>
      <c r="H73" s="73">
        <v>0.022727272727272728</v>
      </c>
      <c r="I73" s="66">
        <v>0.0</v>
      </c>
      <c r="J73" s="77">
        <v>20.0</v>
      </c>
      <c r="K73" s="73">
        <v>0.15873015873015872</v>
      </c>
      <c r="L73" s="65">
        <v>0.9796</v>
      </c>
    </row>
    <row r="74" ht="22.5" customHeight="1">
      <c r="A74" s="5" t="s">
        <v>383</v>
      </c>
      <c r="B74" s="5" t="s">
        <v>136</v>
      </c>
      <c r="C74" s="76">
        <v>81.0</v>
      </c>
      <c r="D74" s="76">
        <v>0.0</v>
      </c>
      <c r="E74" s="73">
        <v>0.0</v>
      </c>
      <c r="F74" s="64">
        <v>0.0</v>
      </c>
      <c r="G74" s="77">
        <v>3.0</v>
      </c>
      <c r="H74" s="73">
        <v>0.037037037037037035</v>
      </c>
      <c r="I74" s="66">
        <v>0.0</v>
      </c>
      <c r="J74" s="77">
        <v>20.0</v>
      </c>
      <c r="K74" s="73">
        <v>0.2564102564102564</v>
      </c>
      <c r="L74" s="65">
        <v>0.9741</v>
      </c>
    </row>
    <row r="75" ht="22.5" customHeight="1">
      <c r="A75" s="5" t="s">
        <v>383</v>
      </c>
      <c r="B75" s="96" t="s">
        <v>501</v>
      </c>
      <c r="C75" s="76">
        <v>95.0</v>
      </c>
      <c r="D75" s="76">
        <v>0.0</v>
      </c>
      <c r="E75" s="73">
        <v>0.0</v>
      </c>
      <c r="F75" s="64">
        <v>0.0</v>
      </c>
      <c r="G75" s="77">
        <v>2.0</v>
      </c>
      <c r="H75" s="73">
        <v>0.021052631578947368</v>
      </c>
      <c r="I75" s="66">
        <v>0.0</v>
      </c>
      <c r="J75" s="77">
        <v>8.0</v>
      </c>
      <c r="K75" s="73">
        <v>0.0851063829787234</v>
      </c>
      <c r="L75" s="65">
        <v>0.9939</v>
      </c>
    </row>
    <row r="76" ht="22.5" customHeight="1">
      <c r="A76" s="5" t="s">
        <v>383</v>
      </c>
      <c r="B76" s="35" t="s">
        <v>79</v>
      </c>
      <c r="C76" s="76">
        <v>205.0</v>
      </c>
      <c r="D76" s="76">
        <v>0.0</v>
      </c>
      <c r="E76" s="73">
        <v>0.0</v>
      </c>
      <c r="F76" s="64">
        <v>0.0</v>
      </c>
      <c r="G76" s="77">
        <v>3.0</v>
      </c>
      <c r="H76" s="73">
        <v>0.014634146341463415</v>
      </c>
      <c r="I76" s="66">
        <v>0.0</v>
      </c>
      <c r="J76" s="77">
        <v>7.0</v>
      </c>
      <c r="K76" s="73">
        <v>0.03482587064676617</v>
      </c>
      <c r="L76" s="65">
        <v>0.9501</v>
      </c>
    </row>
    <row r="77" ht="22.5" customHeight="1">
      <c r="A77" s="5" t="s">
        <v>383</v>
      </c>
      <c r="B77" s="5" t="s">
        <v>45</v>
      </c>
      <c r="C77" s="76">
        <v>113.0</v>
      </c>
      <c r="D77" s="76">
        <v>0.0</v>
      </c>
      <c r="E77" s="73">
        <v>0.0</v>
      </c>
      <c r="F77" s="64">
        <v>0.0</v>
      </c>
      <c r="G77" s="77">
        <v>3.0</v>
      </c>
      <c r="H77" s="73">
        <v>0.02654867256637168</v>
      </c>
      <c r="I77" s="66">
        <v>0.0</v>
      </c>
      <c r="J77" s="77">
        <v>9.0</v>
      </c>
      <c r="K77" s="73">
        <v>0.08333333333333333</v>
      </c>
      <c r="L77" s="65">
        <v>0.9818</v>
      </c>
    </row>
    <row r="78" ht="22.5" customHeight="1">
      <c r="A78" s="5" t="s">
        <v>383</v>
      </c>
      <c r="B78" s="5" t="s">
        <v>123</v>
      </c>
      <c r="C78" s="76">
        <v>70.0</v>
      </c>
      <c r="D78" s="76">
        <v>0.0</v>
      </c>
      <c r="E78" s="73">
        <v>0.0</v>
      </c>
      <c r="F78" s="64">
        <v>0.0</v>
      </c>
      <c r="G78" s="77">
        <v>5.0</v>
      </c>
      <c r="H78" s="73">
        <v>0.07142857142857142</v>
      </c>
      <c r="I78" s="66">
        <v>0.0</v>
      </c>
      <c r="J78" s="77">
        <v>5.0</v>
      </c>
      <c r="K78" s="73">
        <v>0.08064516129032258</v>
      </c>
      <c r="L78" s="65">
        <v>0.9912</v>
      </c>
    </row>
    <row r="79" ht="22.5" customHeight="1">
      <c r="A79" s="5" t="s">
        <v>383</v>
      </c>
      <c r="B79" s="5" t="s">
        <v>153</v>
      </c>
      <c r="C79" s="76">
        <v>62.0</v>
      </c>
      <c r="D79" s="76">
        <v>0.0</v>
      </c>
      <c r="E79" s="73">
        <v>0.0</v>
      </c>
      <c r="F79" s="64">
        <v>0.0</v>
      </c>
      <c r="G79" s="77">
        <v>2.0</v>
      </c>
      <c r="H79" s="73">
        <v>0.03225806451612903</v>
      </c>
      <c r="I79" s="66">
        <v>0.0</v>
      </c>
      <c r="J79" s="77">
        <v>10.0</v>
      </c>
      <c r="K79" s="73">
        <v>0.16129032258064516</v>
      </c>
      <c r="L79" s="65">
        <v>0.9558</v>
      </c>
    </row>
    <row r="80" ht="22.5" customHeight="1">
      <c r="A80" s="5" t="s">
        <v>383</v>
      </c>
      <c r="B80" s="5" t="s">
        <v>159</v>
      </c>
      <c r="C80" s="76">
        <v>44.0</v>
      </c>
      <c r="D80" s="76">
        <v>0.0</v>
      </c>
      <c r="E80" s="73">
        <v>0.0</v>
      </c>
      <c r="F80" s="64">
        <v>0.0</v>
      </c>
      <c r="G80" s="77">
        <v>0.0</v>
      </c>
      <c r="H80" s="73">
        <v>0.0</v>
      </c>
      <c r="I80" s="66">
        <v>0.0</v>
      </c>
      <c r="J80" s="77">
        <v>2.0</v>
      </c>
      <c r="K80" s="73">
        <v>0.047619047619047616</v>
      </c>
      <c r="L80" s="65">
        <v>0.9875</v>
      </c>
    </row>
    <row r="81" ht="22.5" customHeight="1">
      <c r="A81" s="5" t="s">
        <v>383</v>
      </c>
      <c r="B81" s="5" t="s">
        <v>26</v>
      </c>
      <c r="C81" s="76">
        <v>276.0</v>
      </c>
      <c r="D81" s="76">
        <v>1.0</v>
      </c>
      <c r="E81" s="73">
        <v>0.0036101083032490976</v>
      </c>
      <c r="F81" s="64">
        <v>0.0</v>
      </c>
      <c r="G81" s="77">
        <v>7.0</v>
      </c>
      <c r="H81" s="73">
        <v>0.02527075812274368</v>
      </c>
      <c r="I81" s="66">
        <v>0.0</v>
      </c>
      <c r="J81" s="77">
        <v>13.0</v>
      </c>
      <c r="K81" s="73">
        <v>0.04814814814814815</v>
      </c>
      <c r="L81" s="65">
        <v>0.9797</v>
      </c>
    </row>
    <row r="82" ht="22.5" customHeight="1">
      <c r="A82" s="5" t="s">
        <v>383</v>
      </c>
      <c r="B82" s="5" t="s">
        <v>58</v>
      </c>
      <c r="C82" s="76">
        <v>135.0</v>
      </c>
      <c r="D82" s="76">
        <v>0.0</v>
      </c>
      <c r="E82" s="73">
        <v>0.0</v>
      </c>
      <c r="F82" s="64">
        <v>0.0</v>
      </c>
      <c r="G82" s="77">
        <v>6.0</v>
      </c>
      <c r="H82" s="73">
        <v>0.044444444444444446</v>
      </c>
      <c r="I82" s="66">
        <v>0.0</v>
      </c>
      <c r="J82" s="77">
        <v>10.0</v>
      </c>
      <c r="K82" s="73">
        <v>0.07633587786259542</v>
      </c>
      <c r="L82" s="65">
        <v>0.9977</v>
      </c>
      <c r="N82" s="243"/>
    </row>
    <row r="83" ht="22.5" customHeight="1">
      <c r="A83" s="5" t="s">
        <v>383</v>
      </c>
      <c r="B83" s="5" t="s">
        <v>23</v>
      </c>
      <c r="C83" s="76">
        <v>171.0</v>
      </c>
      <c r="D83" s="76">
        <v>2.0</v>
      </c>
      <c r="E83" s="73">
        <v>0.011560693641618497</v>
      </c>
      <c r="F83" s="64">
        <v>0.0</v>
      </c>
      <c r="G83" s="77">
        <v>2.0</v>
      </c>
      <c r="H83" s="73">
        <v>0.011560693641618497</v>
      </c>
      <c r="I83" s="66">
        <v>0.0</v>
      </c>
      <c r="J83" s="77">
        <v>29.0</v>
      </c>
      <c r="K83" s="73">
        <v>0.17365269461077845</v>
      </c>
      <c r="L83" s="65">
        <v>0.9994</v>
      </c>
    </row>
    <row r="84" ht="22.5" customHeight="1">
      <c r="A84" s="233"/>
      <c r="B84" s="234"/>
      <c r="C84" s="235"/>
      <c r="D84" s="235"/>
      <c r="E84" s="239"/>
      <c r="F84" s="64"/>
      <c r="G84" s="238"/>
      <c r="H84" s="239"/>
      <c r="I84" s="66"/>
      <c r="J84" s="238"/>
      <c r="K84" s="239"/>
      <c r="L84" s="244"/>
    </row>
    <row r="85"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>
      <c r="C86" s="79"/>
      <c r="D86" s="79"/>
      <c r="E86" s="79"/>
      <c r="F86" s="79"/>
      <c r="G86" s="79"/>
      <c r="H86" s="79"/>
      <c r="I86" s="79"/>
      <c r="J86" s="79"/>
      <c r="K86" s="79"/>
      <c r="L86" s="79"/>
    </row>
    <row r="87">
      <c r="C87" s="79"/>
      <c r="D87" s="79"/>
      <c r="E87" s="79"/>
      <c r="F87" s="79"/>
      <c r="G87" s="79"/>
      <c r="H87" s="79"/>
      <c r="I87" s="79"/>
      <c r="J87" s="79"/>
      <c r="K87" s="79"/>
      <c r="L87" s="79"/>
    </row>
    <row r="88">
      <c r="C88" s="79"/>
      <c r="D88" s="79"/>
      <c r="E88" s="79"/>
      <c r="F88" s="79"/>
      <c r="G88" s="79"/>
      <c r="H88" s="79"/>
      <c r="I88" s="79"/>
      <c r="J88" s="79"/>
      <c r="K88" s="79"/>
      <c r="L88" s="79"/>
    </row>
    <row r="89">
      <c r="C89" s="79"/>
      <c r="D89" s="79"/>
      <c r="E89" s="79"/>
      <c r="F89" s="79"/>
      <c r="G89" s="79"/>
      <c r="H89" s="79"/>
      <c r="I89" s="79"/>
      <c r="J89" s="79"/>
      <c r="K89" s="79"/>
      <c r="L89" s="79"/>
    </row>
    <row r="90">
      <c r="C90" s="79"/>
      <c r="D90" s="79"/>
      <c r="E90" s="245"/>
      <c r="F90" s="246"/>
      <c r="G90" s="246"/>
      <c r="H90" s="246"/>
      <c r="I90" s="79"/>
      <c r="J90" s="79"/>
      <c r="K90" s="79"/>
      <c r="L90" s="79"/>
    </row>
    <row r="91">
      <c r="C91" s="79"/>
      <c r="D91" s="79"/>
      <c r="F91" s="247"/>
      <c r="G91" s="247"/>
      <c r="H91" s="247"/>
      <c r="I91" s="79"/>
      <c r="J91" s="79"/>
      <c r="K91" s="79"/>
      <c r="L91" s="79"/>
    </row>
    <row r="92">
      <c r="C92" s="79"/>
      <c r="D92" s="79"/>
      <c r="F92" s="247"/>
      <c r="G92" s="247"/>
      <c r="H92" s="247"/>
      <c r="I92" s="79"/>
      <c r="J92" s="79"/>
      <c r="K92" s="79"/>
      <c r="L92" s="79"/>
    </row>
    <row r="93">
      <c r="C93" s="79"/>
      <c r="D93" s="79"/>
      <c r="F93" s="247"/>
      <c r="G93" s="247"/>
      <c r="H93" s="247"/>
      <c r="I93" s="79"/>
      <c r="J93" s="79"/>
      <c r="K93" s="79"/>
      <c r="L93" s="79"/>
    </row>
    <row r="94">
      <c r="C94" s="79"/>
      <c r="D94" s="79"/>
      <c r="F94" s="247"/>
      <c r="G94" s="247"/>
      <c r="H94" s="247"/>
      <c r="I94" s="79"/>
      <c r="J94" s="79"/>
      <c r="K94" s="79"/>
      <c r="L94" s="79"/>
    </row>
    <row r="95">
      <c r="C95" s="79"/>
      <c r="D95" s="79"/>
      <c r="F95" s="247"/>
      <c r="G95" s="247"/>
      <c r="H95" s="247"/>
      <c r="I95" s="79"/>
      <c r="J95" s="79"/>
      <c r="K95" s="79"/>
      <c r="L95" s="79"/>
    </row>
    <row r="96">
      <c r="C96" s="79"/>
      <c r="D96" s="79"/>
      <c r="F96" s="247"/>
      <c r="G96" s="247"/>
      <c r="H96" s="247"/>
      <c r="I96" s="79"/>
      <c r="J96" s="79"/>
      <c r="K96" s="79"/>
      <c r="L96" s="79"/>
    </row>
    <row r="97">
      <c r="C97" s="79"/>
      <c r="D97" s="79"/>
      <c r="F97" s="247"/>
      <c r="G97" s="247"/>
      <c r="H97" s="247"/>
      <c r="I97" s="79"/>
      <c r="J97" s="79"/>
      <c r="K97" s="79"/>
      <c r="L97" s="79"/>
    </row>
    <row r="98">
      <c r="C98" s="79"/>
      <c r="D98" s="79"/>
      <c r="F98" s="247"/>
      <c r="G98" s="247"/>
      <c r="H98" s="247"/>
      <c r="I98" s="79"/>
      <c r="J98" s="79"/>
      <c r="K98" s="79"/>
      <c r="L98" s="79"/>
    </row>
    <row r="99">
      <c r="C99" s="79"/>
      <c r="D99" s="79"/>
      <c r="F99" s="247"/>
      <c r="G99" s="247"/>
      <c r="H99" s="247"/>
      <c r="I99" s="79"/>
      <c r="J99" s="79"/>
      <c r="K99" s="79"/>
      <c r="L99" s="79"/>
    </row>
    <row r="100">
      <c r="C100" s="79"/>
      <c r="D100" s="79"/>
      <c r="F100" s="247"/>
      <c r="G100" s="247"/>
      <c r="H100" s="247"/>
      <c r="I100" s="79"/>
      <c r="J100" s="79"/>
      <c r="K100" s="79"/>
      <c r="L100" s="79"/>
    </row>
    <row r="101">
      <c r="C101" s="79"/>
      <c r="D101" s="79"/>
      <c r="F101" s="247"/>
      <c r="G101" s="247"/>
      <c r="H101" s="247"/>
      <c r="I101" s="79"/>
      <c r="J101" s="79"/>
      <c r="K101" s="79"/>
      <c r="L101" s="79"/>
    </row>
    <row r="102">
      <c r="C102" s="79"/>
      <c r="D102" s="79"/>
      <c r="F102" s="247"/>
      <c r="G102" s="247"/>
      <c r="H102" s="247"/>
      <c r="I102" s="79"/>
      <c r="J102" s="79"/>
      <c r="K102" s="79"/>
      <c r="L102" s="79"/>
    </row>
    <row r="103">
      <c r="C103" s="79"/>
      <c r="D103" s="79"/>
      <c r="F103" s="247"/>
      <c r="G103" s="247"/>
      <c r="H103" s="247"/>
      <c r="I103" s="79"/>
      <c r="J103" s="79"/>
      <c r="K103" s="79"/>
      <c r="L103" s="79"/>
    </row>
    <row r="104">
      <c r="C104" s="79"/>
      <c r="D104" s="79"/>
      <c r="F104" s="247"/>
      <c r="G104" s="247"/>
      <c r="H104" s="247"/>
      <c r="I104" s="79"/>
      <c r="J104" s="79"/>
      <c r="K104" s="79"/>
      <c r="L104" s="79"/>
    </row>
    <row r="105">
      <c r="C105" s="79"/>
      <c r="D105" s="79"/>
      <c r="F105" s="247"/>
      <c r="G105" s="247"/>
      <c r="H105" s="247"/>
      <c r="I105" s="79"/>
      <c r="J105" s="79"/>
      <c r="K105" s="79"/>
      <c r="L105" s="79"/>
    </row>
    <row r="106">
      <c r="C106" s="79"/>
      <c r="D106" s="79"/>
      <c r="F106" s="247"/>
      <c r="G106" s="247"/>
      <c r="H106" s="247"/>
      <c r="I106" s="79"/>
      <c r="J106" s="79"/>
      <c r="K106" s="79"/>
      <c r="L106" s="79"/>
    </row>
    <row r="107">
      <c r="C107" s="79"/>
      <c r="D107" s="79"/>
      <c r="F107" s="247"/>
      <c r="G107" s="247"/>
      <c r="H107" s="247"/>
      <c r="I107" s="79"/>
      <c r="J107" s="79"/>
      <c r="K107" s="79"/>
      <c r="L107" s="79"/>
    </row>
    <row r="108">
      <c r="C108" s="79"/>
      <c r="D108" s="79"/>
      <c r="F108" s="247"/>
      <c r="G108" s="247"/>
      <c r="H108" s="247"/>
      <c r="I108" s="79"/>
      <c r="J108" s="79"/>
      <c r="K108" s="79"/>
      <c r="L108" s="79"/>
    </row>
    <row r="109">
      <c r="C109" s="79"/>
      <c r="D109" s="79"/>
      <c r="F109" s="247"/>
      <c r="G109" s="247"/>
      <c r="H109" s="247"/>
      <c r="I109" s="79"/>
      <c r="J109" s="79"/>
      <c r="K109" s="79"/>
      <c r="L109" s="79"/>
    </row>
    <row r="110">
      <c r="C110" s="79"/>
      <c r="D110" s="79"/>
      <c r="F110" s="247"/>
      <c r="G110" s="247"/>
      <c r="H110" s="247"/>
      <c r="I110" s="79"/>
      <c r="J110" s="79"/>
      <c r="K110" s="79"/>
      <c r="L110" s="79"/>
    </row>
    <row r="111">
      <c r="C111" s="79"/>
      <c r="D111" s="79"/>
      <c r="F111" s="247"/>
      <c r="G111" s="247"/>
      <c r="H111" s="247"/>
      <c r="I111" s="79"/>
      <c r="J111" s="79"/>
      <c r="K111" s="79"/>
      <c r="L111" s="79"/>
    </row>
    <row r="112">
      <c r="C112" s="79"/>
      <c r="D112" s="79"/>
      <c r="F112" s="247"/>
      <c r="G112" s="247"/>
      <c r="H112" s="247"/>
      <c r="I112" s="79"/>
      <c r="J112" s="79"/>
      <c r="K112" s="79"/>
      <c r="L112" s="79"/>
    </row>
    <row r="113">
      <c r="C113" s="79"/>
      <c r="D113" s="79"/>
      <c r="F113" s="247"/>
      <c r="G113" s="247"/>
      <c r="H113" s="247"/>
      <c r="I113" s="79"/>
      <c r="J113" s="79"/>
      <c r="K113" s="79"/>
      <c r="L113" s="79"/>
    </row>
    <row r="114">
      <c r="C114" s="79"/>
      <c r="D114" s="79"/>
      <c r="E114" s="79"/>
      <c r="F114" s="79"/>
      <c r="G114" s="79"/>
      <c r="H114" s="79"/>
      <c r="I114" s="79"/>
      <c r="J114" s="79"/>
      <c r="K114" s="79"/>
      <c r="L114" s="79"/>
    </row>
    <row r="115">
      <c r="C115" s="79"/>
      <c r="D115" s="79"/>
      <c r="E115" s="79"/>
      <c r="F115" s="79"/>
      <c r="G115" s="79"/>
      <c r="H115" s="79"/>
      <c r="I115" s="79"/>
      <c r="J115" s="79"/>
      <c r="K115" s="79"/>
      <c r="L115" s="79"/>
    </row>
    <row r="116">
      <c r="C116" s="79"/>
      <c r="D116" s="79"/>
      <c r="E116" s="79"/>
      <c r="F116" s="79"/>
      <c r="G116" s="79"/>
      <c r="H116" s="79"/>
      <c r="I116" s="79"/>
      <c r="J116" s="79"/>
      <c r="K116" s="79"/>
      <c r="L116" s="79"/>
    </row>
    <row r="117">
      <c r="C117" s="79"/>
      <c r="D117" s="79"/>
      <c r="E117" s="79"/>
      <c r="F117" s="79"/>
      <c r="G117" s="79"/>
      <c r="H117" s="79"/>
      <c r="I117" s="79"/>
      <c r="J117" s="79"/>
      <c r="K117" s="79"/>
      <c r="L117" s="79"/>
    </row>
    <row r="118">
      <c r="C118" s="79"/>
      <c r="D118" s="79"/>
      <c r="E118" s="79"/>
      <c r="F118" s="79"/>
      <c r="G118" s="79"/>
      <c r="H118" s="79"/>
      <c r="I118" s="79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79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79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79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79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79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79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79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79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79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79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79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79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79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79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79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79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79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79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79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79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79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79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79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79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79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79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79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79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79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79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79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79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79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79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79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79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79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79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79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79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56" t="s">
        <v>7</v>
      </c>
      <c r="J1" s="1" t="s">
        <v>8</v>
      </c>
      <c r="K1" s="1" t="s">
        <v>9</v>
      </c>
      <c r="L1" s="147" t="s">
        <v>10</v>
      </c>
    </row>
    <row r="2" ht="22.5" customHeight="1">
      <c r="A2" s="5" t="s">
        <v>11</v>
      </c>
      <c r="B2" s="5" t="s">
        <v>15</v>
      </c>
      <c r="C2" s="22">
        <v>373.0</v>
      </c>
      <c r="D2" s="22">
        <v>1.0</v>
      </c>
      <c r="E2" s="23">
        <v>0.0027</v>
      </c>
      <c r="F2" s="24" t="s">
        <v>911</v>
      </c>
      <c r="G2" s="22">
        <v>9.0</v>
      </c>
      <c r="H2" s="23">
        <v>0.0241</v>
      </c>
      <c r="I2" s="26" t="s">
        <v>912</v>
      </c>
      <c r="J2" s="22">
        <v>64.0</v>
      </c>
      <c r="K2" s="23">
        <v>0.2192</v>
      </c>
      <c r="L2" s="127">
        <f>100-10.06</f>
        <v>89.94</v>
      </c>
    </row>
    <row r="3" ht="22.5" customHeight="1">
      <c r="A3" s="5" t="s">
        <v>11</v>
      </c>
      <c r="B3" s="5" t="s">
        <v>13</v>
      </c>
      <c r="C3" s="22">
        <v>1099.0</v>
      </c>
      <c r="D3" s="22">
        <v>3.0</v>
      </c>
      <c r="E3" s="23">
        <v>0.0027</v>
      </c>
      <c r="F3" s="24" t="s">
        <v>913</v>
      </c>
      <c r="G3" s="22">
        <v>32.0</v>
      </c>
      <c r="H3" s="23">
        <v>0.03</v>
      </c>
      <c r="I3" s="26" t="s">
        <v>914</v>
      </c>
      <c r="J3" s="22">
        <v>89.0</v>
      </c>
      <c r="K3" s="23">
        <v>0.0904</v>
      </c>
      <c r="L3" s="127">
        <f>100-3.15</f>
        <v>96.85</v>
      </c>
    </row>
    <row r="4" ht="22.5" customHeight="1">
      <c r="A4" s="5" t="s">
        <v>11</v>
      </c>
      <c r="B4" s="5" t="s">
        <v>27</v>
      </c>
      <c r="C4" s="22">
        <v>573.0</v>
      </c>
      <c r="D4" s="22">
        <v>1.0</v>
      </c>
      <c r="E4" s="23">
        <v>0.0017</v>
      </c>
      <c r="F4" s="24" t="s">
        <v>915</v>
      </c>
      <c r="G4" s="22">
        <v>10.0</v>
      </c>
      <c r="H4" s="23">
        <v>0.0192</v>
      </c>
      <c r="I4" s="26" t="s">
        <v>916</v>
      </c>
      <c r="J4" s="22">
        <v>65.0</v>
      </c>
      <c r="K4" s="23">
        <v>0.1366</v>
      </c>
      <c r="L4" s="13">
        <f>100-3.68</f>
        <v>96.32</v>
      </c>
    </row>
    <row r="5" ht="22.5" customHeight="1">
      <c r="A5" s="5" t="s">
        <v>11</v>
      </c>
      <c r="B5" s="5" t="s">
        <v>33</v>
      </c>
      <c r="C5" s="22">
        <v>673.0</v>
      </c>
      <c r="D5" s="22">
        <v>2.0</v>
      </c>
      <c r="E5" s="23">
        <v>0.003</v>
      </c>
      <c r="F5" s="24" t="s">
        <v>128</v>
      </c>
      <c r="G5" s="22">
        <v>7.0</v>
      </c>
      <c r="H5" s="23">
        <v>0.0104</v>
      </c>
      <c r="I5" s="26" t="s">
        <v>917</v>
      </c>
      <c r="J5" s="22">
        <v>135.0</v>
      </c>
      <c r="K5" s="23">
        <v>0.2459</v>
      </c>
      <c r="L5" s="127">
        <f>100-2.42</f>
        <v>97.58</v>
      </c>
    </row>
    <row r="6" ht="22.5" customHeight="1">
      <c r="A6" s="5" t="s">
        <v>11</v>
      </c>
      <c r="B6" s="5" t="s">
        <v>918</v>
      </c>
      <c r="C6" s="257">
        <v>19.0</v>
      </c>
      <c r="D6" s="257">
        <v>2.0</v>
      </c>
      <c r="E6" s="258">
        <v>0.0952</v>
      </c>
      <c r="F6" s="259" t="s">
        <v>277</v>
      </c>
      <c r="G6" s="257">
        <v>0.0</v>
      </c>
      <c r="H6" s="257" t="s">
        <v>17</v>
      </c>
      <c r="I6" s="260"/>
      <c r="J6" s="257">
        <v>1.0</v>
      </c>
      <c r="K6" s="258">
        <v>0.1</v>
      </c>
      <c r="L6" s="64">
        <v>97.97</v>
      </c>
    </row>
    <row r="7" ht="22.5" customHeight="1">
      <c r="A7" s="5" t="s">
        <v>11</v>
      </c>
      <c r="B7" s="5" t="s">
        <v>19</v>
      </c>
      <c r="C7" s="22">
        <v>1033.0</v>
      </c>
      <c r="D7" s="22">
        <v>4.0</v>
      </c>
      <c r="E7" s="23">
        <v>0.0039</v>
      </c>
      <c r="F7" s="24" t="s">
        <v>919</v>
      </c>
      <c r="G7" s="22">
        <v>12.0</v>
      </c>
      <c r="H7" s="23">
        <v>0.0116</v>
      </c>
      <c r="I7" s="26" t="s">
        <v>920</v>
      </c>
      <c r="J7" s="22">
        <v>115.0</v>
      </c>
      <c r="K7" s="23">
        <v>0.1255</v>
      </c>
      <c r="L7" s="127">
        <f>100-2.29</f>
        <v>97.71</v>
      </c>
    </row>
    <row r="8" ht="22.5" customHeight="1">
      <c r="A8" s="5" t="s">
        <v>11</v>
      </c>
      <c r="B8" s="5" t="s">
        <v>46</v>
      </c>
      <c r="C8" s="22">
        <v>69.0</v>
      </c>
      <c r="D8" s="22">
        <v>4.0</v>
      </c>
      <c r="E8" s="23">
        <v>0.0548</v>
      </c>
      <c r="F8" s="24" t="s">
        <v>921</v>
      </c>
      <c r="G8" s="22">
        <v>2.0</v>
      </c>
      <c r="H8" s="23">
        <v>0.029</v>
      </c>
      <c r="I8" s="26" t="s">
        <v>922</v>
      </c>
      <c r="J8" s="22">
        <v>5.0</v>
      </c>
      <c r="K8" s="23">
        <v>0.0794</v>
      </c>
      <c r="L8" s="13">
        <f>100-24.75</f>
        <v>75.25</v>
      </c>
    </row>
    <row r="9" ht="22.5" customHeight="1">
      <c r="A9" s="5" t="s">
        <v>11</v>
      </c>
      <c r="B9" s="5" t="s">
        <v>50</v>
      </c>
      <c r="C9" s="22">
        <v>362.0</v>
      </c>
      <c r="D9" s="22">
        <v>5.0</v>
      </c>
      <c r="E9" s="23">
        <v>0.0136</v>
      </c>
      <c r="F9" s="24" t="s">
        <v>923</v>
      </c>
      <c r="G9" s="22">
        <v>12.0</v>
      </c>
      <c r="H9" s="23">
        <v>0.0331</v>
      </c>
      <c r="I9" s="26" t="s">
        <v>924</v>
      </c>
      <c r="J9" s="22">
        <v>38.0</v>
      </c>
      <c r="K9" s="23">
        <v>0.1348</v>
      </c>
      <c r="L9" s="13">
        <f>100-2.52</f>
        <v>97.48</v>
      </c>
    </row>
    <row r="10" ht="22.5" customHeight="1">
      <c r="A10" s="5" t="s">
        <v>11</v>
      </c>
      <c r="B10" s="5" t="s">
        <v>58</v>
      </c>
      <c r="C10" s="22">
        <v>507.0</v>
      </c>
      <c r="D10" s="22" t="s">
        <v>17</v>
      </c>
      <c r="E10" s="22" t="s">
        <v>17</v>
      </c>
      <c r="F10" s="24" t="s">
        <v>17</v>
      </c>
      <c r="G10" s="22">
        <v>23.0</v>
      </c>
      <c r="H10" s="23">
        <v>0.0454</v>
      </c>
      <c r="I10" s="26" t="s">
        <v>925</v>
      </c>
      <c r="J10" s="22">
        <v>40.0</v>
      </c>
      <c r="K10" s="23">
        <v>0.0864</v>
      </c>
      <c r="L10" s="13">
        <v>100.0</v>
      </c>
      <c r="M10" s="154"/>
    </row>
    <row r="11" ht="22.5" customHeight="1">
      <c r="A11" s="5" t="s">
        <v>11</v>
      </c>
      <c r="B11" s="5" t="s">
        <v>64</v>
      </c>
      <c r="C11" s="22">
        <v>367.0</v>
      </c>
      <c r="D11" s="22" t="s">
        <v>17</v>
      </c>
      <c r="E11" s="22" t="s">
        <v>17</v>
      </c>
      <c r="F11" s="24" t="s">
        <v>17</v>
      </c>
      <c r="G11" s="22">
        <v>1.0</v>
      </c>
      <c r="H11" s="23">
        <v>0.0027</v>
      </c>
      <c r="I11" s="26" t="s">
        <v>926</v>
      </c>
      <c r="J11" s="22">
        <v>25.0</v>
      </c>
      <c r="K11" s="23">
        <v>0.0791</v>
      </c>
      <c r="L11" s="127">
        <f>100-0.85</f>
        <v>99.15</v>
      </c>
      <c r="M11" s="155"/>
    </row>
    <row r="12" ht="22.5" customHeight="1">
      <c r="A12" s="5" t="s">
        <v>11</v>
      </c>
      <c r="B12" s="5" t="s">
        <v>71</v>
      </c>
      <c r="C12" s="22">
        <v>433.0</v>
      </c>
      <c r="D12" s="22" t="s">
        <v>17</v>
      </c>
      <c r="E12" s="23" t="s">
        <v>17</v>
      </c>
      <c r="F12" s="24" t="s">
        <v>17</v>
      </c>
      <c r="G12" s="22">
        <v>8.0</v>
      </c>
      <c r="H12" s="23">
        <v>0.0185</v>
      </c>
      <c r="I12" s="26" t="s">
        <v>927</v>
      </c>
      <c r="J12" s="22">
        <v>36.0</v>
      </c>
      <c r="K12" s="23">
        <v>0.1014</v>
      </c>
      <c r="L12" s="127">
        <f>100-2.37</f>
        <v>97.63</v>
      </c>
      <c r="M12" s="155"/>
    </row>
    <row r="13" ht="22.5" customHeight="1">
      <c r="A13" s="5" t="s">
        <v>11</v>
      </c>
      <c r="B13" s="5" t="s">
        <v>77</v>
      </c>
      <c r="C13" s="22">
        <v>363.0</v>
      </c>
      <c r="D13" s="22">
        <v>3.0</v>
      </c>
      <c r="E13" s="23">
        <v>0.0082</v>
      </c>
      <c r="F13" s="24" t="s">
        <v>928</v>
      </c>
      <c r="G13" s="22">
        <v>11.0</v>
      </c>
      <c r="H13" s="23">
        <v>0.0303</v>
      </c>
      <c r="I13" s="26" t="s">
        <v>929</v>
      </c>
      <c r="J13" s="22">
        <v>52.0</v>
      </c>
      <c r="K13" s="23">
        <v>0.1651</v>
      </c>
      <c r="L13" s="127">
        <f>100-6.51</f>
        <v>93.49</v>
      </c>
      <c r="M13" s="155"/>
    </row>
    <row r="14" ht="22.5" customHeight="1">
      <c r="A14" s="5" t="s">
        <v>11</v>
      </c>
      <c r="B14" s="5" t="s">
        <v>82</v>
      </c>
      <c r="C14" s="22">
        <v>383.0</v>
      </c>
      <c r="D14" s="22">
        <v>1.0</v>
      </c>
      <c r="E14" s="23">
        <v>0.0026</v>
      </c>
      <c r="F14" s="24" t="s">
        <v>930</v>
      </c>
      <c r="G14" s="22">
        <v>5.0</v>
      </c>
      <c r="H14" s="23">
        <v>0.0131</v>
      </c>
      <c r="I14" s="26" t="s">
        <v>931</v>
      </c>
      <c r="J14" s="22">
        <v>31.0</v>
      </c>
      <c r="K14" s="23">
        <v>0.0931</v>
      </c>
      <c r="L14" s="127">
        <f>100-2.6</f>
        <v>97.4</v>
      </c>
      <c r="M14" s="155"/>
    </row>
    <row r="15" ht="22.5" customHeight="1">
      <c r="A15" s="5" t="s">
        <v>11</v>
      </c>
      <c r="B15" s="5" t="s">
        <v>90</v>
      </c>
      <c r="C15" s="22">
        <v>418.0</v>
      </c>
      <c r="D15" s="22">
        <v>1.0</v>
      </c>
      <c r="E15" s="23">
        <v>0.0024</v>
      </c>
      <c r="F15" s="24" t="s">
        <v>277</v>
      </c>
      <c r="G15" s="22">
        <v>10.0</v>
      </c>
      <c r="H15" s="23">
        <v>0.0239</v>
      </c>
      <c r="I15" s="26" t="s">
        <v>932</v>
      </c>
      <c r="J15" s="22">
        <v>25.0</v>
      </c>
      <c r="K15" s="23">
        <v>0.0665</v>
      </c>
      <c r="L15" s="127">
        <f>100-3.12</f>
        <v>96.88</v>
      </c>
      <c r="M15" s="155"/>
    </row>
    <row r="16" ht="22.5" customHeight="1">
      <c r="A16" s="5" t="s">
        <v>11</v>
      </c>
      <c r="B16" s="5" t="s">
        <v>94</v>
      </c>
      <c r="C16" s="22">
        <v>342.0</v>
      </c>
      <c r="D16" s="22" t="s">
        <v>17</v>
      </c>
      <c r="E16" s="22" t="s">
        <v>17</v>
      </c>
      <c r="F16" s="24" t="s">
        <v>17</v>
      </c>
      <c r="G16" s="22">
        <v>5.0</v>
      </c>
      <c r="H16" s="23">
        <v>0.0146</v>
      </c>
      <c r="I16" s="26" t="s">
        <v>933</v>
      </c>
      <c r="J16" s="22">
        <v>25.0</v>
      </c>
      <c r="K16" s="23">
        <v>0.0909</v>
      </c>
      <c r="L16" s="127">
        <f>100-2.32</f>
        <v>97.68</v>
      </c>
      <c r="M16" s="155"/>
    </row>
    <row r="17" ht="22.5" customHeight="1">
      <c r="A17" s="5" t="s">
        <v>11</v>
      </c>
      <c r="B17" s="5" t="s">
        <v>39</v>
      </c>
      <c r="C17" s="22">
        <v>664.0</v>
      </c>
      <c r="D17" s="22">
        <v>7.0</v>
      </c>
      <c r="E17" s="23">
        <v>0.0104</v>
      </c>
      <c r="F17" s="24" t="s">
        <v>934</v>
      </c>
      <c r="G17" s="22">
        <v>19.0</v>
      </c>
      <c r="H17" s="23">
        <v>0.0286</v>
      </c>
      <c r="I17" s="26" t="s">
        <v>935</v>
      </c>
      <c r="J17" s="22">
        <v>103.0</v>
      </c>
      <c r="K17" s="23">
        <v>0.1722</v>
      </c>
      <c r="L17" s="13">
        <f>100-12.34</f>
        <v>87.66</v>
      </c>
      <c r="M17" s="155"/>
    </row>
    <row r="18" ht="22.5" customHeight="1">
      <c r="A18" s="5" t="s">
        <v>11</v>
      </c>
      <c r="B18" s="5" t="s">
        <v>104</v>
      </c>
      <c r="C18" s="22">
        <v>152.0</v>
      </c>
      <c r="D18" s="22">
        <v>1.0</v>
      </c>
      <c r="E18" s="23">
        <v>0.0065</v>
      </c>
      <c r="F18" s="24" t="s">
        <v>936</v>
      </c>
      <c r="G18" s="22">
        <v>0.0</v>
      </c>
      <c r="H18" s="22" t="s">
        <v>17</v>
      </c>
      <c r="I18" s="261"/>
      <c r="J18" s="262"/>
      <c r="K18" s="263"/>
      <c r="L18" s="13">
        <f>100</f>
        <v>100</v>
      </c>
      <c r="M18" s="155"/>
    </row>
    <row r="19" ht="22.5" customHeight="1">
      <c r="A19" s="5" t="s">
        <v>11</v>
      </c>
      <c r="B19" s="5" t="s">
        <v>59</v>
      </c>
      <c r="C19" s="22">
        <v>439.0</v>
      </c>
      <c r="D19" s="22" t="s">
        <v>17</v>
      </c>
      <c r="E19" s="23" t="s">
        <v>17</v>
      </c>
      <c r="F19" s="24" t="s">
        <v>17</v>
      </c>
      <c r="G19" s="22">
        <v>10.0</v>
      </c>
      <c r="H19" s="23">
        <v>0.0228</v>
      </c>
      <c r="I19" s="26" t="s">
        <v>937</v>
      </c>
      <c r="J19" s="22">
        <v>44.0</v>
      </c>
      <c r="K19" s="23">
        <v>0.1103</v>
      </c>
      <c r="L19" s="127">
        <f>100-7.57</f>
        <v>92.43</v>
      </c>
      <c r="M19" s="155"/>
    </row>
    <row r="20" ht="22.5" customHeight="1">
      <c r="A20" s="5" t="s">
        <v>11</v>
      </c>
      <c r="B20" s="5" t="s">
        <v>114</v>
      </c>
      <c r="C20" s="22">
        <v>566.0</v>
      </c>
      <c r="D20" s="22">
        <v>1.0</v>
      </c>
      <c r="E20" s="23">
        <v>0.0018</v>
      </c>
      <c r="F20" s="24" t="s">
        <v>277</v>
      </c>
      <c r="G20" s="22">
        <v>14.0</v>
      </c>
      <c r="H20" s="23">
        <v>0.0247</v>
      </c>
      <c r="I20" s="26" t="s">
        <v>938</v>
      </c>
      <c r="J20" s="22">
        <v>58.0</v>
      </c>
      <c r="K20" s="23">
        <v>0.1231</v>
      </c>
      <c r="L20" s="127">
        <f>100-2.29</f>
        <v>97.71</v>
      </c>
      <c r="M20" s="155"/>
    </row>
    <row r="21" ht="22.5" customHeight="1">
      <c r="A21" s="5" t="s">
        <v>11</v>
      </c>
      <c r="B21" s="5" t="s">
        <v>119</v>
      </c>
      <c r="C21" s="22">
        <v>357.0</v>
      </c>
      <c r="D21" s="22" t="s">
        <v>17</v>
      </c>
      <c r="E21" s="23" t="s">
        <v>17</v>
      </c>
      <c r="F21" s="24" t="s">
        <v>17</v>
      </c>
      <c r="G21" s="22">
        <v>20.0</v>
      </c>
      <c r="H21" s="23">
        <v>0.056</v>
      </c>
      <c r="I21" s="26" t="s">
        <v>939</v>
      </c>
      <c r="J21" s="22">
        <v>56.0</v>
      </c>
      <c r="K21" s="23">
        <v>0.2066</v>
      </c>
      <c r="L21" s="127">
        <f>100-9.7</f>
        <v>90.3</v>
      </c>
      <c r="M21" s="155"/>
    </row>
    <row r="22" ht="22.5" customHeight="1">
      <c r="A22" s="5" t="s">
        <v>11</v>
      </c>
      <c r="B22" s="5" t="s">
        <v>126</v>
      </c>
      <c r="C22" s="22">
        <v>254.0</v>
      </c>
      <c r="D22" s="22">
        <v>6.0</v>
      </c>
      <c r="E22" s="23">
        <v>0.0231</v>
      </c>
      <c r="F22" s="24" t="s">
        <v>940</v>
      </c>
      <c r="G22" s="22">
        <v>5.0</v>
      </c>
      <c r="H22" s="23">
        <v>0.0197</v>
      </c>
      <c r="I22" s="26" t="s">
        <v>941</v>
      </c>
      <c r="J22" s="22">
        <v>31.0</v>
      </c>
      <c r="K22" s="23">
        <v>0.1281</v>
      </c>
      <c r="L22" s="127">
        <f>100-12.93</f>
        <v>87.07</v>
      </c>
      <c r="M22" s="155"/>
    </row>
    <row r="23" ht="22.5" customHeight="1">
      <c r="A23" s="5" t="s">
        <v>11</v>
      </c>
      <c r="B23" s="5" t="s">
        <v>136</v>
      </c>
      <c r="C23" s="22">
        <v>224.0</v>
      </c>
      <c r="D23" s="22" t="s">
        <v>17</v>
      </c>
      <c r="E23" s="22" t="s">
        <v>17</v>
      </c>
      <c r="F23" s="24" t="s">
        <v>17</v>
      </c>
      <c r="G23" s="22">
        <v>3.0</v>
      </c>
      <c r="H23" s="23">
        <v>0.0134</v>
      </c>
      <c r="I23" s="26" t="s">
        <v>942</v>
      </c>
      <c r="J23" s="22">
        <v>24.0</v>
      </c>
      <c r="K23" s="23">
        <v>0.1257</v>
      </c>
      <c r="L23" s="127">
        <f>100-0.93</f>
        <v>99.07</v>
      </c>
      <c r="M23" s="155"/>
    </row>
    <row r="24" ht="22.5" customHeight="1">
      <c r="A24" s="5" t="s">
        <v>11</v>
      </c>
      <c r="B24" s="5" t="s">
        <v>72</v>
      </c>
      <c r="C24" s="22">
        <v>462.0</v>
      </c>
      <c r="D24" s="22" t="s">
        <v>17</v>
      </c>
      <c r="E24" s="23" t="s">
        <v>17</v>
      </c>
      <c r="F24" s="24" t="s">
        <v>17</v>
      </c>
      <c r="G24" s="22">
        <v>5.0</v>
      </c>
      <c r="H24" s="23">
        <v>0.0108</v>
      </c>
      <c r="I24" s="26" t="s">
        <v>943</v>
      </c>
      <c r="J24" s="22">
        <v>79.0</v>
      </c>
      <c r="K24" s="23">
        <v>0.2095</v>
      </c>
      <c r="L24" s="13">
        <f>100-0.91</f>
        <v>99.09</v>
      </c>
      <c r="M24" s="155"/>
    </row>
    <row r="25" ht="22.5" customHeight="1">
      <c r="A25" s="5" t="s">
        <v>11</v>
      </c>
      <c r="B25" s="5" t="s">
        <v>145</v>
      </c>
      <c r="C25" s="22">
        <v>535.0</v>
      </c>
      <c r="D25" s="22">
        <v>1.0</v>
      </c>
      <c r="E25" s="23">
        <v>0.0019</v>
      </c>
      <c r="F25" s="24" t="s">
        <v>944</v>
      </c>
      <c r="G25" s="22">
        <v>5.0</v>
      </c>
      <c r="H25" s="23">
        <v>0.0093</v>
      </c>
      <c r="I25" s="26" t="s">
        <v>945</v>
      </c>
      <c r="J25" s="22">
        <v>35.0</v>
      </c>
      <c r="K25" s="23">
        <v>0.0766</v>
      </c>
      <c r="L25" s="127">
        <f>100-3.3</f>
        <v>96.7</v>
      </c>
      <c r="M25" s="155"/>
    </row>
    <row r="26" ht="22.5" customHeight="1">
      <c r="A26" s="5" t="s">
        <v>11</v>
      </c>
      <c r="B26" s="5" t="s">
        <v>85</v>
      </c>
      <c r="C26" s="22">
        <v>261.0</v>
      </c>
      <c r="D26" s="22">
        <v>2.0</v>
      </c>
      <c r="E26" s="23">
        <v>0.0076</v>
      </c>
      <c r="F26" s="24" t="s">
        <v>948</v>
      </c>
      <c r="G26" s="22">
        <v>17.0</v>
      </c>
      <c r="H26" s="23">
        <v>0.0651</v>
      </c>
      <c r="I26" s="26" t="s">
        <v>949</v>
      </c>
      <c r="J26" s="22">
        <v>25.0</v>
      </c>
      <c r="K26" s="23">
        <v>0.1106</v>
      </c>
      <c r="L26" s="127">
        <f>100-1.24</f>
        <v>98.76</v>
      </c>
      <c r="M26" s="155"/>
    </row>
    <row r="27" ht="22.5" customHeight="1">
      <c r="A27" s="5" t="s">
        <v>11</v>
      </c>
      <c r="B27" s="35" t="s">
        <v>79</v>
      </c>
      <c r="C27" s="22">
        <v>418.0</v>
      </c>
      <c r="D27" s="22" t="s">
        <v>17</v>
      </c>
      <c r="E27" s="23" t="s">
        <v>17</v>
      </c>
      <c r="F27" s="24" t="s">
        <v>17</v>
      </c>
      <c r="G27" s="22">
        <v>8.0</v>
      </c>
      <c r="H27" s="23">
        <v>0.0191</v>
      </c>
      <c r="I27" s="26" t="s">
        <v>952</v>
      </c>
      <c r="J27" s="22">
        <v>54.0</v>
      </c>
      <c r="K27" s="23">
        <v>0.1406</v>
      </c>
      <c r="L27" s="127">
        <f>100-0.6</f>
        <v>99.4</v>
      </c>
      <c r="M27" s="155"/>
    </row>
    <row r="28" ht="22.5" customHeight="1">
      <c r="A28" s="5" t="s">
        <v>11</v>
      </c>
      <c r="B28" s="5" t="s">
        <v>109</v>
      </c>
      <c r="C28" s="22">
        <v>467.0</v>
      </c>
      <c r="D28" s="22">
        <v>1.0</v>
      </c>
      <c r="E28" s="23">
        <v>0.0021</v>
      </c>
      <c r="F28" s="24" t="s">
        <v>41</v>
      </c>
      <c r="G28" s="22">
        <v>7.0</v>
      </c>
      <c r="H28" s="23">
        <v>0.015</v>
      </c>
      <c r="I28" s="26" t="s">
        <v>954</v>
      </c>
      <c r="J28" s="22">
        <v>18.0</v>
      </c>
      <c r="K28" s="23">
        <v>0.0434</v>
      </c>
      <c r="L28" s="127">
        <f>100-4.57</f>
        <v>95.43</v>
      </c>
      <c r="M28" s="155"/>
    </row>
    <row r="29" ht="22.5" customHeight="1">
      <c r="A29" s="5" t="s">
        <v>11</v>
      </c>
      <c r="B29" s="5" t="s">
        <v>49</v>
      </c>
      <c r="C29" s="22">
        <v>603.0</v>
      </c>
      <c r="D29" s="22">
        <v>3.0</v>
      </c>
      <c r="E29" s="23">
        <v>0.005</v>
      </c>
      <c r="F29" s="24" t="s">
        <v>957</v>
      </c>
      <c r="G29" s="22">
        <v>12.0</v>
      </c>
      <c r="H29" s="23">
        <v>0.0199</v>
      </c>
      <c r="I29" s="26" t="s">
        <v>959</v>
      </c>
      <c r="J29" s="22">
        <v>43.0</v>
      </c>
      <c r="K29" s="23">
        <v>0.0793</v>
      </c>
      <c r="L29" s="13">
        <f>100-2.5</f>
        <v>97.5</v>
      </c>
      <c r="M29" s="155"/>
    </row>
    <row r="30" ht="22.5" customHeight="1">
      <c r="A30" s="5" t="s">
        <v>11</v>
      </c>
      <c r="B30" s="5" t="s">
        <v>115</v>
      </c>
      <c r="C30" s="22">
        <v>388.0</v>
      </c>
      <c r="D30" s="22">
        <v>1.0</v>
      </c>
      <c r="E30" s="23">
        <v>0.0026</v>
      </c>
      <c r="F30" s="24" t="s">
        <v>962</v>
      </c>
      <c r="G30" s="22">
        <v>9.0</v>
      </c>
      <c r="H30" s="23">
        <v>0.0232</v>
      </c>
      <c r="I30" s="26" t="s">
        <v>963</v>
      </c>
      <c r="J30" s="22">
        <v>48.0</v>
      </c>
      <c r="K30" s="23">
        <v>0.1514</v>
      </c>
      <c r="L30" s="127">
        <f>100-7.31</f>
        <v>92.69</v>
      </c>
      <c r="M30" s="155"/>
    </row>
    <row r="31" ht="22.5" customHeight="1">
      <c r="A31" s="5" t="s">
        <v>11</v>
      </c>
      <c r="B31" s="5" t="s">
        <v>45</v>
      </c>
      <c r="C31" s="22">
        <v>661.0</v>
      </c>
      <c r="D31" s="22" t="s">
        <v>17</v>
      </c>
      <c r="E31" s="23" t="s">
        <v>17</v>
      </c>
      <c r="F31" s="24" t="s">
        <v>17</v>
      </c>
      <c r="G31" s="22">
        <v>9.0</v>
      </c>
      <c r="H31" s="23">
        <v>0.0136</v>
      </c>
      <c r="I31" s="26" t="s">
        <v>965</v>
      </c>
      <c r="J31" s="22">
        <v>63.0</v>
      </c>
      <c r="K31" s="23">
        <v>0.1068</v>
      </c>
      <c r="L31" s="13">
        <f>100-0.82</f>
        <v>99.18</v>
      </c>
      <c r="M31" s="155"/>
    </row>
    <row r="32" ht="22.5" customHeight="1">
      <c r="A32" s="5" t="s">
        <v>11</v>
      </c>
      <c r="B32" s="5" t="s">
        <v>170</v>
      </c>
      <c r="C32" s="22">
        <v>234.0</v>
      </c>
      <c r="D32" s="22" t="s">
        <v>17</v>
      </c>
      <c r="E32" s="22" t="s">
        <v>17</v>
      </c>
      <c r="F32" s="24" t="s">
        <v>17</v>
      </c>
      <c r="G32" s="22">
        <v>4.0</v>
      </c>
      <c r="H32" s="23">
        <v>0.0171</v>
      </c>
      <c r="I32" s="26" t="s">
        <v>968</v>
      </c>
      <c r="J32" s="22">
        <v>29.0</v>
      </c>
      <c r="K32" s="23">
        <v>0.1362</v>
      </c>
      <c r="L32" s="127">
        <f>100-15.92</f>
        <v>84.08</v>
      </c>
      <c r="M32" s="155"/>
    </row>
    <row r="33" ht="22.5" customHeight="1">
      <c r="A33" s="5" t="s">
        <v>11</v>
      </c>
      <c r="B33" s="5" t="s">
        <v>123</v>
      </c>
      <c r="C33" s="22">
        <v>412.0</v>
      </c>
      <c r="D33" s="22">
        <v>1.0</v>
      </c>
      <c r="E33" s="23">
        <v>0.0024</v>
      </c>
      <c r="F33" s="24" t="s">
        <v>970</v>
      </c>
      <c r="G33" s="22">
        <v>9.0</v>
      </c>
      <c r="H33" s="23">
        <v>0.0218</v>
      </c>
      <c r="I33" s="26" t="s">
        <v>971</v>
      </c>
      <c r="J33" s="22">
        <v>35.0</v>
      </c>
      <c r="K33" s="23">
        <v>0.1014</v>
      </c>
      <c r="L33" s="13">
        <f>100-2.71</f>
        <v>97.29</v>
      </c>
      <c r="M33" s="155"/>
    </row>
    <row r="34" ht="22.5" customHeight="1">
      <c r="A34" s="5" t="s">
        <v>11</v>
      </c>
      <c r="B34" s="5" t="s">
        <v>96</v>
      </c>
      <c r="C34" s="22">
        <v>308.0</v>
      </c>
      <c r="D34" s="22">
        <v>2.0</v>
      </c>
      <c r="E34" s="23">
        <v>0.0065</v>
      </c>
      <c r="F34" s="24" t="s">
        <v>973</v>
      </c>
      <c r="G34" s="22">
        <v>4.0</v>
      </c>
      <c r="H34" s="23">
        <v>0.013</v>
      </c>
      <c r="I34" s="26" t="s">
        <v>974</v>
      </c>
      <c r="J34" s="22">
        <v>13.0</v>
      </c>
      <c r="K34" s="23">
        <v>0.0496</v>
      </c>
      <c r="L34" s="127">
        <f>100</f>
        <v>100</v>
      </c>
      <c r="M34" s="155"/>
    </row>
    <row r="35" ht="22.5" customHeight="1">
      <c r="A35" s="5" t="s">
        <v>11</v>
      </c>
      <c r="B35" s="5" t="s">
        <v>156</v>
      </c>
      <c r="C35" s="22">
        <v>414.0</v>
      </c>
      <c r="D35" s="22">
        <v>4.0</v>
      </c>
      <c r="E35" s="23">
        <v>0.0096</v>
      </c>
      <c r="F35" s="24" t="s">
        <v>977</v>
      </c>
      <c r="G35" s="22">
        <v>7.0</v>
      </c>
      <c r="H35" s="23">
        <v>0.0169</v>
      </c>
      <c r="I35" s="26" t="s">
        <v>978</v>
      </c>
      <c r="J35" s="22">
        <v>22.0</v>
      </c>
      <c r="K35" s="23">
        <v>0.059</v>
      </c>
      <c r="L35" s="127">
        <f>100-3.16</f>
        <v>96.84</v>
      </c>
      <c r="M35" s="155"/>
    </row>
    <row r="36" ht="22.5" customHeight="1">
      <c r="A36" s="5" t="s">
        <v>11</v>
      </c>
      <c r="B36" s="5" t="s">
        <v>153</v>
      </c>
      <c r="C36" s="22">
        <v>320.0</v>
      </c>
      <c r="D36" s="22" t="s">
        <v>17</v>
      </c>
      <c r="E36" s="23" t="s">
        <v>17</v>
      </c>
      <c r="F36" s="24" t="s">
        <v>17</v>
      </c>
      <c r="G36" s="22">
        <v>14.0</v>
      </c>
      <c r="H36" s="23">
        <v>0.0438</v>
      </c>
      <c r="I36" s="26" t="s">
        <v>981</v>
      </c>
      <c r="J36" s="22">
        <v>21.0</v>
      </c>
      <c r="K36" s="23">
        <v>0.0709</v>
      </c>
      <c r="L36" s="13">
        <f>100</f>
        <v>100</v>
      </c>
      <c r="M36" s="155"/>
    </row>
    <row r="37" ht="22.5" customHeight="1">
      <c r="A37" s="5" t="s">
        <v>11</v>
      </c>
      <c r="B37" s="5" t="s">
        <v>159</v>
      </c>
      <c r="C37" s="22">
        <v>285.0</v>
      </c>
      <c r="D37" s="22" t="s">
        <v>17</v>
      </c>
      <c r="E37" s="23" t="s">
        <v>17</v>
      </c>
      <c r="F37" s="24" t="s">
        <v>17</v>
      </c>
      <c r="G37" s="22">
        <v>6.0</v>
      </c>
      <c r="H37" s="23">
        <v>0.0211</v>
      </c>
      <c r="I37" s="26" t="s">
        <v>984</v>
      </c>
      <c r="J37" s="22">
        <v>21.0</v>
      </c>
      <c r="K37" s="23">
        <v>0.0909</v>
      </c>
      <c r="L37" s="127">
        <f>100-7.58</f>
        <v>92.42</v>
      </c>
      <c r="M37" s="155"/>
    </row>
    <row r="38" ht="22.5" customHeight="1">
      <c r="A38" s="5" t="s">
        <v>11</v>
      </c>
      <c r="B38" s="5" t="s">
        <v>26</v>
      </c>
      <c r="C38" s="22">
        <v>829.0</v>
      </c>
      <c r="D38" s="22">
        <v>2.0</v>
      </c>
      <c r="E38" s="23">
        <v>0.0024</v>
      </c>
      <c r="F38" s="24" t="s">
        <v>986</v>
      </c>
      <c r="G38" s="22">
        <v>16.0</v>
      </c>
      <c r="H38" s="23">
        <v>0.0193</v>
      </c>
      <c r="I38" s="26" t="s">
        <v>988</v>
      </c>
      <c r="J38" s="22">
        <v>59.0</v>
      </c>
      <c r="K38" s="23">
        <v>0.0793</v>
      </c>
      <c r="L38" s="127">
        <f>100-1.81</f>
        <v>98.19</v>
      </c>
      <c r="M38" s="155"/>
    </row>
    <row r="39" ht="22.5" customHeight="1">
      <c r="A39" s="5" t="s">
        <v>11</v>
      </c>
      <c r="B39" s="5" t="s">
        <v>23</v>
      </c>
      <c r="C39" s="22">
        <v>890.0</v>
      </c>
      <c r="D39" s="22">
        <v>2.0</v>
      </c>
      <c r="E39" s="23">
        <v>0.0022</v>
      </c>
      <c r="F39" s="24" t="s">
        <v>911</v>
      </c>
      <c r="G39" s="22">
        <v>20.0</v>
      </c>
      <c r="H39" s="23">
        <v>0.0225</v>
      </c>
      <c r="I39" s="26" t="s">
        <v>990</v>
      </c>
      <c r="J39" s="22">
        <v>125.0</v>
      </c>
      <c r="K39" s="23">
        <v>0.1653</v>
      </c>
      <c r="L39" s="127">
        <f>100-0.9</f>
        <v>99.1</v>
      </c>
      <c r="M39" s="155"/>
    </row>
    <row r="40" ht="22.5" customHeight="1">
      <c r="A40" s="5" t="s">
        <v>11</v>
      </c>
      <c r="B40" s="5" t="s">
        <v>63</v>
      </c>
      <c r="C40" s="22">
        <v>19.0</v>
      </c>
      <c r="D40" s="22">
        <v>2.0</v>
      </c>
      <c r="E40" s="23">
        <v>0.0952</v>
      </c>
      <c r="F40" s="24" t="s">
        <v>277</v>
      </c>
      <c r="G40" s="22">
        <v>0.0</v>
      </c>
      <c r="H40" s="23" t="s">
        <v>17</v>
      </c>
      <c r="I40" s="261"/>
      <c r="J40" s="22">
        <v>1.0</v>
      </c>
      <c r="K40" s="23">
        <v>0.1</v>
      </c>
      <c r="L40" s="13">
        <f>100.004</f>
        <v>100.004</v>
      </c>
      <c r="M40" s="155"/>
    </row>
    <row r="41" ht="22.5" customHeight="1">
      <c r="A41" s="5" t="s">
        <v>185</v>
      </c>
      <c r="B41" s="5" t="s">
        <v>15</v>
      </c>
      <c r="C41" s="6">
        <v>40.0</v>
      </c>
      <c r="D41" s="47">
        <v>0.0</v>
      </c>
      <c r="E41" s="47" t="s">
        <v>258</v>
      </c>
      <c r="F41" s="28">
        <v>0.0</v>
      </c>
      <c r="G41" s="174">
        <v>3.0</v>
      </c>
      <c r="H41" s="174" t="s">
        <v>290</v>
      </c>
      <c r="I41" s="270">
        <v>27608.0</v>
      </c>
      <c r="J41" s="57">
        <v>16.0</v>
      </c>
      <c r="K41" s="6" t="s">
        <v>297</v>
      </c>
      <c r="L41" s="47" t="s">
        <v>994</v>
      </c>
      <c r="M41" s="155"/>
    </row>
    <row r="42" ht="22.5" customHeight="1">
      <c r="A42" s="5" t="s">
        <v>185</v>
      </c>
      <c r="B42" s="5" t="s">
        <v>13</v>
      </c>
      <c r="C42" s="201">
        <v>546.0</v>
      </c>
      <c r="D42" s="47">
        <v>0.0</v>
      </c>
      <c r="E42" s="47" t="s">
        <v>258</v>
      </c>
      <c r="F42" s="28">
        <v>0.0</v>
      </c>
      <c r="G42" s="174">
        <v>31.0</v>
      </c>
      <c r="H42" s="174" t="s">
        <v>996</v>
      </c>
      <c r="I42" s="174" t="s">
        <v>997</v>
      </c>
      <c r="J42" s="57">
        <v>163.0</v>
      </c>
      <c r="K42" s="47" t="s">
        <v>998</v>
      </c>
      <c r="L42" s="47" t="s">
        <v>863</v>
      </c>
      <c r="M42" s="155"/>
    </row>
    <row r="43" ht="22.5" customHeight="1">
      <c r="A43" s="5" t="s">
        <v>185</v>
      </c>
      <c r="B43" s="5" t="s">
        <v>27</v>
      </c>
      <c r="C43" s="13">
        <v>232.0</v>
      </c>
      <c r="D43" s="47">
        <v>0.0</v>
      </c>
      <c r="E43" s="47" t="s">
        <v>258</v>
      </c>
      <c r="F43" s="28">
        <v>0.0</v>
      </c>
      <c r="G43" s="174">
        <v>11.0</v>
      </c>
      <c r="H43" s="174" t="s">
        <v>415</v>
      </c>
      <c r="I43" s="174" t="s">
        <v>1001</v>
      </c>
      <c r="J43" s="57">
        <v>73.0</v>
      </c>
      <c r="K43" s="47" t="s">
        <v>1002</v>
      </c>
      <c r="L43" s="47" t="s">
        <v>1005</v>
      </c>
      <c r="M43" s="155"/>
    </row>
    <row r="44" ht="22.5" customHeight="1">
      <c r="A44" s="5" t="s">
        <v>185</v>
      </c>
      <c r="B44" s="5" t="s">
        <v>33</v>
      </c>
      <c r="C44" s="13">
        <v>261.0</v>
      </c>
      <c r="D44" s="47">
        <v>1.0</v>
      </c>
      <c r="E44" s="47" t="s">
        <v>600</v>
      </c>
      <c r="F44" s="28">
        <v>0.0</v>
      </c>
      <c r="G44" s="174">
        <v>9.0</v>
      </c>
      <c r="H44" s="174" t="s">
        <v>1007</v>
      </c>
      <c r="I44" s="174">
        <v>159384.0</v>
      </c>
      <c r="J44" s="57">
        <v>116.0</v>
      </c>
      <c r="K44" s="47" t="s">
        <v>1008</v>
      </c>
      <c r="L44" s="47" t="s">
        <v>1009</v>
      </c>
      <c r="M44" s="155"/>
    </row>
    <row r="45" ht="22.5" customHeight="1">
      <c r="A45" s="5" t="s">
        <v>185</v>
      </c>
      <c r="B45" s="5" t="s">
        <v>19</v>
      </c>
      <c r="C45" s="202">
        <v>414.0</v>
      </c>
      <c r="D45" s="47">
        <v>0.0</v>
      </c>
      <c r="E45" s="47" t="s">
        <v>258</v>
      </c>
      <c r="F45" s="28">
        <v>0.0</v>
      </c>
      <c r="G45" s="174">
        <v>12.0</v>
      </c>
      <c r="H45" s="174" t="s">
        <v>897</v>
      </c>
      <c r="I45" s="174">
        <v>206832.0</v>
      </c>
      <c r="J45" s="57">
        <v>168.0</v>
      </c>
      <c r="K45" s="47" t="s">
        <v>1012</v>
      </c>
      <c r="L45" s="47" t="s">
        <v>1013</v>
      </c>
      <c r="M45" s="155"/>
    </row>
    <row r="46" ht="22.5" customHeight="1">
      <c r="A46" s="5" t="s">
        <v>185</v>
      </c>
      <c r="B46" s="5" t="s">
        <v>58</v>
      </c>
      <c r="C46" s="13">
        <v>240.0</v>
      </c>
      <c r="D46" s="47">
        <v>0.0</v>
      </c>
      <c r="E46" s="47" t="s">
        <v>258</v>
      </c>
      <c r="F46" s="28">
        <v>0.0</v>
      </c>
      <c r="G46" s="174">
        <v>13.0</v>
      </c>
      <c r="H46" s="174" t="s">
        <v>1015</v>
      </c>
      <c r="I46" s="174" t="s">
        <v>1016</v>
      </c>
      <c r="J46" s="57">
        <v>132.0</v>
      </c>
      <c r="K46" s="47" t="s">
        <v>1017</v>
      </c>
      <c r="L46" s="47" t="s">
        <v>298</v>
      </c>
      <c r="M46" s="204"/>
    </row>
    <row r="47" ht="22.5" customHeight="1">
      <c r="A47" s="5" t="s">
        <v>185</v>
      </c>
      <c r="B47" s="5" t="s">
        <v>77</v>
      </c>
      <c r="C47" s="13">
        <v>125.0</v>
      </c>
      <c r="D47" s="47">
        <v>1.0</v>
      </c>
      <c r="E47" s="47" t="s">
        <v>1020</v>
      </c>
      <c r="F47" s="28">
        <v>0.0</v>
      </c>
      <c r="G47" s="174">
        <v>5.0</v>
      </c>
      <c r="H47" s="174" t="s">
        <v>719</v>
      </c>
      <c r="I47" s="174" t="s">
        <v>1021</v>
      </c>
      <c r="J47" s="57">
        <v>61.0</v>
      </c>
      <c r="K47" s="47" t="s">
        <v>1022</v>
      </c>
      <c r="L47" s="47" t="s">
        <v>740</v>
      </c>
      <c r="M47" s="155"/>
    </row>
    <row r="48" ht="22.5" customHeight="1">
      <c r="A48" s="5" t="s">
        <v>185</v>
      </c>
      <c r="B48" s="5" t="s">
        <v>82</v>
      </c>
      <c r="C48" s="13">
        <v>168.0</v>
      </c>
      <c r="D48" s="47">
        <v>0.0</v>
      </c>
      <c r="E48" s="47" t="s">
        <v>258</v>
      </c>
      <c r="F48" s="28">
        <v>0.0</v>
      </c>
      <c r="G48" s="174">
        <v>8.0</v>
      </c>
      <c r="H48" s="174" t="s">
        <v>1024</v>
      </c>
      <c r="I48" s="174" t="s">
        <v>1025</v>
      </c>
      <c r="J48" s="57">
        <v>37.0</v>
      </c>
      <c r="K48" s="47" t="s">
        <v>1026</v>
      </c>
      <c r="L48" s="47" t="s">
        <v>298</v>
      </c>
      <c r="M48" s="155"/>
    </row>
    <row r="49" ht="22.5" customHeight="1">
      <c r="A49" s="5" t="s">
        <v>185</v>
      </c>
      <c r="B49" s="50" t="s">
        <v>94</v>
      </c>
      <c r="C49" s="13">
        <v>3.0</v>
      </c>
      <c r="D49" s="47">
        <v>0.0</v>
      </c>
      <c r="E49" s="47" t="s">
        <v>258</v>
      </c>
      <c r="F49" s="28">
        <v>0.0</v>
      </c>
      <c r="G49" s="50">
        <v>0.0</v>
      </c>
      <c r="H49" s="50">
        <v>0.0</v>
      </c>
      <c r="I49" s="174">
        <v>0.0</v>
      </c>
      <c r="J49" s="57">
        <v>0.0</v>
      </c>
      <c r="K49" s="55">
        <v>0.0</v>
      </c>
      <c r="L49" s="211" t="s">
        <v>1028</v>
      </c>
      <c r="M49" s="155"/>
    </row>
    <row r="50" ht="22.5" customHeight="1">
      <c r="A50" s="5" t="s">
        <v>185</v>
      </c>
      <c r="B50" s="5" t="s">
        <v>90</v>
      </c>
      <c r="C50" s="13">
        <v>31.0</v>
      </c>
      <c r="D50" s="47">
        <v>0.0</v>
      </c>
      <c r="E50" s="47" t="s">
        <v>258</v>
      </c>
      <c r="F50" s="28">
        <v>0.0</v>
      </c>
      <c r="G50" s="50">
        <v>0.0</v>
      </c>
      <c r="H50" s="50">
        <v>0.0</v>
      </c>
      <c r="I50" s="203">
        <v>0.0</v>
      </c>
      <c r="J50" s="57">
        <v>6.0</v>
      </c>
      <c r="K50" s="47" t="s">
        <v>1030</v>
      </c>
      <c r="L50" s="47" t="s">
        <v>298</v>
      </c>
      <c r="M50" s="155"/>
    </row>
    <row r="51" ht="22.5" customHeight="1">
      <c r="A51" s="5" t="s">
        <v>185</v>
      </c>
      <c r="B51" s="5" t="s">
        <v>39</v>
      </c>
      <c r="C51" s="13">
        <v>34.0</v>
      </c>
      <c r="D51" s="47">
        <v>0.0</v>
      </c>
      <c r="E51" s="47" t="s">
        <v>258</v>
      </c>
      <c r="F51" s="28">
        <v>0.0</v>
      </c>
      <c r="G51" s="174">
        <v>1.0</v>
      </c>
      <c r="H51" s="174" t="s">
        <v>1032</v>
      </c>
      <c r="I51" s="271">
        <v>0.0</v>
      </c>
      <c r="J51" s="57">
        <v>23.0</v>
      </c>
      <c r="K51" s="211" t="s">
        <v>1034</v>
      </c>
      <c r="L51" s="47" t="s">
        <v>1035</v>
      </c>
      <c r="M51" s="155"/>
    </row>
    <row r="52" ht="22.5" customHeight="1">
      <c r="A52" s="5" t="s">
        <v>185</v>
      </c>
      <c r="B52" s="5" t="s">
        <v>59</v>
      </c>
      <c r="C52" s="13">
        <v>90.0</v>
      </c>
      <c r="D52" s="47">
        <v>0.0</v>
      </c>
      <c r="E52" s="47" t="s">
        <v>258</v>
      </c>
      <c r="F52" s="28">
        <v>0.0</v>
      </c>
      <c r="G52" s="174">
        <v>6.0</v>
      </c>
      <c r="H52" s="174" t="s">
        <v>1037</v>
      </c>
      <c r="I52" s="174" t="s">
        <v>1038</v>
      </c>
      <c r="J52" s="57">
        <v>28.0</v>
      </c>
      <c r="K52" s="175" t="s">
        <v>1039</v>
      </c>
      <c r="L52" s="47" t="s">
        <v>1040</v>
      </c>
      <c r="M52" s="155"/>
    </row>
    <row r="53" ht="22.5" customHeight="1">
      <c r="A53" s="5" t="s">
        <v>185</v>
      </c>
      <c r="B53" s="5" t="s">
        <v>114</v>
      </c>
      <c r="C53" s="13">
        <v>118.0</v>
      </c>
      <c r="D53" s="47">
        <v>0.0</v>
      </c>
      <c r="E53" s="47" t="s">
        <v>258</v>
      </c>
      <c r="F53" s="28">
        <v>0.0</v>
      </c>
      <c r="G53" s="174">
        <v>6.0</v>
      </c>
      <c r="H53" s="174" t="s">
        <v>1043</v>
      </c>
      <c r="I53" s="174">
        <v>64302.0</v>
      </c>
      <c r="J53" s="57">
        <v>76.0</v>
      </c>
      <c r="K53" s="175" t="s">
        <v>1045</v>
      </c>
      <c r="L53" s="47" t="s">
        <v>298</v>
      </c>
      <c r="M53" s="155"/>
    </row>
    <row r="54" ht="22.5" customHeight="1">
      <c r="A54" s="5" t="s">
        <v>185</v>
      </c>
      <c r="B54" s="5" t="s">
        <v>136</v>
      </c>
      <c r="C54" s="13">
        <v>80.0</v>
      </c>
      <c r="D54" s="47">
        <v>0.0</v>
      </c>
      <c r="E54" s="47" t="s">
        <v>258</v>
      </c>
      <c r="F54" s="28">
        <v>0.0</v>
      </c>
      <c r="G54" s="174">
        <v>2.0</v>
      </c>
      <c r="H54" s="174" t="s">
        <v>306</v>
      </c>
      <c r="I54" s="174">
        <v>27376.0</v>
      </c>
      <c r="J54" s="57">
        <v>31.0</v>
      </c>
      <c r="K54" s="175" t="s">
        <v>1046</v>
      </c>
      <c r="L54" s="47" t="s">
        <v>1047</v>
      </c>
      <c r="M54" s="155"/>
    </row>
    <row r="55" ht="22.5" customHeight="1">
      <c r="A55" s="5" t="s">
        <v>185</v>
      </c>
      <c r="B55" s="5" t="s">
        <v>85</v>
      </c>
      <c r="C55" s="13">
        <v>265.0</v>
      </c>
      <c r="D55" s="47">
        <v>1.0</v>
      </c>
      <c r="E55" s="47" t="s">
        <v>600</v>
      </c>
      <c r="F55" s="28">
        <v>0.0</v>
      </c>
      <c r="G55" s="174">
        <v>13.0</v>
      </c>
      <c r="H55" s="174" t="s">
        <v>1049</v>
      </c>
      <c r="I55" s="174" t="s">
        <v>1050</v>
      </c>
      <c r="J55" s="57">
        <v>66.0</v>
      </c>
      <c r="K55" s="175" t="s">
        <v>1051</v>
      </c>
      <c r="L55" s="47" t="s">
        <v>314</v>
      </c>
      <c r="M55" s="155"/>
    </row>
    <row r="56" ht="22.5" customHeight="1">
      <c r="A56" s="5" t="s">
        <v>185</v>
      </c>
      <c r="B56" s="35" t="s">
        <v>79</v>
      </c>
      <c r="C56" s="13">
        <v>200.0</v>
      </c>
      <c r="D56" s="47">
        <v>0.0</v>
      </c>
      <c r="E56" s="47" t="s">
        <v>258</v>
      </c>
      <c r="F56" s="28">
        <v>0.0</v>
      </c>
      <c r="G56" s="174">
        <v>9.0</v>
      </c>
      <c r="H56" s="174" t="s">
        <v>1054</v>
      </c>
      <c r="I56" s="174" t="s">
        <v>1055</v>
      </c>
      <c r="J56" s="57">
        <v>88.0</v>
      </c>
      <c r="K56" s="175" t="s">
        <v>274</v>
      </c>
      <c r="L56" s="47" t="s">
        <v>298</v>
      </c>
      <c r="M56" s="155"/>
    </row>
    <row r="57" ht="22.5" customHeight="1">
      <c r="A57" s="5" t="s">
        <v>185</v>
      </c>
      <c r="B57" s="5" t="s">
        <v>45</v>
      </c>
      <c r="C57" s="13">
        <v>207.0</v>
      </c>
      <c r="D57" s="47">
        <v>0.0</v>
      </c>
      <c r="E57" s="47" t="s">
        <v>258</v>
      </c>
      <c r="F57" s="28">
        <v>0.0</v>
      </c>
      <c r="G57" s="174">
        <v>9.0</v>
      </c>
      <c r="H57" s="174" t="s">
        <v>1056</v>
      </c>
      <c r="I57" s="174" t="s">
        <v>1057</v>
      </c>
      <c r="J57" s="57">
        <v>15.0</v>
      </c>
      <c r="K57" s="47" t="s">
        <v>1058</v>
      </c>
      <c r="L57" s="47" t="s">
        <v>1059</v>
      </c>
      <c r="M57" s="155"/>
    </row>
    <row r="58" ht="22.5" customHeight="1">
      <c r="A58" s="5" t="s">
        <v>185</v>
      </c>
      <c r="B58" s="5" t="s">
        <v>170</v>
      </c>
      <c r="C58" s="13">
        <v>80.0</v>
      </c>
      <c r="D58" s="47">
        <v>0.0</v>
      </c>
      <c r="E58" s="47" t="s">
        <v>258</v>
      </c>
      <c r="F58" s="28">
        <v>0.0</v>
      </c>
      <c r="G58" s="174">
        <v>0.0</v>
      </c>
      <c r="H58" s="174" t="s">
        <v>258</v>
      </c>
      <c r="I58" s="271">
        <v>0.0</v>
      </c>
      <c r="J58" s="57">
        <v>13.0</v>
      </c>
      <c r="K58" s="47" t="s">
        <v>1061</v>
      </c>
      <c r="L58" s="47" t="s">
        <v>1062</v>
      </c>
      <c r="M58" s="155"/>
    </row>
    <row r="59" ht="22.5" customHeight="1">
      <c r="A59" s="5" t="s">
        <v>185</v>
      </c>
      <c r="B59" s="5" t="s">
        <v>153</v>
      </c>
      <c r="C59" s="13">
        <v>152.0</v>
      </c>
      <c r="D59" s="47">
        <v>0.0</v>
      </c>
      <c r="E59" s="47" t="s">
        <v>258</v>
      </c>
      <c r="F59" s="28">
        <v>0.0</v>
      </c>
      <c r="G59" s="174">
        <v>7.0</v>
      </c>
      <c r="H59" s="174" t="s">
        <v>1065</v>
      </c>
      <c r="I59" s="174">
        <v>296029.0</v>
      </c>
      <c r="J59" s="57">
        <v>41.0</v>
      </c>
      <c r="K59" s="47" t="s">
        <v>1066</v>
      </c>
      <c r="L59" s="47" t="s">
        <v>298</v>
      </c>
      <c r="M59" s="155"/>
    </row>
    <row r="60" ht="22.5" customHeight="1">
      <c r="A60" s="5" t="s">
        <v>185</v>
      </c>
      <c r="B60" s="5" t="s">
        <v>26</v>
      </c>
      <c r="C60" s="13">
        <v>611.0</v>
      </c>
      <c r="D60" s="50">
        <v>1.0</v>
      </c>
      <c r="E60" s="47" t="s">
        <v>1067</v>
      </c>
      <c r="F60" s="28">
        <v>0.0</v>
      </c>
      <c r="G60" s="174">
        <v>23.0</v>
      </c>
      <c r="H60" s="174" t="s">
        <v>1068</v>
      </c>
      <c r="I60" s="174" t="s">
        <v>1069</v>
      </c>
      <c r="J60" s="57">
        <v>35.0</v>
      </c>
      <c r="K60" s="47" t="s">
        <v>1070</v>
      </c>
      <c r="L60" s="47" t="s">
        <v>1071</v>
      </c>
      <c r="M60" s="155"/>
    </row>
    <row r="61" ht="22.5" customHeight="1">
      <c r="A61" s="5" t="s">
        <v>185</v>
      </c>
      <c r="B61" s="5" t="s">
        <v>23</v>
      </c>
      <c r="C61" s="13">
        <v>304.0</v>
      </c>
      <c r="D61" s="55">
        <v>1.0</v>
      </c>
      <c r="E61" s="47" t="s">
        <v>1072</v>
      </c>
      <c r="F61" s="28">
        <v>0.0</v>
      </c>
      <c r="G61" s="174">
        <v>18.0</v>
      </c>
      <c r="H61" s="174" t="s">
        <v>1073</v>
      </c>
      <c r="I61" s="174" t="s">
        <v>1074</v>
      </c>
      <c r="J61" s="57">
        <v>139.0</v>
      </c>
      <c r="K61" s="47" t="s">
        <v>1075</v>
      </c>
      <c r="L61" s="47" t="s">
        <v>298</v>
      </c>
      <c r="M61" s="155"/>
    </row>
    <row r="62" ht="22.5" customHeight="1">
      <c r="A62" s="5" t="s">
        <v>185</v>
      </c>
      <c r="B62" s="5" t="s">
        <v>159</v>
      </c>
      <c r="C62" s="13">
        <v>50.0</v>
      </c>
      <c r="D62" s="55">
        <v>1.0</v>
      </c>
      <c r="E62" s="47" t="s">
        <v>1077</v>
      </c>
      <c r="F62" s="28">
        <v>0.0</v>
      </c>
      <c r="G62" s="174">
        <v>3.0</v>
      </c>
      <c r="H62" s="174" t="s">
        <v>1078</v>
      </c>
      <c r="I62" s="174" t="s">
        <v>1080</v>
      </c>
      <c r="J62" s="57">
        <v>18.0</v>
      </c>
      <c r="K62" s="47" t="s">
        <v>1081</v>
      </c>
      <c r="L62" s="47" t="s">
        <v>1082</v>
      </c>
      <c r="M62" s="155"/>
    </row>
    <row r="63" ht="22.5" customHeight="1">
      <c r="A63" s="5" t="s">
        <v>185</v>
      </c>
      <c r="B63" s="5" t="s">
        <v>63</v>
      </c>
      <c r="C63" s="13">
        <v>360.0</v>
      </c>
      <c r="D63" s="47">
        <v>2.0</v>
      </c>
      <c r="E63" s="47" t="s">
        <v>1085</v>
      </c>
      <c r="F63" s="28">
        <v>0.0</v>
      </c>
      <c r="G63" s="174">
        <v>6.0</v>
      </c>
      <c r="H63" s="174" t="s">
        <v>1087</v>
      </c>
      <c r="I63" s="174" t="s">
        <v>1088</v>
      </c>
      <c r="J63" s="57">
        <v>116.0</v>
      </c>
      <c r="K63" s="47" t="s">
        <v>1089</v>
      </c>
      <c r="L63" s="47" t="s">
        <v>298</v>
      </c>
      <c r="M63" s="155"/>
    </row>
    <row r="64" ht="22.5" customHeight="1">
      <c r="A64" s="5" t="s">
        <v>383</v>
      </c>
      <c r="B64" s="5" t="s">
        <v>15</v>
      </c>
      <c r="C64" s="273">
        <v>72.0</v>
      </c>
      <c r="D64" s="273">
        <v>2.0</v>
      </c>
      <c r="E64" s="274">
        <v>0.02702702702702703</v>
      </c>
      <c r="F64" s="91">
        <v>0.0</v>
      </c>
      <c r="G64" s="275">
        <v>1.0</v>
      </c>
      <c r="H64" s="276">
        <v>0.013513513513513514</v>
      </c>
      <c r="I64" s="91">
        <v>0.0</v>
      </c>
      <c r="J64" s="275">
        <v>3.0</v>
      </c>
      <c r="K64" s="277">
        <v>0.043478260869565216</v>
      </c>
      <c r="L64" s="278">
        <v>0.9057</v>
      </c>
      <c r="M64" s="155"/>
    </row>
    <row r="65" ht="22.5" customHeight="1">
      <c r="A65" s="5" t="s">
        <v>383</v>
      </c>
      <c r="B65" s="5" t="s">
        <v>13</v>
      </c>
      <c r="C65" s="273">
        <v>362.0</v>
      </c>
      <c r="D65" s="273">
        <v>2.0</v>
      </c>
      <c r="E65" s="279">
        <v>0.005494505494505495</v>
      </c>
      <c r="F65" s="91">
        <v>0.0</v>
      </c>
      <c r="G65" s="275">
        <v>14.0</v>
      </c>
      <c r="H65" s="276">
        <v>0.038461538461538464</v>
      </c>
      <c r="I65" s="91">
        <v>0.0</v>
      </c>
      <c r="J65" s="275">
        <v>23.0</v>
      </c>
      <c r="K65" s="280">
        <v>0.06534090909090909</v>
      </c>
      <c r="L65" s="281">
        <v>0.957</v>
      </c>
      <c r="M65" s="155"/>
    </row>
    <row r="66" ht="22.5" customHeight="1">
      <c r="A66" s="5" t="s">
        <v>383</v>
      </c>
      <c r="B66" s="5" t="s">
        <v>27</v>
      </c>
      <c r="C66" s="273">
        <v>75.0</v>
      </c>
      <c r="D66" s="273">
        <v>2.0</v>
      </c>
      <c r="E66" s="282">
        <v>0.025974025974025976</v>
      </c>
      <c r="F66" s="91">
        <v>0.0</v>
      </c>
      <c r="G66" s="275">
        <v>1.0</v>
      </c>
      <c r="H66" s="276">
        <v>0.012987012987012988</v>
      </c>
      <c r="I66" s="91">
        <v>0.0</v>
      </c>
      <c r="J66" s="275">
        <v>4.0</v>
      </c>
      <c r="K66" s="283">
        <v>0.0547945205479452</v>
      </c>
      <c r="L66" s="281">
        <v>0.9908</v>
      </c>
      <c r="M66" s="155"/>
    </row>
    <row r="67" ht="22.5" customHeight="1">
      <c r="A67" s="5" t="s">
        <v>383</v>
      </c>
      <c r="B67" s="5" t="s">
        <v>33</v>
      </c>
      <c r="C67" s="273">
        <v>180.0</v>
      </c>
      <c r="D67" s="273">
        <v>1.0</v>
      </c>
      <c r="E67" s="279">
        <v>0.0055248618784530384</v>
      </c>
      <c r="F67" s="91">
        <v>0.0</v>
      </c>
      <c r="G67" s="275">
        <v>4.0</v>
      </c>
      <c r="H67" s="276">
        <v>0.022099447513812154</v>
      </c>
      <c r="I67" s="91">
        <v>0.0</v>
      </c>
      <c r="J67" s="275">
        <v>26.0</v>
      </c>
      <c r="K67" s="284">
        <v>0.14444444444444443</v>
      </c>
      <c r="L67" s="281">
        <v>0.9806</v>
      </c>
      <c r="M67" s="155"/>
    </row>
    <row r="68" ht="22.5" customHeight="1">
      <c r="A68" s="5" t="s">
        <v>383</v>
      </c>
      <c r="B68" s="5" t="s">
        <v>19</v>
      </c>
      <c r="C68" s="273">
        <v>283.0</v>
      </c>
      <c r="D68" s="273">
        <v>2.0</v>
      </c>
      <c r="E68" s="285">
        <v>0.007017543859649123</v>
      </c>
      <c r="F68" s="91">
        <v>0.0</v>
      </c>
      <c r="G68" s="275">
        <v>6.0</v>
      </c>
      <c r="H68" s="276">
        <v>0.021052631578947368</v>
      </c>
      <c r="I68" s="91">
        <v>0.0</v>
      </c>
      <c r="J68" s="275">
        <v>20.0</v>
      </c>
      <c r="K68" s="286">
        <v>0.07168458781362007</v>
      </c>
      <c r="L68" s="278">
        <v>0.9083</v>
      </c>
      <c r="M68" s="155"/>
    </row>
    <row r="69" ht="22.5" customHeight="1">
      <c r="A69" s="5" t="s">
        <v>383</v>
      </c>
      <c r="B69" s="5" t="s">
        <v>58</v>
      </c>
      <c r="C69" s="273">
        <v>146.0</v>
      </c>
      <c r="D69" s="273">
        <v>1.0</v>
      </c>
      <c r="E69" s="287">
        <v>0.006802721088435374</v>
      </c>
      <c r="F69" s="91">
        <v>0.0</v>
      </c>
      <c r="G69" s="275">
        <v>2.0</v>
      </c>
      <c r="H69" s="276">
        <v>0.013605442176870748</v>
      </c>
      <c r="I69" s="91">
        <v>0.0</v>
      </c>
      <c r="J69" s="275">
        <v>14.0</v>
      </c>
      <c r="K69" s="288">
        <v>0.09722222222222222</v>
      </c>
      <c r="L69" s="289">
        <v>0.9978</v>
      </c>
      <c r="M69" s="155"/>
    </row>
    <row r="70" ht="22.5" customHeight="1">
      <c r="A70" s="5" t="s">
        <v>383</v>
      </c>
      <c r="B70" s="5" t="s">
        <v>77</v>
      </c>
      <c r="C70" s="273">
        <v>62.0</v>
      </c>
      <c r="D70" s="273">
        <v>0.0</v>
      </c>
      <c r="E70" s="276">
        <v>0.0</v>
      </c>
      <c r="F70" s="91">
        <v>0.0</v>
      </c>
      <c r="G70" s="275">
        <v>0.0</v>
      </c>
      <c r="H70" s="276">
        <v>0.0</v>
      </c>
      <c r="I70" s="91">
        <v>0.0</v>
      </c>
      <c r="J70" s="275">
        <v>1.0</v>
      </c>
      <c r="K70" s="276">
        <v>0.01639344262295082</v>
      </c>
      <c r="L70" s="290">
        <v>0.8615</v>
      </c>
      <c r="M70" s="155"/>
    </row>
    <row r="71" ht="22.5" customHeight="1">
      <c r="A71" s="5" t="s">
        <v>383</v>
      </c>
      <c r="B71" s="5" t="s">
        <v>82</v>
      </c>
      <c r="C71" s="273">
        <v>45.0</v>
      </c>
      <c r="D71" s="273">
        <v>1.0</v>
      </c>
      <c r="E71" s="291">
        <v>0.021739130434782608</v>
      </c>
      <c r="F71" s="91">
        <v>0.0</v>
      </c>
      <c r="G71" s="275">
        <v>2.0</v>
      </c>
      <c r="H71" s="276">
        <v>0.043478260869565216</v>
      </c>
      <c r="I71" s="91">
        <v>0.0</v>
      </c>
      <c r="J71" s="275">
        <v>7.0</v>
      </c>
      <c r="K71" s="292">
        <v>0.1590909090909091</v>
      </c>
      <c r="L71" s="289">
        <v>1.0</v>
      </c>
      <c r="M71" s="155"/>
    </row>
    <row r="72" ht="22.5" customHeight="1">
      <c r="A72" s="5" t="s">
        <v>383</v>
      </c>
      <c r="B72" s="5" t="s">
        <v>39</v>
      </c>
      <c r="C72" s="273">
        <v>129.0</v>
      </c>
      <c r="D72" s="273">
        <v>0.0</v>
      </c>
      <c r="E72" s="276">
        <v>0.0</v>
      </c>
      <c r="F72" s="91">
        <v>0.0</v>
      </c>
      <c r="G72" s="275">
        <v>6.0</v>
      </c>
      <c r="H72" s="276">
        <v>0.046511627906976744</v>
      </c>
      <c r="I72" s="91">
        <v>0.0</v>
      </c>
      <c r="J72" s="275">
        <v>8.0</v>
      </c>
      <c r="K72" s="293">
        <v>0.0625</v>
      </c>
      <c r="L72" s="289">
        <v>1.0</v>
      </c>
      <c r="M72" s="155"/>
    </row>
    <row r="73" ht="22.5" customHeight="1">
      <c r="A73" s="5" t="s">
        <v>383</v>
      </c>
      <c r="B73" s="5" t="s">
        <v>63</v>
      </c>
      <c r="C73" s="273">
        <v>55.0</v>
      </c>
      <c r="D73" s="273">
        <v>1.0</v>
      </c>
      <c r="E73" s="294">
        <v>0.017857142857142856</v>
      </c>
      <c r="F73" s="91">
        <v>0.0</v>
      </c>
      <c r="G73" s="275">
        <v>3.0</v>
      </c>
      <c r="H73" s="276">
        <v>0.05357142857142857</v>
      </c>
      <c r="I73" s="91">
        <v>0.0</v>
      </c>
      <c r="J73" s="275">
        <v>4.0</v>
      </c>
      <c r="K73" s="295">
        <v>0.07407407407407407</v>
      </c>
      <c r="L73" s="289">
        <v>0.9968</v>
      </c>
    </row>
    <row r="74" ht="22.5" customHeight="1">
      <c r="A74" s="5" t="s">
        <v>383</v>
      </c>
      <c r="B74" s="5" t="s">
        <v>59</v>
      </c>
      <c r="C74" s="273">
        <v>149.0</v>
      </c>
      <c r="D74" s="273">
        <v>1.0</v>
      </c>
      <c r="E74" s="296">
        <v>0.006666666666666667</v>
      </c>
      <c r="F74" s="91">
        <v>0.0</v>
      </c>
      <c r="G74" s="275">
        <v>4.0</v>
      </c>
      <c r="H74" s="276">
        <v>0.02666666666666667</v>
      </c>
      <c r="I74" s="91">
        <v>0.0</v>
      </c>
      <c r="J74" s="275">
        <v>24.0</v>
      </c>
      <c r="K74" s="297">
        <v>0.16666666666666666</v>
      </c>
      <c r="L74" s="290">
        <v>0.9137</v>
      </c>
      <c r="M74" s="155"/>
    </row>
    <row r="75" ht="22.5" customHeight="1">
      <c r="A75" s="5" t="s">
        <v>383</v>
      </c>
      <c r="B75" s="5" t="s">
        <v>114</v>
      </c>
      <c r="C75" s="273">
        <v>68.0</v>
      </c>
      <c r="D75" s="273">
        <v>0.0</v>
      </c>
      <c r="E75" s="276">
        <v>0.0</v>
      </c>
      <c r="F75" s="91">
        <v>0.0</v>
      </c>
      <c r="G75" s="275">
        <v>1.0</v>
      </c>
      <c r="H75" s="276">
        <v>0.014705882352941176</v>
      </c>
      <c r="I75" s="91">
        <v>0.0</v>
      </c>
      <c r="J75" s="275">
        <v>11.0</v>
      </c>
      <c r="K75" s="297">
        <v>0.16666666666666666</v>
      </c>
      <c r="L75" s="289">
        <v>0.9998</v>
      </c>
    </row>
    <row r="76" ht="22.5" customHeight="1">
      <c r="A76" s="5" t="s">
        <v>383</v>
      </c>
      <c r="B76" s="5" t="s">
        <v>136</v>
      </c>
      <c r="C76" s="273">
        <v>122.0</v>
      </c>
      <c r="D76" s="273">
        <v>0.0</v>
      </c>
      <c r="E76" s="276">
        <v>0.0</v>
      </c>
      <c r="F76" s="91">
        <v>0.0</v>
      </c>
      <c r="G76" s="275">
        <v>3.0</v>
      </c>
      <c r="H76" s="276">
        <v>0.02459016393442623</v>
      </c>
      <c r="I76" s="91">
        <v>0.0</v>
      </c>
      <c r="J76" s="275">
        <v>9.0</v>
      </c>
      <c r="K76" s="298">
        <v>0.07563025210084033</v>
      </c>
      <c r="L76" s="289">
        <v>0.984</v>
      </c>
    </row>
    <row r="77" ht="22.5" customHeight="1">
      <c r="A77" s="5" t="s">
        <v>383</v>
      </c>
      <c r="B77" s="96" t="s">
        <v>501</v>
      </c>
      <c r="C77" s="273">
        <v>167.0</v>
      </c>
      <c r="D77" s="273">
        <v>1.0</v>
      </c>
      <c r="E77" s="299">
        <v>0.005952380952380952</v>
      </c>
      <c r="F77" s="91">
        <v>0.0</v>
      </c>
      <c r="G77" s="275">
        <v>4.0</v>
      </c>
      <c r="H77" s="276">
        <v>0.023809523809523808</v>
      </c>
      <c r="I77" s="91">
        <v>0.0</v>
      </c>
      <c r="J77" s="275">
        <v>5.0</v>
      </c>
      <c r="K77" s="301">
        <v>0.030303030303030304</v>
      </c>
      <c r="L77" s="289">
        <v>0.9505</v>
      </c>
      <c r="M77" s="243"/>
    </row>
    <row r="78" ht="22.5" customHeight="1">
      <c r="A78" s="5" t="s">
        <v>383</v>
      </c>
      <c r="B78" s="35" t="s">
        <v>79</v>
      </c>
      <c r="C78" s="273">
        <v>134.0</v>
      </c>
      <c r="D78" s="273">
        <v>0.0</v>
      </c>
      <c r="E78" s="276">
        <v>0.0</v>
      </c>
      <c r="F78" s="91">
        <v>0.0</v>
      </c>
      <c r="G78" s="275">
        <v>1.0</v>
      </c>
      <c r="H78" s="276">
        <v>0.007462686567164179</v>
      </c>
      <c r="I78" s="91">
        <v>0.0</v>
      </c>
      <c r="J78" s="275">
        <v>10.0</v>
      </c>
      <c r="K78" s="298">
        <v>0.07575757575757576</v>
      </c>
      <c r="L78" s="289">
        <v>0.9807</v>
      </c>
    </row>
    <row r="79" ht="22.5" customHeight="1">
      <c r="A79" s="5" t="s">
        <v>383</v>
      </c>
      <c r="B79" s="5" t="s">
        <v>45</v>
      </c>
      <c r="C79" s="273">
        <v>72.0</v>
      </c>
      <c r="D79" s="273">
        <v>0.0</v>
      </c>
      <c r="E79" s="276">
        <v>0.0</v>
      </c>
      <c r="F79" s="91">
        <v>0.0</v>
      </c>
      <c r="G79" s="275">
        <v>4.0</v>
      </c>
      <c r="H79" s="276">
        <v>0.05555555555555555</v>
      </c>
      <c r="I79" s="91">
        <v>0.0</v>
      </c>
      <c r="J79" s="275">
        <v>2.0</v>
      </c>
      <c r="K79" s="303">
        <v>0.027777777777777776</v>
      </c>
      <c r="L79" s="290">
        <v>0.8796</v>
      </c>
    </row>
    <row r="80" ht="22.5" customHeight="1">
      <c r="A80" s="5" t="s">
        <v>383</v>
      </c>
      <c r="B80" s="5" t="s">
        <v>123</v>
      </c>
      <c r="C80" s="273">
        <v>52.0</v>
      </c>
      <c r="D80" s="273">
        <v>1.0</v>
      </c>
      <c r="E80" s="304">
        <v>0.018867924528301886</v>
      </c>
      <c r="F80" s="91">
        <v>0.0</v>
      </c>
      <c r="G80" s="275">
        <v>2.0</v>
      </c>
      <c r="H80" s="276">
        <v>0.03773584905660377</v>
      </c>
      <c r="I80" s="91">
        <v>0.0</v>
      </c>
      <c r="J80" s="275">
        <v>2.0</v>
      </c>
      <c r="K80" s="305">
        <v>0.038461538461538464</v>
      </c>
      <c r="L80" s="289">
        <v>0.9913</v>
      </c>
    </row>
    <row r="81" ht="22.5" customHeight="1">
      <c r="A81" s="5" t="s">
        <v>383</v>
      </c>
      <c r="B81" s="5" t="s">
        <v>153</v>
      </c>
      <c r="C81" s="273">
        <v>44.0</v>
      </c>
      <c r="D81" s="273">
        <v>0.0</v>
      </c>
      <c r="E81" s="276">
        <v>0.0</v>
      </c>
      <c r="F81" s="91">
        <v>0.0</v>
      </c>
      <c r="G81" s="275">
        <v>1.0</v>
      </c>
      <c r="H81" s="276">
        <v>0.022727272727272728</v>
      </c>
      <c r="I81" s="91">
        <v>0.0</v>
      </c>
      <c r="J81" s="275">
        <v>2.0</v>
      </c>
      <c r="K81" s="276">
        <v>0.04878048780487805</v>
      </c>
      <c r="L81" s="289">
        <v>0.9962</v>
      </c>
    </row>
    <row r="82" ht="22.5" customHeight="1">
      <c r="A82" s="5" t="s">
        <v>383</v>
      </c>
      <c r="B82" s="5" t="s">
        <v>159</v>
      </c>
      <c r="C82" s="273">
        <v>341.0</v>
      </c>
      <c r="D82" s="273">
        <v>0.0</v>
      </c>
      <c r="E82" s="276">
        <v>0.0</v>
      </c>
      <c r="F82" s="91">
        <v>0.0</v>
      </c>
      <c r="G82" s="275">
        <v>12.0</v>
      </c>
      <c r="H82" s="276">
        <v>0.03519061583577713</v>
      </c>
      <c r="I82" s="91">
        <v>0.0</v>
      </c>
      <c r="J82" s="275">
        <v>5.0</v>
      </c>
      <c r="K82" s="276">
        <v>0.014970059880239521</v>
      </c>
      <c r="L82" s="289">
        <v>1.0</v>
      </c>
    </row>
    <row r="83" ht="22.5" customHeight="1">
      <c r="A83" s="5" t="s">
        <v>383</v>
      </c>
      <c r="B83" s="5" t="s">
        <v>26</v>
      </c>
      <c r="C83" s="273">
        <v>140.0</v>
      </c>
      <c r="D83" s="273">
        <v>0.0</v>
      </c>
      <c r="E83" s="276">
        <v>0.0</v>
      </c>
      <c r="F83" s="91">
        <v>0.0</v>
      </c>
      <c r="G83" s="275">
        <v>9.0</v>
      </c>
      <c r="H83" s="276">
        <v>0.06428571428571428</v>
      </c>
      <c r="I83" s="91">
        <v>0.0</v>
      </c>
      <c r="J83" s="275">
        <v>6.0</v>
      </c>
      <c r="K83" s="309">
        <v>0.04411764705882353</v>
      </c>
      <c r="L83" s="290">
        <v>0.8961</v>
      </c>
    </row>
    <row r="84" ht="22.5" customHeight="1">
      <c r="A84" s="5" t="s">
        <v>383</v>
      </c>
      <c r="B84" s="5" t="s">
        <v>23</v>
      </c>
      <c r="C84" s="273">
        <v>199.0</v>
      </c>
      <c r="D84" s="273">
        <v>1.0</v>
      </c>
      <c r="E84" s="310">
        <v>0.005</v>
      </c>
      <c r="F84" s="91">
        <v>0.0</v>
      </c>
      <c r="G84" s="275">
        <v>3.0</v>
      </c>
      <c r="H84" s="276">
        <v>0.015</v>
      </c>
      <c r="I84" s="91">
        <v>0.0</v>
      </c>
      <c r="J84" s="275">
        <v>20.0</v>
      </c>
      <c r="K84" s="311">
        <v>0.10309278350515463</v>
      </c>
      <c r="L84" s="289">
        <v>0.9811</v>
      </c>
    </row>
    <row r="85" ht="22.5" customHeight="1">
      <c r="A85" s="233"/>
      <c r="B85" s="234"/>
      <c r="C85" s="235"/>
      <c r="D85" s="235"/>
      <c r="E85" s="239"/>
      <c r="F85" s="64"/>
      <c r="G85" s="238"/>
      <c r="H85" s="239"/>
      <c r="I85" s="66"/>
      <c r="J85" s="238"/>
      <c r="K85" s="239"/>
      <c r="L85" s="244"/>
    </row>
    <row r="86">
      <c r="C86" s="79"/>
      <c r="D86" s="79"/>
      <c r="E86" s="79"/>
      <c r="F86" s="79"/>
      <c r="G86" s="79"/>
      <c r="H86" s="79"/>
      <c r="I86" s="314"/>
      <c r="J86" s="79"/>
      <c r="K86" s="79"/>
      <c r="L86" s="79"/>
    </row>
    <row r="87">
      <c r="C87" s="79"/>
      <c r="D87" s="79"/>
      <c r="E87" s="79"/>
      <c r="F87" s="108"/>
      <c r="G87" s="108"/>
      <c r="H87" s="108"/>
      <c r="I87" s="315"/>
      <c r="J87" s="79"/>
      <c r="K87" s="79"/>
      <c r="L87" s="79"/>
    </row>
    <row r="88">
      <c r="C88" s="79"/>
      <c r="D88" s="79"/>
      <c r="E88" s="79"/>
      <c r="F88" s="316"/>
      <c r="G88" s="317"/>
      <c r="H88" s="318"/>
      <c r="I88" s="315"/>
      <c r="J88" s="79"/>
      <c r="K88" s="79"/>
      <c r="L88" s="79"/>
    </row>
    <row r="89">
      <c r="C89" s="79"/>
      <c r="D89" s="79"/>
      <c r="E89" s="79"/>
      <c r="F89" s="319"/>
      <c r="G89" s="109"/>
      <c r="H89" s="110"/>
      <c r="I89" s="315"/>
      <c r="J89" s="79"/>
      <c r="K89" s="79"/>
      <c r="L89" s="79"/>
    </row>
    <row r="90">
      <c r="C90" s="79"/>
      <c r="D90" s="79"/>
      <c r="E90" s="79"/>
      <c r="F90" s="319"/>
      <c r="G90" s="109"/>
      <c r="H90" s="110"/>
      <c r="I90" s="315"/>
      <c r="J90" s="79"/>
      <c r="K90" s="79"/>
      <c r="L90" s="79"/>
    </row>
    <row r="91">
      <c r="C91" s="79"/>
      <c r="D91" s="79"/>
      <c r="E91" s="245"/>
      <c r="F91" s="319"/>
      <c r="G91" s="109"/>
      <c r="H91" s="110"/>
      <c r="I91" s="315"/>
      <c r="J91" s="79"/>
      <c r="K91" s="79"/>
      <c r="L91" s="79"/>
    </row>
    <row r="92">
      <c r="C92" s="79"/>
      <c r="D92" s="79"/>
      <c r="E92" s="79"/>
      <c r="F92" s="319"/>
      <c r="G92" s="109"/>
      <c r="H92" s="110"/>
      <c r="I92" s="315"/>
      <c r="J92" s="79"/>
      <c r="K92" s="79"/>
      <c r="L92" s="79"/>
    </row>
    <row r="93">
      <c r="C93" s="79"/>
      <c r="D93" s="79"/>
      <c r="E93" s="79"/>
      <c r="F93" s="319"/>
      <c r="G93" s="109"/>
      <c r="H93" s="110"/>
      <c r="I93" s="315"/>
      <c r="J93" s="79"/>
      <c r="K93" s="79"/>
      <c r="L93" s="79"/>
    </row>
    <row r="94">
      <c r="C94" s="79"/>
      <c r="D94" s="79"/>
      <c r="E94" s="79"/>
      <c r="F94" s="319"/>
      <c r="G94" s="109"/>
      <c r="H94" s="110"/>
      <c r="I94" s="315"/>
      <c r="J94" s="79"/>
      <c r="K94" s="79"/>
      <c r="L94" s="79"/>
    </row>
    <row r="95">
      <c r="C95" s="79"/>
      <c r="D95" s="79"/>
      <c r="E95" s="79"/>
      <c r="F95" s="319"/>
      <c r="G95" s="109"/>
      <c r="H95" s="110"/>
      <c r="I95" s="315"/>
      <c r="J95" s="79"/>
      <c r="K95" s="79"/>
      <c r="L95" s="79"/>
    </row>
    <row r="96">
      <c r="C96" s="79"/>
      <c r="D96" s="79"/>
      <c r="E96" s="79"/>
      <c r="F96" s="319"/>
      <c r="G96" s="109"/>
      <c r="H96" s="110"/>
      <c r="I96" s="315"/>
      <c r="J96" s="79"/>
      <c r="K96" s="79"/>
      <c r="L96" s="79"/>
    </row>
    <row r="97">
      <c r="C97" s="79"/>
      <c r="D97" s="79"/>
      <c r="E97" s="79"/>
      <c r="F97" s="319"/>
      <c r="G97" s="109"/>
      <c r="H97" s="110"/>
      <c r="I97" s="315"/>
      <c r="J97" s="79"/>
      <c r="K97" s="79"/>
      <c r="L97" s="79"/>
    </row>
    <row r="98">
      <c r="C98" s="79"/>
      <c r="D98" s="79"/>
      <c r="E98" s="79"/>
      <c r="F98" s="319"/>
      <c r="G98" s="109"/>
      <c r="H98" s="110"/>
      <c r="I98" s="315"/>
      <c r="J98" s="79"/>
      <c r="K98" s="79"/>
      <c r="L98" s="79"/>
    </row>
    <row r="99">
      <c r="C99" s="79"/>
      <c r="D99" s="79"/>
      <c r="E99" s="79"/>
      <c r="F99" s="319"/>
      <c r="G99" s="109"/>
      <c r="H99" s="110"/>
      <c r="I99" s="315"/>
      <c r="J99" s="79"/>
      <c r="K99" s="79"/>
      <c r="L99" s="79"/>
    </row>
    <row r="100">
      <c r="C100" s="79"/>
      <c r="D100" s="79"/>
      <c r="E100" s="79"/>
      <c r="F100" s="319"/>
      <c r="G100" s="109"/>
      <c r="H100" s="110"/>
      <c r="I100" s="315"/>
      <c r="J100" s="79"/>
      <c r="K100" s="79"/>
      <c r="L100" s="79"/>
    </row>
    <row r="101">
      <c r="C101" s="79"/>
      <c r="D101" s="79"/>
      <c r="E101" s="79"/>
      <c r="F101" s="319"/>
      <c r="G101" s="109"/>
      <c r="H101" s="110"/>
      <c r="I101" s="315"/>
      <c r="J101" s="79"/>
      <c r="K101" s="79"/>
      <c r="L101" s="79"/>
    </row>
    <row r="102">
      <c r="C102" s="79"/>
      <c r="D102" s="79"/>
      <c r="E102" s="79"/>
      <c r="F102" s="319"/>
      <c r="G102" s="109"/>
      <c r="H102" s="110"/>
      <c r="I102" s="315"/>
      <c r="J102" s="79"/>
      <c r="K102" s="79"/>
      <c r="L102" s="79"/>
    </row>
    <row r="103">
      <c r="C103" s="79"/>
      <c r="D103" s="79"/>
      <c r="E103" s="79"/>
      <c r="F103" s="319"/>
      <c r="G103" s="109"/>
      <c r="H103" s="110"/>
      <c r="I103" s="315"/>
      <c r="J103" s="79"/>
      <c r="K103" s="79"/>
      <c r="L103" s="79"/>
    </row>
    <row r="104">
      <c r="C104" s="79"/>
      <c r="D104" s="79"/>
      <c r="E104" s="79"/>
      <c r="F104" s="319"/>
      <c r="G104" s="109"/>
      <c r="H104" s="110"/>
      <c r="I104" s="315"/>
      <c r="J104" s="79"/>
      <c r="K104" s="79"/>
      <c r="L104" s="79"/>
    </row>
    <row r="105">
      <c r="C105" s="79"/>
      <c r="D105" s="79"/>
      <c r="E105" s="79"/>
      <c r="F105" s="319"/>
      <c r="G105" s="109"/>
      <c r="H105" s="110"/>
      <c r="I105" s="315"/>
      <c r="J105" s="79"/>
      <c r="K105" s="79"/>
      <c r="L105" s="79"/>
    </row>
    <row r="106">
      <c r="C106" s="79"/>
      <c r="D106" s="79"/>
      <c r="E106" s="79"/>
      <c r="F106" s="319"/>
      <c r="G106" s="109"/>
      <c r="H106" s="110"/>
      <c r="I106" s="315"/>
      <c r="J106" s="79"/>
      <c r="K106" s="79"/>
      <c r="L106" s="79"/>
    </row>
    <row r="107">
      <c r="C107" s="79"/>
      <c r="D107" s="79"/>
      <c r="E107" s="79"/>
      <c r="F107" s="319"/>
      <c r="G107" s="109"/>
      <c r="H107" s="110"/>
      <c r="I107" s="315"/>
      <c r="J107" s="79"/>
      <c r="K107" s="79"/>
      <c r="L107" s="79"/>
    </row>
    <row r="108">
      <c r="C108" s="79"/>
      <c r="D108" s="79"/>
      <c r="E108" s="79"/>
      <c r="F108" s="319"/>
      <c r="G108" s="109"/>
      <c r="H108" s="110"/>
      <c r="I108" s="315"/>
      <c r="J108" s="79"/>
      <c r="K108" s="79"/>
      <c r="L108" s="79"/>
    </row>
    <row r="109">
      <c r="C109" s="79"/>
      <c r="D109" s="79"/>
      <c r="E109" s="79"/>
      <c r="F109" s="319"/>
      <c r="G109" s="109"/>
      <c r="H109" s="110"/>
      <c r="I109" s="315"/>
      <c r="J109" s="79"/>
      <c r="K109" s="79"/>
      <c r="L109" s="79"/>
    </row>
    <row r="110">
      <c r="C110" s="79"/>
      <c r="D110" s="79"/>
      <c r="E110" s="79"/>
      <c r="F110" s="321"/>
      <c r="G110" s="321"/>
      <c r="H110" s="321"/>
      <c r="I110" s="315"/>
      <c r="J110" s="79"/>
      <c r="K110" s="79"/>
      <c r="L110" s="79"/>
    </row>
    <row r="111">
      <c r="C111" s="79"/>
      <c r="D111" s="79"/>
      <c r="E111" s="79"/>
      <c r="F111" s="247"/>
      <c r="G111" s="247"/>
      <c r="H111" s="247"/>
      <c r="I111" s="314"/>
      <c r="J111" s="79"/>
      <c r="K111" s="79"/>
      <c r="L111" s="79"/>
    </row>
    <row r="112">
      <c r="C112" s="79"/>
      <c r="D112" s="79"/>
      <c r="E112" s="79"/>
      <c r="F112" s="247"/>
      <c r="G112" s="247"/>
      <c r="H112" s="247"/>
      <c r="I112" s="314"/>
      <c r="J112" s="79"/>
      <c r="K112" s="79"/>
      <c r="L112" s="79"/>
    </row>
    <row r="113">
      <c r="C113" s="79"/>
      <c r="D113" s="79"/>
      <c r="E113" s="79"/>
      <c r="F113" s="247"/>
      <c r="G113" s="247"/>
      <c r="H113" s="247"/>
      <c r="I113" s="314"/>
      <c r="J113" s="79"/>
      <c r="K113" s="79"/>
      <c r="L113" s="79"/>
    </row>
    <row r="114">
      <c r="C114" s="79"/>
      <c r="D114" s="79"/>
      <c r="E114" s="79"/>
      <c r="F114" s="247"/>
      <c r="G114" s="247"/>
      <c r="H114" s="247"/>
      <c r="I114" s="314"/>
      <c r="J114" s="79"/>
      <c r="K114" s="79"/>
      <c r="L114" s="79"/>
    </row>
    <row r="115">
      <c r="C115" s="79"/>
      <c r="D115" s="79"/>
      <c r="E115" s="79"/>
      <c r="F115" s="79"/>
      <c r="G115" s="79"/>
      <c r="H115" s="79"/>
      <c r="I115" s="314"/>
      <c r="J115" s="79"/>
      <c r="K115" s="79"/>
      <c r="L115" s="79"/>
    </row>
    <row r="116">
      <c r="C116" s="79"/>
      <c r="D116" s="79"/>
      <c r="E116" s="79"/>
      <c r="F116" s="79"/>
      <c r="G116" s="79"/>
      <c r="H116" s="79"/>
      <c r="I116" s="314"/>
      <c r="J116" s="79"/>
      <c r="K116" s="79"/>
      <c r="L116" s="79"/>
    </row>
    <row r="117">
      <c r="C117" s="79"/>
      <c r="D117" s="79"/>
      <c r="E117" s="79"/>
      <c r="F117" s="79"/>
      <c r="G117" s="79"/>
      <c r="H117" s="79"/>
      <c r="I117" s="314"/>
      <c r="J117" s="79"/>
      <c r="K117" s="79"/>
      <c r="L117" s="79"/>
    </row>
    <row r="118">
      <c r="C118" s="79"/>
      <c r="D118" s="79"/>
      <c r="E118" s="79"/>
      <c r="F118" s="79"/>
      <c r="G118" s="79"/>
      <c r="H118" s="79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314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314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314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314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314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314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314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314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314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314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314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314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314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314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314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314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314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314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314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314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314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314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314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314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314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314"/>
      <c r="J768" s="79"/>
      <c r="K768" s="79"/>
      <c r="L768" s="79"/>
    </row>
    <row r="769">
      <c r="C769" s="79"/>
      <c r="D769" s="79"/>
      <c r="E769" s="79"/>
      <c r="F769" s="79"/>
      <c r="G769" s="79"/>
      <c r="H769" s="79"/>
      <c r="I769" s="314"/>
      <c r="J769" s="79"/>
      <c r="K769" s="79"/>
      <c r="L769" s="79"/>
    </row>
    <row r="770">
      <c r="C770" s="79"/>
      <c r="D770" s="79"/>
      <c r="E770" s="79"/>
      <c r="F770" s="79"/>
      <c r="G770" s="79"/>
      <c r="H770" s="79"/>
      <c r="I770" s="314"/>
      <c r="J770" s="79"/>
      <c r="K770" s="79"/>
      <c r="L770" s="79"/>
    </row>
    <row r="771">
      <c r="C771" s="79"/>
      <c r="D771" s="79"/>
      <c r="E771" s="79"/>
      <c r="F771" s="79"/>
      <c r="G771" s="79"/>
      <c r="H771" s="79"/>
      <c r="I771" s="314"/>
      <c r="J771" s="79"/>
      <c r="K771" s="79"/>
      <c r="L771" s="79"/>
    </row>
    <row r="772">
      <c r="C772" s="79"/>
      <c r="D772" s="79"/>
      <c r="E772" s="79"/>
      <c r="F772" s="79"/>
      <c r="G772" s="79"/>
      <c r="H772" s="79"/>
      <c r="I772" s="314"/>
      <c r="J772" s="79"/>
      <c r="K772" s="79"/>
      <c r="L772" s="79"/>
    </row>
    <row r="773">
      <c r="C773" s="79"/>
      <c r="D773" s="79"/>
      <c r="E773" s="79"/>
      <c r="F773" s="79"/>
      <c r="G773" s="79"/>
      <c r="H773" s="79"/>
      <c r="I773" s="314"/>
      <c r="J773" s="79"/>
      <c r="K773" s="79"/>
      <c r="L773" s="79"/>
    </row>
    <row r="774">
      <c r="C774" s="79"/>
      <c r="D774" s="79"/>
      <c r="E774" s="79"/>
      <c r="F774" s="79"/>
      <c r="G774" s="79"/>
      <c r="H774" s="79"/>
      <c r="I774" s="314"/>
      <c r="J774" s="79"/>
      <c r="K774" s="79"/>
      <c r="L774" s="79"/>
    </row>
    <row r="775">
      <c r="C775" s="79"/>
      <c r="D775" s="79"/>
      <c r="E775" s="79"/>
      <c r="F775" s="79"/>
      <c r="G775" s="79"/>
      <c r="H775" s="79"/>
      <c r="I775" s="314"/>
      <c r="J775" s="79"/>
      <c r="K775" s="79"/>
      <c r="L775" s="79"/>
    </row>
    <row r="776">
      <c r="C776" s="79"/>
      <c r="D776" s="79"/>
      <c r="E776" s="79"/>
      <c r="F776" s="79"/>
      <c r="G776" s="79"/>
      <c r="H776" s="79"/>
      <c r="I776" s="314"/>
      <c r="J776" s="79"/>
      <c r="K776" s="79"/>
      <c r="L776" s="79"/>
    </row>
    <row r="777">
      <c r="C777" s="79"/>
      <c r="D777" s="79"/>
      <c r="E777" s="79"/>
      <c r="F777" s="79"/>
      <c r="G777" s="79"/>
      <c r="H777" s="79"/>
      <c r="I777" s="314"/>
      <c r="J777" s="79"/>
      <c r="K777" s="79"/>
      <c r="L777" s="79"/>
    </row>
    <row r="778">
      <c r="C778" s="79"/>
      <c r="D778" s="79"/>
      <c r="E778" s="79"/>
      <c r="F778" s="79"/>
      <c r="G778" s="79"/>
      <c r="H778" s="79"/>
      <c r="I778" s="314"/>
      <c r="J778" s="79"/>
      <c r="K778" s="79"/>
      <c r="L778" s="79"/>
    </row>
    <row r="779">
      <c r="C779" s="79"/>
      <c r="D779" s="79"/>
      <c r="E779" s="79"/>
      <c r="F779" s="79"/>
      <c r="G779" s="79"/>
      <c r="H779" s="79"/>
      <c r="I779" s="314"/>
      <c r="J779" s="79"/>
      <c r="K779" s="79"/>
      <c r="L779" s="79"/>
    </row>
    <row r="780">
      <c r="C780" s="79"/>
      <c r="D780" s="79"/>
      <c r="E780" s="79"/>
      <c r="F780" s="79"/>
      <c r="G780" s="79"/>
      <c r="H780" s="79"/>
      <c r="I780" s="314"/>
      <c r="J780" s="79"/>
      <c r="K780" s="79"/>
      <c r="L780" s="79"/>
    </row>
    <row r="781">
      <c r="C781" s="79"/>
      <c r="D781" s="79"/>
      <c r="E781" s="79"/>
      <c r="F781" s="79"/>
      <c r="G781" s="79"/>
      <c r="H781" s="79"/>
      <c r="I781" s="314"/>
      <c r="J781" s="79"/>
      <c r="K781" s="79"/>
      <c r="L781" s="79"/>
    </row>
    <row r="782">
      <c r="C782" s="79"/>
      <c r="D782" s="79"/>
      <c r="E782" s="79"/>
      <c r="F782" s="79"/>
      <c r="G782" s="79"/>
      <c r="H782" s="79"/>
      <c r="I782" s="314"/>
      <c r="J782" s="79"/>
      <c r="K782" s="79"/>
      <c r="L782" s="79"/>
    </row>
    <row r="783">
      <c r="C783" s="79"/>
      <c r="D783" s="79"/>
      <c r="E783" s="79"/>
      <c r="F783" s="79"/>
      <c r="G783" s="79"/>
      <c r="H783" s="79"/>
      <c r="I783" s="314"/>
      <c r="J783" s="79"/>
      <c r="K783" s="79"/>
      <c r="L783" s="79"/>
    </row>
    <row r="784">
      <c r="C784" s="79"/>
      <c r="D784" s="79"/>
      <c r="E784" s="79"/>
      <c r="F784" s="79"/>
      <c r="G784" s="79"/>
      <c r="H784" s="79"/>
      <c r="I784" s="314"/>
      <c r="J784" s="79"/>
      <c r="K784" s="79"/>
      <c r="L784" s="79"/>
    </row>
    <row r="785">
      <c r="C785" s="79"/>
      <c r="D785" s="79"/>
      <c r="E785" s="79"/>
      <c r="F785" s="79"/>
      <c r="G785" s="79"/>
      <c r="H785" s="79"/>
      <c r="I785" s="314"/>
      <c r="J785" s="79"/>
      <c r="K785" s="79"/>
      <c r="L785" s="79"/>
    </row>
    <row r="786">
      <c r="C786" s="79"/>
      <c r="D786" s="79"/>
      <c r="E786" s="79"/>
      <c r="F786" s="79"/>
      <c r="G786" s="79"/>
      <c r="H786" s="79"/>
      <c r="I786" s="314"/>
      <c r="J786" s="79"/>
      <c r="K786" s="79"/>
      <c r="L786" s="79"/>
    </row>
    <row r="787">
      <c r="C787" s="79"/>
      <c r="D787" s="79"/>
      <c r="E787" s="79"/>
      <c r="F787" s="79"/>
      <c r="G787" s="79"/>
      <c r="H787" s="79"/>
      <c r="I787" s="314"/>
      <c r="J787" s="79"/>
      <c r="K787" s="79"/>
      <c r="L787" s="79"/>
    </row>
    <row r="788">
      <c r="C788" s="79"/>
      <c r="D788" s="79"/>
      <c r="E788" s="79"/>
      <c r="F788" s="79"/>
      <c r="G788" s="79"/>
      <c r="H788" s="79"/>
      <c r="I788" s="314"/>
      <c r="J788" s="79"/>
      <c r="K788" s="79"/>
      <c r="L788" s="79"/>
    </row>
    <row r="789">
      <c r="C789" s="79"/>
      <c r="D789" s="79"/>
      <c r="E789" s="79"/>
      <c r="F789" s="79"/>
      <c r="G789" s="79"/>
      <c r="H789" s="79"/>
      <c r="I789" s="314"/>
      <c r="J789" s="79"/>
      <c r="K789" s="79"/>
      <c r="L789" s="79"/>
    </row>
    <row r="790">
      <c r="C790" s="79"/>
      <c r="D790" s="79"/>
      <c r="E790" s="79"/>
      <c r="F790" s="79"/>
      <c r="G790" s="79"/>
      <c r="H790" s="79"/>
      <c r="I790" s="314"/>
      <c r="J790" s="79"/>
      <c r="K790" s="79"/>
      <c r="L790" s="79"/>
    </row>
    <row r="791">
      <c r="C791" s="79"/>
      <c r="D791" s="79"/>
      <c r="E791" s="79"/>
      <c r="F791" s="79"/>
      <c r="G791" s="79"/>
      <c r="H791" s="79"/>
      <c r="I791" s="314"/>
      <c r="J791" s="79"/>
      <c r="K791" s="79"/>
      <c r="L791" s="79"/>
    </row>
    <row r="792">
      <c r="C792" s="79"/>
      <c r="D792" s="79"/>
      <c r="E792" s="79"/>
      <c r="F792" s="79"/>
      <c r="G792" s="79"/>
      <c r="H792" s="79"/>
      <c r="I792" s="314"/>
      <c r="J792" s="79"/>
      <c r="K792" s="79"/>
      <c r="L792" s="79"/>
    </row>
    <row r="793">
      <c r="C793" s="79"/>
      <c r="D793" s="79"/>
      <c r="E793" s="79"/>
      <c r="F793" s="79"/>
      <c r="G793" s="79"/>
      <c r="H793" s="79"/>
      <c r="I793" s="314"/>
      <c r="J793" s="79"/>
      <c r="K793" s="79"/>
      <c r="L793" s="79"/>
    </row>
    <row r="794">
      <c r="C794" s="79"/>
      <c r="D794" s="79"/>
      <c r="E794" s="79"/>
      <c r="F794" s="79"/>
      <c r="G794" s="79"/>
      <c r="H794" s="79"/>
      <c r="I794" s="314"/>
      <c r="J794" s="79"/>
      <c r="K794" s="79"/>
      <c r="L794" s="79"/>
    </row>
    <row r="795">
      <c r="C795" s="79"/>
      <c r="D795" s="79"/>
      <c r="E795" s="79"/>
      <c r="F795" s="79"/>
      <c r="G795" s="79"/>
      <c r="H795" s="79"/>
      <c r="I795" s="314"/>
      <c r="J795" s="79"/>
      <c r="K795" s="79"/>
      <c r="L795" s="79"/>
    </row>
    <row r="796">
      <c r="C796" s="79"/>
      <c r="D796" s="79"/>
      <c r="E796" s="79"/>
      <c r="F796" s="79"/>
      <c r="G796" s="79"/>
      <c r="H796" s="79"/>
      <c r="I796" s="314"/>
      <c r="J796" s="79"/>
      <c r="K796" s="79"/>
      <c r="L796" s="79"/>
    </row>
    <row r="797">
      <c r="C797" s="79"/>
      <c r="D797" s="79"/>
      <c r="E797" s="79"/>
      <c r="F797" s="79"/>
      <c r="G797" s="79"/>
      <c r="H797" s="79"/>
      <c r="I797" s="314"/>
      <c r="J797" s="79"/>
      <c r="K797" s="79"/>
      <c r="L797" s="79"/>
    </row>
    <row r="798">
      <c r="C798" s="79"/>
      <c r="D798" s="79"/>
      <c r="E798" s="79"/>
      <c r="F798" s="79"/>
      <c r="G798" s="79"/>
      <c r="H798" s="79"/>
      <c r="I798" s="314"/>
      <c r="J798" s="79"/>
      <c r="K798" s="79"/>
      <c r="L798" s="79"/>
    </row>
    <row r="799">
      <c r="C799" s="79"/>
      <c r="D799" s="79"/>
      <c r="E799" s="79"/>
      <c r="F799" s="79"/>
      <c r="G799" s="79"/>
      <c r="H799" s="79"/>
      <c r="I799" s="314"/>
      <c r="J799" s="79"/>
      <c r="K799" s="79"/>
      <c r="L799" s="79"/>
    </row>
    <row r="800">
      <c r="C800" s="79"/>
      <c r="D800" s="79"/>
      <c r="E800" s="79"/>
      <c r="F800" s="79"/>
      <c r="G800" s="79"/>
      <c r="H800" s="79"/>
      <c r="I800" s="314"/>
      <c r="J800" s="79"/>
      <c r="K800" s="79"/>
      <c r="L800" s="79"/>
    </row>
    <row r="801">
      <c r="C801" s="79"/>
      <c r="D801" s="79"/>
      <c r="E801" s="79"/>
      <c r="F801" s="79"/>
      <c r="G801" s="79"/>
      <c r="H801" s="79"/>
      <c r="I801" s="314"/>
      <c r="J801" s="79"/>
      <c r="K801" s="79"/>
      <c r="L801" s="79"/>
    </row>
    <row r="802">
      <c r="C802" s="79"/>
      <c r="D802" s="79"/>
      <c r="E802" s="79"/>
      <c r="F802" s="79"/>
      <c r="G802" s="79"/>
      <c r="H802" s="79"/>
      <c r="I802" s="314"/>
      <c r="J802" s="79"/>
      <c r="K802" s="79"/>
      <c r="L802" s="79"/>
    </row>
    <row r="803">
      <c r="C803" s="79"/>
      <c r="D803" s="79"/>
      <c r="E803" s="79"/>
      <c r="F803" s="79"/>
      <c r="G803" s="79"/>
      <c r="H803" s="79"/>
      <c r="I803" s="314"/>
      <c r="J803" s="79"/>
      <c r="K803" s="79"/>
      <c r="L803" s="79"/>
    </row>
    <row r="804">
      <c r="C804" s="79"/>
      <c r="D804" s="79"/>
      <c r="E804" s="79"/>
      <c r="F804" s="79"/>
      <c r="G804" s="79"/>
      <c r="H804" s="79"/>
      <c r="I804" s="314"/>
      <c r="J804" s="79"/>
      <c r="K804" s="79"/>
      <c r="L804" s="79"/>
    </row>
    <row r="805">
      <c r="C805" s="79"/>
      <c r="D805" s="79"/>
      <c r="E805" s="79"/>
      <c r="F805" s="79"/>
      <c r="G805" s="79"/>
      <c r="H805" s="79"/>
      <c r="I805" s="314"/>
      <c r="J805" s="79"/>
      <c r="K805" s="79"/>
      <c r="L805" s="79"/>
    </row>
    <row r="806">
      <c r="C806" s="79"/>
      <c r="D806" s="79"/>
      <c r="E806" s="79"/>
      <c r="F806" s="79"/>
      <c r="G806" s="79"/>
      <c r="H806" s="79"/>
      <c r="I806" s="314"/>
      <c r="J806" s="79"/>
      <c r="K806" s="79"/>
      <c r="L806" s="79"/>
    </row>
    <row r="807">
      <c r="C807" s="79"/>
      <c r="D807" s="79"/>
      <c r="E807" s="79"/>
      <c r="F807" s="79"/>
      <c r="G807" s="79"/>
      <c r="H807" s="79"/>
      <c r="I807" s="314"/>
      <c r="J807" s="79"/>
      <c r="K807" s="79"/>
      <c r="L807" s="79"/>
    </row>
    <row r="808">
      <c r="C808" s="79"/>
      <c r="D808" s="79"/>
      <c r="E808" s="79"/>
      <c r="F808" s="79"/>
      <c r="G808" s="79"/>
      <c r="H808" s="79"/>
      <c r="I808" s="314"/>
      <c r="J808" s="79"/>
      <c r="K808" s="79"/>
      <c r="L808" s="79"/>
    </row>
    <row r="809">
      <c r="C809" s="79"/>
      <c r="D809" s="79"/>
      <c r="E809" s="79"/>
      <c r="F809" s="79"/>
      <c r="G809" s="79"/>
      <c r="H809" s="79"/>
      <c r="I809" s="314"/>
      <c r="J809" s="79"/>
      <c r="K809" s="79"/>
      <c r="L809" s="79"/>
    </row>
    <row r="810">
      <c r="C810" s="79"/>
      <c r="D810" s="79"/>
      <c r="E810" s="79"/>
      <c r="F810" s="79"/>
      <c r="G810" s="79"/>
      <c r="H810" s="79"/>
      <c r="I810" s="314"/>
      <c r="J810" s="79"/>
      <c r="K810" s="79"/>
      <c r="L810" s="79"/>
    </row>
    <row r="811">
      <c r="C811" s="79"/>
      <c r="D811" s="79"/>
      <c r="E811" s="79"/>
      <c r="F811" s="79"/>
      <c r="G811" s="79"/>
      <c r="H811" s="79"/>
      <c r="I811" s="314"/>
      <c r="J811" s="79"/>
      <c r="K811" s="79"/>
      <c r="L811" s="79"/>
    </row>
    <row r="812">
      <c r="C812" s="79"/>
      <c r="D812" s="79"/>
      <c r="E812" s="79"/>
      <c r="F812" s="79"/>
      <c r="G812" s="79"/>
      <c r="H812" s="79"/>
      <c r="I812" s="314"/>
      <c r="J812" s="79"/>
      <c r="K812" s="79"/>
      <c r="L812" s="79"/>
    </row>
    <row r="813">
      <c r="C813" s="79"/>
      <c r="D813" s="79"/>
      <c r="E813" s="79"/>
      <c r="F813" s="79"/>
      <c r="G813" s="79"/>
      <c r="H813" s="79"/>
      <c r="I813" s="314"/>
      <c r="J813" s="79"/>
      <c r="K813" s="79"/>
      <c r="L813" s="79"/>
    </row>
    <row r="814">
      <c r="C814" s="79"/>
      <c r="D814" s="79"/>
      <c r="E814" s="79"/>
      <c r="F814" s="79"/>
      <c r="G814" s="79"/>
      <c r="H814" s="79"/>
      <c r="I814" s="314"/>
      <c r="J814" s="79"/>
      <c r="K814" s="79"/>
      <c r="L814" s="79"/>
    </row>
    <row r="815">
      <c r="C815" s="79"/>
      <c r="D815" s="79"/>
      <c r="E815" s="79"/>
      <c r="F815" s="79"/>
      <c r="G815" s="79"/>
      <c r="H815" s="79"/>
      <c r="I815" s="314"/>
      <c r="J815" s="79"/>
      <c r="K815" s="79"/>
      <c r="L815" s="79"/>
    </row>
    <row r="816">
      <c r="C816" s="79"/>
      <c r="D816" s="79"/>
      <c r="E816" s="79"/>
      <c r="F816" s="79"/>
      <c r="G816" s="79"/>
      <c r="H816" s="79"/>
      <c r="I816" s="314"/>
      <c r="J816" s="79"/>
      <c r="K816" s="79"/>
      <c r="L816" s="79"/>
    </row>
    <row r="817">
      <c r="C817" s="79"/>
      <c r="D817" s="79"/>
      <c r="E817" s="79"/>
      <c r="F817" s="79"/>
      <c r="G817" s="79"/>
      <c r="H817" s="79"/>
      <c r="I817" s="314"/>
      <c r="J817" s="79"/>
      <c r="K817" s="79"/>
      <c r="L817" s="79"/>
    </row>
    <row r="818">
      <c r="C818" s="79"/>
      <c r="D818" s="79"/>
      <c r="E818" s="79"/>
      <c r="F818" s="79"/>
      <c r="G818" s="79"/>
      <c r="H818" s="79"/>
      <c r="I818" s="314"/>
      <c r="J818" s="79"/>
      <c r="K818" s="79"/>
      <c r="L818" s="79"/>
    </row>
    <row r="819">
      <c r="C819" s="79"/>
      <c r="D819" s="79"/>
      <c r="E819" s="79"/>
      <c r="F819" s="79"/>
      <c r="G819" s="79"/>
      <c r="H819" s="79"/>
      <c r="I819" s="314"/>
      <c r="J819" s="79"/>
      <c r="K819" s="79"/>
      <c r="L819" s="79"/>
    </row>
    <row r="820">
      <c r="C820" s="79"/>
      <c r="D820" s="79"/>
      <c r="E820" s="79"/>
      <c r="F820" s="79"/>
      <c r="G820" s="79"/>
      <c r="H820" s="79"/>
      <c r="I820" s="314"/>
      <c r="J820" s="79"/>
      <c r="K820" s="79"/>
      <c r="L820" s="79"/>
    </row>
    <row r="821">
      <c r="C821" s="79"/>
      <c r="D821" s="79"/>
      <c r="E821" s="79"/>
      <c r="F821" s="79"/>
      <c r="G821" s="79"/>
      <c r="H821" s="79"/>
      <c r="I821" s="314"/>
      <c r="J821" s="79"/>
      <c r="K821" s="79"/>
      <c r="L821" s="79"/>
    </row>
    <row r="822">
      <c r="C822" s="79"/>
      <c r="D822" s="79"/>
      <c r="E822" s="79"/>
      <c r="F822" s="79"/>
      <c r="G822" s="79"/>
      <c r="H822" s="79"/>
      <c r="I822" s="314"/>
      <c r="J822" s="79"/>
      <c r="K822" s="79"/>
      <c r="L822" s="79"/>
    </row>
    <row r="823">
      <c r="C823" s="79"/>
      <c r="D823" s="79"/>
      <c r="E823" s="79"/>
      <c r="F823" s="79"/>
      <c r="G823" s="79"/>
      <c r="H823" s="79"/>
      <c r="I823" s="314"/>
      <c r="J823" s="79"/>
      <c r="K823" s="79"/>
      <c r="L823" s="79"/>
    </row>
    <row r="824">
      <c r="C824" s="79"/>
      <c r="D824" s="79"/>
      <c r="E824" s="79"/>
      <c r="F824" s="79"/>
      <c r="G824" s="79"/>
      <c r="H824" s="79"/>
      <c r="I824" s="314"/>
      <c r="J824" s="79"/>
      <c r="K824" s="79"/>
      <c r="L824" s="79"/>
    </row>
    <row r="825">
      <c r="C825" s="79"/>
      <c r="D825" s="79"/>
      <c r="E825" s="79"/>
      <c r="F825" s="79"/>
      <c r="G825" s="79"/>
      <c r="H825" s="79"/>
      <c r="I825" s="314"/>
      <c r="J825" s="79"/>
      <c r="K825" s="79"/>
      <c r="L825" s="79"/>
    </row>
    <row r="826">
      <c r="C826" s="79"/>
      <c r="D826" s="79"/>
      <c r="E826" s="79"/>
      <c r="F826" s="79"/>
      <c r="G826" s="79"/>
      <c r="H826" s="79"/>
      <c r="I826" s="314"/>
      <c r="J826" s="79"/>
      <c r="K826" s="79"/>
      <c r="L826" s="79"/>
    </row>
    <row r="827">
      <c r="C827" s="79"/>
      <c r="D827" s="79"/>
      <c r="E827" s="79"/>
      <c r="F827" s="79"/>
      <c r="G827" s="79"/>
      <c r="H827" s="79"/>
      <c r="I827" s="314"/>
      <c r="J827" s="79"/>
      <c r="K827" s="79"/>
      <c r="L827" s="79"/>
    </row>
    <row r="828">
      <c r="C828" s="79"/>
      <c r="D828" s="79"/>
      <c r="E828" s="79"/>
      <c r="F828" s="79"/>
      <c r="G828" s="79"/>
      <c r="H828" s="79"/>
      <c r="I828" s="314"/>
      <c r="J828" s="79"/>
      <c r="K828" s="79"/>
      <c r="L828" s="79"/>
    </row>
    <row r="829">
      <c r="C829" s="79"/>
      <c r="D829" s="79"/>
      <c r="E829" s="79"/>
      <c r="F829" s="79"/>
      <c r="G829" s="79"/>
      <c r="H829" s="79"/>
      <c r="I829" s="314"/>
      <c r="J829" s="79"/>
      <c r="K829" s="79"/>
      <c r="L829" s="79"/>
    </row>
    <row r="830">
      <c r="C830" s="79"/>
      <c r="D830" s="79"/>
      <c r="E830" s="79"/>
      <c r="F830" s="79"/>
      <c r="G830" s="79"/>
      <c r="H830" s="79"/>
      <c r="I830" s="314"/>
      <c r="J830" s="79"/>
      <c r="K830" s="79"/>
      <c r="L830" s="79"/>
    </row>
    <row r="831">
      <c r="C831" s="79"/>
      <c r="D831" s="79"/>
      <c r="E831" s="79"/>
      <c r="F831" s="79"/>
      <c r="G831" s="79"/>
      <c r="H831" s="79"/>
      <c r="I831" s="314"/>
      <c r="J831" s="79"/>
      <c r="K831" s="79"/>
      <c r="L831" s="79"/>
    </row>
    <row r="832">
      <c r="C832" s="79"/>
      <c r="D832" s="79"/>
      <c r="E832" s="79"/>
      <c r="F832" s="79"/>
      <c r="G832" s="79"/>
      <c r="H832" s="79"/>
      <c r="I832" s="314"/>
      <c r="J832" s="79"/>
      <c r="K832" s="79"/>
      <c r="L832" s="79"/>
    </row>
    <row r="833">
      <c r="C833" s="79"/>
      <c r="D833" s="79"/>
      <c r="E833" s="79"/>
      <c r="F833" s="79"/>
      <c r="G833" s="79"/>
      <c r="H833" s="79"/>
      <c r="I833" s="314"/>
      <c r="J833" s="79"/>
      <c r="K833" s="79"/>
      <c r="L833" s="79"/>
    </row>
    <row r="834">
      <c r="C834" s="79"/>
      <c r="D834" s="79"/>
      <c r="E834" s="79"/>
      <c r="F834" s="79"/>
      <c r="G834" s="79"/>
      <c r="H834" s="79"/>
      <c r="I834" s="314"/>
      <c r="J834" s="79"/>
      <c r="K834" s="79"/>
      <c r="L834" s="79"/>
    </row>
    <row r="835">
      <c r="C835" s="79"/>
      <c r="D835" s="79"/>
      <c r="E835" s="79"/>
      <c r="F835" s="79"/>
      <c r="G835" s="79"/>
      <c r="H835" s="79"/>
      <c r="I835" s="314"/>
      <c r="J835" s="79"/>
      <c r="K835" s="79"/>
      <c r="L835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56" t="s">
        <v>7</v>
      </c>
      <c r="J1" s="1" t="s">
        <v>8</v>
      </c>
      <c r="K1" s="264" t="s">
        <v>9</v>
      </c>
      <c r="L1" s="147" t="s">
        <v>10</v>
      </c>
    </row>
    <row r="2" ht="22.5" customHeight="1">
      <c r="A2" s="5" t="s">
        <v>11</v>
      </c>
      <c r="B2" s="5" t="s">
        <v>15</v>
      </c>
      <c r="C2" s="265">
        <v>466.0</v>
      </c>
      <c r="D2" s="6">
        <v>1.0</v>
      </c>
      <c r="E2" s="7">
        <v>0.0021</v>
      </c>
      <c r="F2" s="28" t="s">
        <v>946</v>
      </c>
      <c r="G2" s="6">
        <v>15.0</v>
      </c>
      <c r="H2" s="7">
        <v>0.0322</v>
      </c>
      <c r="I2" s="9" t="s">
        <v>947</v>
      </c>
      <c r="J2" s="6">
        <v>38.0</v>
      </c>
      <c r="K2" s="7">
        <v>0.0934</v>
      </c>
      <c r="L2" s="127">
        <f>100-0.69</f>
        <v>99.31</v>
      </c>
    </row>
    <row r="3" ht="22.5" customHeight="1">
      <c r="A3" s="5" t="s">
        <v>11</v>
      </c>
      <c r="B3" s="5" t="s">
        <v>13</v>
      </c>
      <c r="C3" s="265">
        <v>1304.0</v>
      </c>
      <c r="D3" s="6">
        <v>2.0</v>
      </c>
      <c r="E3" s="7">
        <v>0.0015</v>
      </c>
      <c r="F3" s="28" t="s">
        <v>950</v>
      </c>
      <c r="G3" s="6">
        <v>24.0</v>
      </c>
      <c r="H3" s="7">
        <v>0.0184</v>
      </c>
      <c r="I3" s="9" t="s">
        <v>951</v>
      </c>
      <c r="J3" s="6">
        <v>70.0</v>
      </c>
      <c r="K3" s="7">
        <v>0.0598</v>
      </c>
      <c r="L3" s="127">
        <f>100-0.1</f>
        <v>99.9</v>
      </c>
    </row>
    <row r="4" ht="22.5" customHeight="1">
      <c r="A4" s="5" t="s">
        <v>11</v>
      </c>
      <c r="B4" s="5" t="s">
        <v>27</v>
      </c>
      <c r="C4" s="265">
        <v>617.0</v>
      </c>
      <c r="D4" s="6">
        <v>1.0</v>
      </c>
      <c r="E4" s="7">
        <v>0.0016</v>
      </c>
      <c r="F4" s="28" t="s">
        <v>277</v>
      </c>
      <c r="G4" s="6">
        <v>15.0</v>
      </c>
      <c r="H4" s="7">
        <v>0.0243</v>
      </c>
      <c r="I4" s="9" t="s">
        <v>953</v>
      </c>
      <c r="J4" s="6">
        <v>38.0</v>
      </c>
      <c r="K4" s="7">
        <v>0.0696</v>
      </c>
      <c r="L4" s="13">
        <v>100.0</v>
      </c>
    </row>
    <row r="5" ht="22.5" customHeight="1">
      <c r="A5" s="5" t="s">
        <v>11</v>
      </c>
      <c r="B5" s="5" t="s">
        <v>33</v>
      </c>
      <c r="C5" s="265">
        <v>178.0</v>
      </c>
      <c r="D5" s="6" t="s">
        <v>17</v>
      </c>
      <c r="E5" s="6" t="s">
        <v>17</v>
      </c>
      <c r="F5" s="28" t="s">
        <v>17</v>
      </c>
      <c r="G5" s="6">
        <v>4.0</v>
      </c>
      <c r="H5" s="7">
        <v>0.0225</v>
      </c>
      <c r="I5" s="9" t="s">
        <v>955</v>
      </c>
      <c r="J5" s="6">
        <v>9.0</v>
      </c>
      <c r="K5" s="7">
        <v>0.0552</v>
      </c>
      <c r="L5" s="127">
        <f>100-3.03</f>
        <v>96.97</v>
      </c>
    </row>
    <row r="6" ht="22.5" customHeight="1">
      <c r="A6" s="5" t="s">
        <v>11</v>
      </c>
      <c r="B6" s="5" t="s">
        <v>918</v>
      </c>
      <c r="C6" s="265">
        <v>822.0</v>
      </c>
      <c r="D6" s="257">
        <v>1.0</v>
      </c>
      <c r="E6" s="258">
        <v>0.0012</v>
      </c>
      <c r="F6" s="259" t="s">
        <v>956</v>
      </c>
      <c r="G6" s="257">
        <v>8.0</v>
      </c>
      <c r="H6" s="258">
        <v>0.0097</v>
      </c>
      <c r="I6" s="266" t="s">
        <v>958</v>
      </c>
      <c r="J6" s="257">
        <v>100.0</v>
      </c>
      <c r="K6" s="258">
        <v>0.1366</v>
      </c>
      <c r="L6" s="64">
        <f>100-0.39</f>
        <v>99.61</v>
      </c>
    </row>
    <row r="7" ht="22.5" customHeight="1">
      <c r="A7" s="5" t="s">
        <v>11</v>
      </c>
      <c r="B7" s="5" t="s">
        <v>19</v>
      </c>
      <c r="C7" s="265">
        <v>1219.0</v>
      </c>
      <c r="D7" s="6">
        <v>1.0</v>
      </c>
      <c r="E7" s="7">
        <v>8.0E-4</v>
      </c>
      <c r="F7" s="28" t="s">
        <v>960</v>
      </c>
      <c r="G7" s="6">
        <v>10.0</v>
      </c>
      <c r="H7" s="7">
        <v>0.0082</v>
      </c>
      <c r="I7" s="9" t="s">
        <v>961</v>
      </c>
      <c r="J7" s="6">
        <v>94.0</v>
      </c>
      <c r="K7" s="7">
        <v>0.0822</v>
      </c>
      <c r="L7" s="127">
        <f>100-2.67</f>
        <v>97.33</v>
      </c>
    </row>
    <row r="8" ht="22.5" customHeight="1">
      <c r="A8" s="5" t="s">
        <v>11</v>
      </c>
      <c r="B8" s="5" t="s">
        <v>46</v>
      </c>
      <c r="C8" s="265">
        <v>61.0</v>
      </c>
      <c r="D8" s="6">
        <v>4.0</v>
      </c>
      <c r="E8" s="7">
        <v>0.0615</v>
      </c>
      <c r="F8" s="28" t="s">
        <v>964</v>
      </c>
      <c r="G8" s="6">
        <v>0.0</v>
      </c>
      <c r="H8" s="6" t="s">
        <v>17</v>
      </c>
      <c r="I8" s="9" t="s">
        <v>17</v>
      </c>
      <c r="J8" s="6">
        <v>6.0</v>
      </c>
      <c r="K8" s="7">
        <v>0.1071</v>
      </c>
      <c r="L8" s="13">
        <f>100-35.4</f>
        <v>64.6</v>
      </c>
    </row>
    <row r="9" ht="22.5" customHeight="1">
      <c r="A9" s="5" t="s">
        <v>11</v>
      </c>
      <c r="B9" s="5" t="s">
        <v>50</v>
      </c>
      <c r="C9" s="265">
        <v>412.0</v>
      </c>
      <c r="D9" s="6" t="s">
        <v>17</v>
      </c>
      <c r="E9" s="6" t="s">
        <v>17</v>
      </c>
      <c r="F9" s="28" t="s">
        <v>17</v>
      </c>
      <c r="G9" s="6">
        <v>9.0</v>
      </c>
      <c r="H9" s="7">
        <v>0.0218</v>
      </c>
      <c r="I9" s="9" t="s">
        <v>966</v>
      </c>
      <c r="J9" s="6">
        <v>54.0</v>
      </c>
      <c r="K9" s="7">
        <v>0.1492</v>
      </c>
      <c r="L9" s="13">
        <f>100-4.14</f>
        <v>95.86</v>
      </c>
    </row>
    <row r="10" ht="22.5" customHeight="1">
      <c r="A10" s="5" t="s">
        <v>11</v>
      </c>
      <c r="B10" s="5" t="s">
        <v>58</v>
      </c>
      <c r="C10" s="265">
        <v>526.0</v>
      </c>
      <c r="D10" s="6" t="s">
        <v>17</v>
      </c>
      <c r="E10" s="6" t="s">
        <v>17</v>
      </c>
      <c r="F10" s="28" t="s">
        <v>17</v>
      </c>
      <c r="G10" s="6">
        <v>23.0</v>
      </c>
      <c r="H10" s="7">
        <v>0.0437</v>
      </c>
      <c r="I10" s="9" t="s">
        <v>967</v>
      </c>
      <c r="J10" s="6">
        <v>29.0</v>
      </c>
      <c r="K10" s="7">
        <v>0.0586</v>
      </c>
      <c r="L10" s="13">
        <f>100-0.27</f>
        <v>99.73</v>
      </c>
      <c r="M10" s="154"/>
    </row>
    <row r="11" ht="22.5" customHeight="1">
      <c r="A11" s="5" t="s">
        <v>11</v>
      </c>
      <c r="B11" s="5" t="s">
        <v>64</v>
      </c>
      <c r="C11" s="265">
        <v>371.0</v>
      </c>
      <c r="D11" s="6" t="s">
        <v>17</v>
      </c>
      <c r="E11" s="6" t="s">
        <v>17</v>
      </c>
      <c r="F11" s="28" t="s">
        <v>17</v>
      </c>
      <c r="G11" s="6">
        <v>5.0</v>
      </c>
      <c r="H11" s="7">
        <v>0.0135</v>
      </c>
      <c r="I11" s="9" t="s">
        <v>969</v>
      </c>
      <c r="J11" s="6">
        <v>17.0</v>
      </c>
      <c r="K11" s="7">
        <v>0.0512</v>
      </c>
      <c r="L11" s="13">
        <v>100.0</v>
      </c>
      <c r="M11" s="155"/>
    </row>
    <row r="12" ht="22.5" customHeight="1">
      <c r="A12" s="5" t="s">
        <v>11</v>
      </c>
      <c r="B12" s="5" t="s">
        <v>71</v>
      </c>
      <c r="C12" s="265">
        <v>457.0</v>
      </c>
      <c r="D12" s="6">
        <v>1.0</v>
      </c>
      <c r="E12" s="7">
        <v>0.0022</v>
      </c>
      <c r="F12" s="28" t="s">
        <v>277</v>
      </c>
      <c r="G12" s="6">
        <v>3.0</v>
      </c>
      <c r="H12" s="7">
        <v>0.0066</v>
      </c>
      <c r="I12" s="9" t="s">
        <v>972</v>
      </c>
      <c r="J12" s="6">
        <v>21.0</v>
      </c>
      <c r="K12" s="7">
        <v>0.0517</v>
      </c>
      <c r="L12" s="127">
        <f>100-0.01</f>
        <v>99.99</v>
      </c>
      <c r="M12" s="155"/>
    </row>
    <row r="13" ht="22.5" customHeight="1">
      <c r="A13" s="5" t="s">
        <v>11</v>
      </c>
      <c r="B13" s="5" t="s">
        <v>77</v>
      </c>
      <c r="C13" s="265">
        <v>398.0</v>
      </c>
      <c r="D13" s="6">
        <v>2.0</v>
      </c>
      <c r="E13" s="7">
        <v>0.005</v>
      </c>
      <c r="F13" s="28" t="s">
        <v>975</v>
      </c>
      <c r="G13" s="6">
        <v>7.0</v>
      </c>
      <c r="H13" s="7">
        <v>0.0176</v>
      </c>
      <c r="I13" s="9" t="s">
        <v>976</v>
      </c>
      <c r="J13" s="6">
        <v>38.0</v>
      </c>
      <c r="K13" s="7">
        <v>0.1008</v>
      </c>
      <c r="L13" s="127">
        <f>100-4.21</f>
        <v>95.79</v>
      </c>
      <c r="M13" s="155"/>
    </row>
    <row r="14" ht="22.5" customHeight="1">
      <c r="A14" s="5" t="s">
        <v>11</v>
      </c>
      <c r="B14" s="5" t="s">
        <v>82</v>
      </c>
      <c r="C14" s="265">
        <v>418.0</v>
      </c>
      <c r="D14" s="6">
        <v>1.0</v>
      </c>
      <c r="E14" s="7">
        <v>0.0024</v>
      </c>
      <c r="F14" s="28" t="s">
        <v>41</v>
      </c>
      <c r="G14" s="6">
        <v>7.0</v>
      </c>
      <c r="H14" s="7">
        <v>0.0167</v>
      </c>
      <c r="I14" s="9" t="s">
        <v>979</v>
      </c>
      <c r="J14" s="6">
        <v>22.0</v>
      </c>
      <c r="K14" s="7">
        <v>0.0556</v>
      </c>
      <c r="L14" s="127">
        <f>100-0.99</f>
        <v>99.01</v>
      </c>
      <c r="M14" s="155"/>
    </row>
    <row r="15" ht="22.5" customHeight="1">
      <c r="A15" s="5" t="s">
        <v>11</v>
      </c>
      <c r="B15" s="5" t="s">
        <v>90</v>
      </c>
      <c r="C15" s="265">
        <v>452.0</v>
      </c>
      <c r="D15" s="6">
        <v>2.0</v>
      </c>
      <c r="E15" s="7">
        <v>0.0044</v>
      </c>
      <c r="F15" s="28" t="s">
        <v>980</v>
      </c>
      <c r="G15" s="6">
        <v>9.0</v>
      </c>
      <c r="H15" s="7">
        <v>0.0199</v>
      </c>
      <c r="I15" s="9" t="s">
        <v>982</v>
      </c>
      <c r="J15" s="6">
        <v>16.0</v>
      </c>
      <c r="K15" s="7">
        <v>0.0382</v>
      </c>
      <c r="L15" s="127">
        <f>100-0.19</f>
        <v>99.81</v>
      </c>
      <c r="M15" s="155"/>
    </row>
    <row r="16" ht="22.5" customHeight="1">
      <c r="A16" s="5" t="s">
        <v>11</v>
      </c>
      <c r="B16" s="5" t="s">
        <v>94</v>
      </c>
      <c r="C16" s="265">
        <v>378.0</v>
      </c>
      <c r="D16" s="6">
        <v>1.0</v>
      </c>
      <c r="E16" s="7">
        <v>0.0026</v>
      </c>
      <c r="F16" s="28" t="s">
        <v>277</v>
      </c>
      <c r="G16" s="6">
        <v>9.0</v>
      </c>
      <c r="H16" s="7">
        <v>0.0238</v>
      </c>
      <c r="I16" s="9" t="s">
        <v>983</v>
      </c>
      <c r="J16" s="6">
        <v>24.0</v>
      </c>
      <c r="K16" s="7">
        <v>0.0782</v>
      </c>
      <c r="L16" s="127">
        <f>100-0.18</f>
        <v>99.82</v>
      </c>
      <c r="M16" s="155"/>
    </row>
    <row r="17" ht="22.5" customHeight="1">
      <c r="A17" s="5" t="s">
        <v>11</v>
      </c>
      <c r="B17" s="5" t="s">
        <v>39</v>
      </c>
      <c r="C17" s="265">
        <v>886.0</v>
      </c>
      <c r="D17" s="6">
        <v>7.0</v>
      </c>
      <c r="E17" s="7">
        <v>0.0078</v>
      </c>
      <c r="F17" s="28" t="s">
        <v>985</v>
      </c>
      <c r="G17" s="6">
        <v>20.0</v>
      </c>
      <c r="H17" s="7">
        <v>0.0226</v>
      </c>
      <c r="I17" s="9" t="s">
        <v>987</v>
      </c>
      <c r="J17" s="6">
        <v>113.0</v>
      </c>
      <c r="K17" s="7">
        <v>0.1477</v>
      </c>
      <c r="L17" s="13">
        <f>100-7.01</f>
        <v>92.99</v>
      </c>
      <c r="M17" s="155"/>
    </row>
    <row r="18" ht="22.5" customHeight="1">
      <c r="A18" s="5" t="s">
        <v>11</v>
      </c>
      <c r="B18" s="5" t="s">
        <v>104</v>
      </c>
      <c r="C18" s="265">
        <v>174.0</v>
      </c>
      <c r="D18" s="6">
        <v>2.0</v>
      </c>
      <c r="E18" s="7">
        <v>0.0114</v>
      </c>
      <c r="F18" s="28" t="s">
        <v>989</v>
      </c>
      <c r="G18" s="6">
        <v>0.0</v>
      </c>
      <c r="H18" s="6" t="s">
        <v>17</v>
      </c>
      <c r="I18" s="267">
        <v>0.0</v>
      </c>
      <c r="J18" s="268">
        <v>0.0</v>
      </c>
      <c r="K18" s="269">
        <v>0.0</v>
      </c>
      <c r="L18" s="13">
        <f>100-0.96</f>
        <v>99.04</v>
      </c>
      <c r="M18" s="155"/>
    </row>
    <row r="19" ht="22.5" customHeight="1">
      <c r="A19" s="5" t="s">
        <v>11</v>
      </c>
      <c r="B19" s="5" t="s">
        <v>59</v>
      </c>
      <c r="C19" s="265">
        <v>553.0</v>
      </c>
      <c r="D19" s="6" t="s">
        <v>17</v>
      </c>
      <c r="E19" s="6" t="s">
        <v>17</v>
      </c>
      <c r="F19" s="28" t="s">
        <v>17</v>
      </c>
      <c r="G19" s="6">
        <v>15.0</v>
      </c>
      <c r="H19" s="7">
        <v>0.0271</v>
      </c>
      <c r="I19" s="9" t="s">
        <v>991</v>
      </c>
      <c r="J19" s="6">
        <v>32.0</v>
      </c>
      <c r="K19" s="7">
        <v>0.0614</v>
      </c>
      <c r="L19" s="13">
        <v>100.0</v>
      </c>
      <c r="M19" s="155"/>
    </row>
    <row r="20" ht="22.5" customHeight="1">
      <c r="A20" s="5" t="s">
        <v>11</v>
      </c>
      <c r="B20" s="5" t="s">
        <v>114</v>
      </c>
      <c r="C20" s="265">
        <v>733.0</v>
      </c>
      <c r="D20" s="6" t="s">
        <v>17</v>
      </c>
      <c r="E20" s="6" t="s">
        <v>17</v>
      </c>
      <c r="F20" s="28" t="s">
        <v>17</v>
      </c>
      <c r="G20" s="6">
        <v>13.0</v>
      </c>
      <c r="H20" s="7">
        <v>0.0177</v>
      </c>
      <c r="I20" s="9" t="s">
        <v>992</v>
      </c>
      <c r="J20" s="6">
        <v>33.0</v>
      </c>
      <c r="K20" s="7">
        <v>0.0476</v>
      </c>
      <c r="L20" s="127">
        <f>100-1.76</f>
        <v>98.24</v>
      </c>
      <c r="M20" s="155"/>
    </row>
    <row r="21" ht="22.5" customHeight="1">
      <c r="A21" s="5" t="s">
        <v>11</v>
      </c>
      <c r="B21" s="5" t="s">
        <v>119</v>
      </c>
      <c r="C21" s="265">
        <v>374.0</v>
      </c>
      <c r="D21" s="6" t="s">
        <v>17</v>
      </c>
      <c r="E21" s="6" t="s">
        <v>17</v>
      </c>
      <c r="F21" s="28" t="s">
        <v>17</v>
      </c>
      <c r="G21" s="6">
        <v>11.0</v>
      </c>
      <c r="H21" s="7">
        <v>0.0294</v>
      </c>
      <c r="I21" s="9" t="s">
        <v>993</v>
      </c>
      <c r="J21" s="6">
        <v>55.0</v>
      </c>
      <c r="K21" s="7">
        <v>0.173</v>
      </c>
      <c r="L21" s="127">
        <f>100-1.55</f>
        <v>98.45</v>
      </c>
      <c r="M21" s="155"/>
    </row>
    <row r="22" ht="22.5" customHeight="1">
      <c r="A22" s="5" t="s">
        <v>11</v>
      </c>
      <c r="B22" s="5" t="s">
        <v>126</v>
      </c>
      <c r="C22" s="265">
        <v>366.0</v>
      </c>
      <c r="D22" s="6">
        <v>1.0</v>
      </c>
      <c r="E22" s="7">
        <v>0.0027</v>
      </c>
      <c r="F22" s="28" t="s">
        <v>41</v>
      </c>
      <c r="G22" s="6">
        <v>8.0</v>
      </c>
      <c r="H22" s="7">
        <v>0.0219</v>
      </c>
      <c r="I22" s="9" t="s">
        <v>995</v>
      </c>
      <c r="J22" s="6">
        <v>42.0</v>
      </c>
      <c r="K22" s="7">
        <v>0.1273</v>
      </c>
      <c r="L22" s="127">
        <f>100-1.47</f>
        <v>98.53</v>
      </c>
      <c r="M22" s="155"/>
    </row>
    <row r="23" ht="22.5" customHeight="1">
      <c r="A23" s="5" t="s">
        <v>11</v>
      </c>
      <c r="B23" s="5" t="s">
        <v>136</v>
      </c>
      <c r="C23" s="265">
        <v>297.0</v>
      </c>
      <c r="D23" s="6">
        <v>2.0</v>
      </c>
      <c r="E23" s="7">
        <v>0.0067</v>
      </c>
      <c r="F23" s="28" t="s">
        <v>999</v>
      </c>
      <c r="G23" s="6">
        <v>13.0</v>
      </c>
      <c r="H23" s="7">
        <v>0.0438</v>
      </c>
      <c r="I23" s="9" t="s">
        <v>1000</v>
      </c>
      <c r="J23" s="6">
        <v>27.0</v>
      </c>
      <c r="K23" s="7">
        <v>0.0978</v>
      </c>
      <c r="L23" s="127">
        <f>100-2.5</f>
        <v>97.5</v>
      </c>
      <c r="M23" s="155"/>
    </row>
    <row r="24" ht="22.5" customHeight="1">
      <c r="A24" s="5" t="s">
        <v>11</v>
      </c>
      <c r="B24" s="5" t="s">
        <v>72</v>
      </c>
      <c r="C24" s="265">
        <v>421.0</v>
      </c>
      <c r="D24" s="6">
        <v>4.0</v>
      </c>
      <c r="E24" s="7">
        <v>0.0094</v>
      </c>
      <c r="F24" s="28" t="s">
        <v>1003</v>
      </c>
      <c r="G24" s="6">
        <v>3.0</v>
      </c>
      <c r="H24" s="7">
        <v>0.0071</v>
      </c>
      <c r="I24" s="9" t="s">
        <v>1004</v>
      </c>
      <c r="J24" s="6">
        <v>43.0</v>
      </c>
      <c r="K24" s="7">
        <v>0.1175</v>
      </c>
      <c r="L24" s="13">
        <v>100.0</v>
      </c>
      <c r="M24" s="155"/>
    </row>
    <row r="25" ht="22.5" customHeight="1">
      <c r="A25" s="5" t="s">
        <v>11</v>
      </c>
      <c r="B25" s="5" t="s">
        <v>145</v>
      </c>
      <c r="C25" s="265">
        <v>391.0</v>
      </c>
      <c r="D25" s="6" t="s">
        <v>17</v>
      </c>
      <c r="E25" s="6" t="s">
        <v>17</v>
      </c>
      <c r="F25" s="28" t="s">
        <v>17</v>
      </c>
      <c r="G25" s="6">
        <v>9.0</v>
      </c>
      <c r="H25" s="7">
        <v>0.023</v>
      </c>
      <c r="I25" s="9" t="s">
        <v>1006</v>
      </c>
      <c r="J25" s="6">
        <v>17.0</v>
      </c>
      <c r="K25" s="7">
        <v>0.05</v>
      </c>
      <c r="L25" s="127">
        <f>100-5.34</f>
        <v>94.66</v>
      </c>
      <c r="M25" s="155"/>
    </row>
    <row r="26" ht="22.5" customHeight="1">
      <c r="A26" s="5" t="s">
        <v>11</v>
      </c>
      <c r="B26" s="5" t="s">
        <v>85</v>
      </c>
      <c r="C26" s="265">
        <v>309.0</v>
      </c>
      <c r="D26" s="6">
        <v>3.0</v>
      </c>
      <c r="E26" s="7">
        <v>0.0096</v>
      </c>
      <c r="F26" s="28" t="s">
        <v>1010</v>
      </c>
      <c r="G26" s="6">
        <v>20.0</v>
      </c>
      <c r="H26" s="7">
        <v>0.0647</v>
      </c>
      <c r="I26" s="9" t="s">
        <v>1011</v>
      </c>
      <c r="J26" s="6">
        <v>43.0</v>
      </c>
      <c r="K26" s="7">
        <v>0.1547</v>
      </c>
      <c r="L26" s="127">
        <f>100-0.39</f>
        <v>99.61</v>
      </c>
      <c r="M26" s="155"/>
    </row>
    <row r="27" ht="22.5" customHeight="1">
      <c r="A27" s="5" t="s">
        <v>11</v>
      </c>
      <c r="B27" s="35" t="s">
        <v>79</v>
      </c>
      <c r="C27" s="265">
        <v>430.0</v>
      </c>
      <c r="D27" s="6" t="s">
        <v>17</v>
      </c>
      <c r="E27" s="6" t="s">
        <v>17</v>
      </c>
      <c r="F27" s="28" t="s">
        <v>17</v>
      </c>
      <c r="G27" s="6">
        <v>9.0</v>
      </c>
      <c r="H27" s="7">
        <v>0.0209</v>
      </c>
      <c r="I27" s="9" t="s">
        <v>1014</v>
      </c>
      <c r="J27" s="6">
        <v>28.0</v>
      </c>
      <c r="K27" s="7">
        <v>0.0691</v>
      </c>
      <c r="L27" s="127">
        <f>100-0.34</f>
        <v>99.66</v>
      </c>
      <c r="M27" s="155"/>
    </row>
    <row r="28" ht="22.5" customHeight="1">
      <c r="A28" s="5" t="s">
        <v>11</v>
      </c>
      <c r="B28" s="5" t="s">
        <v>109</v>
      </c>
      <c r="C28" s="265">
        <v>455.0</v>
      </c>
      <c r="D28" s="6">
        <v>1.0</v>
      </c>
      <c r="E28" s="7">
        <v>0.0022</v>
      </c>
      <c r="F28" s="28" t="s">
        <v>1018</v>
      </c>
      <c r="G28" s="6">
        <v>6.0</v>
      </c>
      <c r="H28" s="7">
        <v>0.0132</v>
      </c>
      <c r="I28" s="9" t="s">
        <v>1019</v>
      </c>
      <c r="J28" s="6">
        <v>21.0</v>
      </c>
      <c r="K28" s="7">
        <v>0.0499</v>
      </c>
      <c r="L28" s="127">
        <f>100-3.68</f>
        <v>96.32</v>
      </c>
      <c r="M28" s="155"/>
    </row>
    <row r="29" ht="22.5" customHeight="1">
      <c r="A29" s="5" t="s">
        <v>11</v>
      </c>
      <c r="B29" s="5" t="s">
        <v>49</v>
      </c>
      <c r="C29" s="265">
        <v>700.0</v>
      </c>
      <c r="D29" s="6" t="s">
        <v>17</v>
      </c>
      <c r="E29" s="6" t="s">
        <v>17</v>
      </c>
      <c r="F29" s="28" t="s">
        <v>17</v>
      </c>
      <c r="G29" s="6">
        <v>15.0</v>
      </c>
      <c r="H29" s="7">
        <v>0.0214</v>
      </c>
      <c r="I29" s="9" t="s">
        <v>1023</v>
      </c>
      <c r="J29" s="6">
        <v>44.0</v>
      </c>
      <c r="K29" s="7">
        <v>0.0668</v>
      </c>
      <c r="L29" s="13">
        <v>100.0</v>
      </c>
      <c r="M29" s="155"/>
    </row>
    <row r="30" ht="22.5" customHeight="1">
      <c r="A30" s="5" t="s">
        <v>11</v>
      </c>
      <c r="B30" s="5" t="s">
        <v>115</v>
      </c>
      <c r="C30" s="265">
        <v>461.0</v>
      </c>
      <c r="D30" s="6" t="s">
        <v>17</v>
      </c>
      <c r="E30" s="6" t="s">
        <v>17</v>
      </c>
      <c r="F30" s="28" t="s">
        <v>17</v>
      </c>
      <c r="G30" s="6">
        <v>3.0</v>
      </c>
      <c r="H30" s="7">
        <v>0.0065</v>
      </c>
      <c r="I30" s="9" t="s">
        <v>1027</v>
      </c>
      <c r="J30" s="6">
        <v>26.0</v>
      </c>
      <c r="K30" s="7">
        <v>0.0637</v>
      </c>
      <c r="L30" s="127">
        <f>100-0.25</f>
        <v>99.75</v>
      </c>
      <c r="M30" s="155"/>
    </row>
    <row r="31" ht="22.5" customHeight="1">
      <c r="A31" s="5" t="s">
        <v>11</v>
      </c>
      <c r="B31" s="5" t="s">
        <v>45</v>
      </c>
      <c r="C31" s="265">
        <v>701.0</v>
      </c>
      <c r="D31" s="6" t="s">
        <v>17</v>
      </c>
      <c r="E31" s="6" t="s">
        <v>17</v>
      </c>
      <c r="F31" s="28" t="s">
        <v>17</v>
      </c>
      <c r="G31" s="6">
        <v>6.0</v>
      </c>
      <c r="H31" s="7">
        <v>0.0086</v>
      </c>
      <c r="I31" s="9" t="s">
        <v>1029</v>
      </c>
      <c r="J31" s="6">
        <v>29.0</v>
      </c>
      <c r="K31" s="7">
        <v>0.0452</v>
      </c>
      <c r="L31" s="13">
        <f t="shared" ref="L31:L32" si="1">100-1.8</f>
        <v>98.2</v>
      </c>
      <c r="M31" s="155"/>
    </row>
    <row r="32" ht="22.5" customHeight="1">
      <c r="A32" s="5" t="s">
        <v>11</v>
      </c>
      <c r="B32" s="5" t="s">
        <v>170</v>
      </c>
      <c r="C32" s="265">
        <v>322.0</v>
      </c>
      <c r="D32" s="6" t="s">
        <v>17</v>
      </c>
      <c r="E32" s="6" t="s">
        <v>17</v>
      </c>
      <c r="F32" s="28" t="s">
        <v>17</v>
      </c>
      <c r="G32" s="6">
        <v>7.0</v>
      </c>
      <c r="H32" s="7">
        <v>0.0217</v>
      </c>
      <c r="I32" s="9" t="s">
        <v>1031</v>
      </c>
      <c r="J32" s="6">
        <v>41.0</v>
      </c>
      <c r="K32" s="7">
        <v>0.1367</v>
      </c>
      <c r="L32" s="127">
        <f t="shared" si="1"/>
        <v>98.2</v>
      </c>
      <c r="M32" s="155"/>
    </row>
    <row r="33" ht="22.5" customHeight="1">
      <c r="A33" s="5" t="s">
        <v>11</v>
      </c>
      <c r="B33" s="5" t="s">
        <v>123</v>
      </c>
      <c r="C33" s="265">
        <v>437.0</v>
      </c>
      <c r="D33" s="6">
        <v>1.0</v>
      </c>
      <c r="E33" s="7">
        <v>0.0023</v>
      </c>
      <c r="F33" s="28" t="s">
        <v>173</v>
      </c>
      <c r="G33" s="6">
        <v>15.0</v>
      </c>
      <c r="H33" s="7">
        <v>0.0343</v>
      </c>
      <c r="I33" s="9" t="s">
        <v>1033</v>
      </c>
      <c r="J33" s="6">
        <v>30.0</v>
      </c>
      <c r="K33" s="7">
        <v>0.0752</v>
      </c>
      <c r="L33" s="13">
        <f>100-2.59</f>
        <v>97.41</v>
      </c>
      <c r="M33" s="155"/>
    </row>
    <row r="34" ht="22.5" customHeight="1">
      <c r="A34" s="5" t="s">
        <v>11</v>
      </c>
      <c r="B34" s="5" t="s">
        <v>96</v>
      </c>
      <c r="C34" s="265">
        <v>425.0</v>
      </c>
      <c r="D34" s="6">
        <v>1.0</v>
      </c>
      <c r="E34" s="7">
        <v>0.0023</v>
      </c>
      <c r="F34" s="28" t="s">
        <v>277</v>
      </c>
      <c r="G34" s="6">
        <v>8.0</v>
      </c>
      <c r="H34" s="7">
        <v>0.0188</v>
      </c>
      <c r="I34" s="9" t="s">
        <v>1036</v>
      </c>
      <c r="J34" s="6">
        <v>35.0</v>
      </c>
      <c r="K34" s="7">
        <v>0.0928</v>
      </c>
      <c r="L34" s="127">
        <f>100-6.03</f>
        <v>93.97</v>
      </c>
      <c r="M34" s="155"/>
    </row>
    <row r="35" ht="22.5" customHeight="1">
      <c r="A35" s="5" t="s">
        <v>11</v>
      </c>
      <c r="B35" s="5" t="s">
        <v>156</v>
      </c>
      <c r="C35" s="265">
        <v>441.0</v>
      </c>
      <c r="D35" s="6">
        <v>1.0</v>
      </c>
      <c r="E35" s="7">
        <v>0.0023</v>
      </c>
      <c r="F35" s="28" t="s">
        <v>1041</v>
      </c>
      <c r="G35" s="6">
        <v>12.0</v>
      </c>
      <c r="H35" s="7">
        <v>0.0295</v>
      </c>
      <c r="I35" s="9" t="s">
        <v>1042</v>
      </c>
      <c r="J35" s="6">
        <v>29.0</v>
      </c>
      <c r="K35" s="7">
        <v>0.073</v>
      </c>
      <c r="L35" s="13">
        <v>100.0</v>
      </c>
      <c r="M35" s="155"/>
    </row>
    <row r="36" ht="22.5" customHeight="1">
      <c r="A36" s="5" t="s">
        <v>11</v>
      </c>
      <c r="B36" s="5" t="s">
        <v>153</v>
      </c>
      <c r="C36" s="265">
        <v>310.0</v>
      </c>
      <c r="D36" s="6">
        <v>1.0</v>
      </c>
      <c r="E36" s="7">
        <v>0.0032</v>
      </c>
      <c r="F36" s="28" t="s">
        <v>277</v>
      </c>
      <c r="G36" s="6">
        <v>12.0</v>
      </c>
      <c r="H36" s="7">
        <v>0.0387</v>
      </c>
      <c r="I36" s="9" t="s">
        <v>1044</v>
      </c>
      <c r="J36" s="6">
        <v>6.0</v>
      </c>
      <c r="K36" s="7">
        <v>0.0215</v>
      </c>
      <c r="L36" s="13">
        <f>100-2.1</f>
        <v>97.9</v>
      </c>
      <c r="M36" s="155"/>
    </row>
    <row r="37" ht="22.5" customHeight="1">
      <c r="A37" s="5" t="s">
        <v>11</v>
      </c>
      <c r="B37" s="5" t="s">
        <v>159</v>
      </c>
      <c r="C37" s="265">
        <v>316.0</v>
      </c>
      <c r="D37" s="6" t="s">
        <v>17</v>
      </c>
      <c r="E37" s="6" t="s">
        <v>17</v>
      </c>
      <c r="F37" s="28" t="s">
        <v>17</v>
      </c>
      <c r="G37" s="6">
        <v>3.0</v>
      </c>
      <c r="H37" s="7">
        <v>0.0095</v>
      </c>
      <c r="I37" s="9" t="s">
        <v>1048</v>
      </c>
      <c r="J37" s="6">
        <v>12.0</v>
      </c>
      <c r="K37" s="7">
        <v>0.043</v>
      </c>
      <c r="L37" s="127">
        <f>100-0.42</f>
        <v>99.58</v>
      </c>
      <c r="M37" s="155"/>
    </row>
    <row r="38" ht="22.5" customHeight="1">
      <c r="A38" s="5" t="s">
        <v>11</v>
      </c>
      <c r="B38" s="5" t="s">
        <v>26</v>
      </c>
      <c r="C38" s="265">
        <v>899.0</v>
      </c>
      <c r="D38" s="6">
        <v>4.0</v>
      </c>
      <c r="E38" s="7">
        <v>0.0044</v>
      </c>
      <c r="F38" s="28" t="s">
        <v>1052</v>
      </c>
      <c r="G38" s="6">
        <v>25.0</v>
      </c>
      <c r="H38" s="7">
        <v>0.0278</v>
      </c>
      <c r="I38" s="9" t="s">
        <v>1053</v>
      </c>
      <c r="J38" s="6">
        <v>57.0</v>
      </c>
      <c r="K38" s="7">
        <v>0.0691</v>
      </c>
      <c r="L38" s="13">
        <v>100.0</v>
      </c>
      <c r="M38" s="155"/>
    </row>
    <row r="39" ht="22.5" customHeight="1">
      <c r="A39" s="5" t="s">
        <v>11</v>
      </c>
      <c r="B39" s="5" t="s">
        <v>23</v>
      </c>
      <c r="C39" s="265">
        <v>853.0</v>
      </c>
      <c r="D39" s="6" t="s">
        <v>17</v>
      </c>
      <c r="E39" s="6" t="s">
        <v>17</v>
      </c>
      <c r="F39" s="28" t="s">
        <v>17</v>
      </c>
      <c r="G39" s="6">
        <v>22.0</v>
      </c>
      <c r="H39" s="7">
        <v>0.0258</v>
      </c>
      <c r="I39" s="9" t="s">
        <v>1060</v>
      </c>
      <c r="J39" s="6">
        <v>72.0</v>
      </c>
      <c r="K39" s="7">
        <v>0.0907</v>
      </c>
      <c r="L39" s="127">
        <f>100-0.9</f>
        <v>99.1</v>
      </c>
      <c r="M39" s="155"/>
    </row>
    <row r="40" ht="22.5" customHeight="1">
      <c r="A40" s="5" t="s">
        <v>11</v>
      </c>
      <c r="B40" s="5" t="s">
        <v>63</v>
      </c>
      <c r="C40" s="265">
        <v>595.0</v>
      </c>
      <c r="D40" s="6">
        <v>1.0</v>
      </c>
      <c r="E40" s="7">
        <v>0.0017</v>
      </c>
      <c r="F40" s="28" t="s">
        <v>1063</v>
      </c>
      <c r="G40" s="6">
        <v>8.0</v>
      </c>
      <c r="H40" s="7">
        <v>0.0134</v>
      </c>
      <c r="I40" s="267" t="s">
        <v>1064</v>
      </c>
      <c r="J40" s="6">
        <v>26.0</v>
      </c>
      <c r="K40" s="7">
        <v>0.0459</v>
      </c>
      <c r="L40" s="13">
        <v>100.0</v>
      </c>
      <c r="M40" s="155"/>
    </row>
    <row r="41" ht="22.5" customHeight="1">
      <c r="A41" s="5" t="s">
        <v>185</v>
      </c>
      <c r="B41" s="5" t="s">
        <v>15</v>
      </c>
      <c r="C41" s="6">
        <v>38.0</v>
      </c>
      <c r="D41" s="47">
        <v>0.0</v>
      </c>
      <c r="E41" s="47" t="s">
        <v>258</v>
      </c>
      <c r="F41" s="28">
        <v>0.0</v>
      </c>
      <c r="G41" s="174">
        <v>1.0</v>
      </c>
      <c r="H41" s="174" t="s">
        <v>456</v>
      </c>
      <c r="I41" s="272">
        <v>6844.0</v>
      </c>
      <c r="J41" s="57">
        <v>19.0</v>
      </c>
      <c r="K41" s="47" t="s">
        <v>384</v>
      </c>
      <c r="L41" s="47" t="s">
        <v>250</v>
      </c>
      <c r="M41" s="155"/>
    </row>
    <row r="42" ht="22.5" customHeight="1">
      <c r="A42" s="5" t="s">
        <v>185</v>
      </c>
      <c r="B42" s="5" t="s">
        <v>13</v>
      </c>
      <c r="C42" s="201">
        <v>484.0</v>
      </c>
      <c r="D42" s="47">
        <v>1.0</v>
      </c>
      <c r="E42" s="47" t="s">
        <v>634</v>
      </c>
      <c r="F42" s="28">
        <v>0.0</v>
      </c>
      <c r="G42" s="174">
        <v>16.0</v>
      </c>
      <c r="H42" s="174" t="s">
        <v>1076</v>
      </c>
      <c r="I42" s="47">
        <v>28246.0</v>
      </c>
      <c r="J42" s="57">
        <v>174.0</v>
      </c>
      <c r="K42" s="47" t="s">
        <v>1079</v>
      </c>
      <c r="L42" s="47" t="s">
        <v>298</v>
      </c>
      <c r="M42" s="155"/>
    </row>
    <row r="43" ht="22.5" customHeight="1">
      <c r="A43" s="5" t="s">
        <v>185</v>
      </c>
      <c r="B43" s="5" t="s">
        <v>27</v>
      </c>
      <c r="C43" s="13">
        <v>237.0</v>
      </c>
      <c r="D43" s="47">
        <v>0.0</v>
      </c>
      <c r="E43" s="47" t="s">
        <v>258</v>
      </c>
      <c r="F43" s="28">
        <v>0.0</v>
      </c>
      <c r="G43" s="174">
        <v>5.0</v>
      </c>
      <c r="H43" s="174" t="s">
        <v>1083</v>
      </c>
      <c r="I43" s="47" t="s">
        <v>1084</v>
      </c>
      <c r="J43" s="57">
        <v>66.0</v>
      </c>
      <c r="K43" s="47" t="s">
        <v>1086</v>
      </c>
      <c r="L43" s="47" t="s">
        <v>298</v>
      </c>
      <c r="M43" s="155"/>
    </row>
    <row r="44" ht="22.5" customHeight="1">
      <c r="A44" s="5" t="s">
        <v>185</v>
      </c>
      <c r="B44" s="5" t="s">
        <v>33</v>
      </c>
      <c r="C44" s="13">
        <v>278.0</v>
      </c>
      <c r="D44" s="47">
        <v>1.0</v>
      </c>
      <c r="E44" s="47" t="s">
        <v>1090</v>
      </c>
      <c r="F44" s="28">
        <v>0.0</v>
      </c>
      <c r="G44" s="174">
        <v>9.0</v>
      </c>
      <c r="H44" s="174" t="s">
        <v>709</v>
      </c>
      <c r="I44" s="47" t="s">
        <v>1091</v>
      </c>
      <c r="J44" s="57">
        <v>112.0</v>
      </c>
      <c r="K44" s="47" t="s">
        <v>1092</v>
      </c>
      <c r="L44" s="47" t="s">
        <v>1093</v>
      </c>
      <c r="M44" s="155"/>
    </row>
    <row r="45" ht="22.5" customHeight="1">
      <c r="A45" s="5" t="s">
        <v>185</v>
      </c>
      <c r="B45" s="5" t="s">
        <v>19</v>
      </c>
      <c r="C45" s="202">
        <v>359.0</v>
      </c>
      <c r="D45" s="47">
        <v>0.0</v>
      </c>
      <c r="E45" s="47" t="s">
        <v>258</v>
      </c>
      <c r="F45" s="28">
        <v>0.0</v>
      </c>
      <c r="G45" s="174">
        <v>18.0</v>
      </c>
      <c r="H45" s="174" t="s">
        <v>793</v>
      </c>
      <c r="I45" s="47" t="s">
        <v>1094</v>
      </c>
      <c r="J45" s="57">
        <v>128.0</v>
      </c>
      <c r="K45" s="47" t="s">
        <v>1095</v>
      </c>
      <c r="L45" s="47" t="s">
        <v>1096</v>
      </c>
      <c r="M45" s="155"/>
    </row>
    <row r="46" ht="22.5" customHeight="1">
      <c r="A46" s="5" t="s">
        <v>185</v>
      </c>
      <c r="B46" s="5" t="s">
        <v>58</v>
      </c>
      <c r="C46" s="13">
        <v>196.0</v>
      </c>
      <c r="D46" s="47">
        <v>0.0</v>
      </c>
      <c r="E46" s="211" t="s">
        <v>258</v>
      </c>
      <c r="F46" s="28">
        <v>0.0</v>
      </c>
      <c r="G46" s="174">
        <v>14.0</v>
      </c>
      <c r="H46" s="174" t="s">
        <v>1097</v>
      </c>
      <c r="I46" s="47" t="s">
        <v>1098</v>
      </c>
      <c r="J46" s="57">
        <v>92.0</v>
      </c>
      <c r="K46" s="47" t="s">
        <v>323</v>
      </c>
      <c r="L46" s="47" t="s">
        <v>298</v>
      </c>
      <c r="M46" s="204"/>
    </row>
    <row r="47" ht="22.5" customHeight="1">
      <c r="A47" s="5" t="s">
        <v>185</v>
      </c>
      <c r="B47" s="5" t="s">
        <v>77</v>
      </c>
      <c r="C47" s="13">
        <v>75.0</v>
      </c>
      <c r="D47" s="47">
        <v>0.0</v>
      </c>
      <c r="E47" s="47" t="s">
        <v>258</v>
      </c>
      <c r="F47" s="28">
        <v>0.0</v>
      </c>
      <c r="G47" s="174">
        <v>4.0</v>
      </c>
      <c r="H47" s="174" t="s">
        <v>841</v>
      </c>
      <c r="I47" s="47" t="s">
        <v>1099</v>
      </c>
      <c r="J47" s="57">
        <v>27.0</v>
      </c>
      <c r="K47" s="47" t="s">
        <v>1100</v>
      </c>
      <c r="L47" s="47" t="s">
        <v>1101</v>
      </c>
      <c r="M47" s="155"/>
    </row>
    <row r="48" ht="22.5" customHeight="1">
      <c r="A48" s="5" t="s">
        <v>185</v>
      </c>
      <c r="B48" s="5" t="s">
        <v>82</v>
      </c>
      <c r="C48" s="13">
        <v>104.0</v>
      </c>
      <c r="D48" s="47">
        <v>0.0</v>
      </c>
      <c r="E48" s="47" t="s">
        <v>258</v>
      </c>
      <c r="F48" s="28">
        <v>0.0</v>
      </c>
      <c r="G48" s="174">
        <v>3.0</v>
      </c>
      <c r="H48" s="174" t="s">
        <v>359</v>
      </c>
      <c r="I48" s="47" t="s">
        <v>1102</v>
      </c>
      <c r="J48" s="57">
        <v>14.0</v>
      </c>
      <c r="K48" s="47" t="s">
        <v>1103</v>
      </c>
      <c r="L48" s="47" t="s">
        <v>298</v>
      </c>
      <c r="M48" s="155"/>
    </row>
    <row r="49" ht="22.5" customHeight="1">
      <c r="A49" s="5" t="s">
        <v>185</v>
      </c>
      <c r="B49" s="50" t="s">
        <v>94</v>
      </c>
      <c r="C49" s="13">
        <v>0.0</v>
      </c>
      <c r="D49" s="50">
        <v>0.0</v>
      </c>
      <c r="E49" s="47" t="s">
        <v>258</v>
      </c>
      <c r="F49" s="28">
        <v>0.0</v>
      </c>
      <c r="G49" s="50">
        <v>0.0</v>
      </c>
      <c r="H49" s="50">
        <v>0.0</v>
      </c>
      <c r="I49" s="203">
        <v>0.0</v>
      </c>
      <c r="J49" s="57">
        <v>0.0</v>
      </c>
      <c r="K49" s="55">
        <v>0.0</v>
      </c>
      <c r="L49" s="47" t="s">
        <v>1104</v>
      </c>
      <c r="M49" s="155"/>
    </row>
    <row r="50" ht="22.5" customHeight="1">
      <c r="A50" s="5" t="s">
        <v>185</v>
      </c>
      <c r="B50" s="5" t="s">
        <v>90</v>
      </c>
      <c r="C50" s="13">
        <v>21.0</v>
      </c>
      <c r="D50" s="50">
        <v>0.0</v>
      </c>
      <c r="E50" s="47" t="s">
        <v>258</v>
      </c>
      <c r="F50" s="28">
        <v>0.0</v>
      </c>
      <c r="G50" s="50">
        <v>0.0</v>
      </c>
      <c r="H50" s="50">
        <v>0.0</v>
      </c>
      <c r="I50" s="203">
        <v>0.0</v>
      </c>
      <c r="J50" s="57">
        <v>8.0</v>
      </c>
      <c r="K50" s="47" t="s">
        <v>486</v>
      </c>
      <c r="L50" s="47" t="s">
        <v>298</v>
      </c>
      <c r="M50" s="155"/>
    </row>
    <row r="51" ht="22.5" customHeight="1">
      <c r="A51" s="5" t="s">
        <v>185</v>
      </c>
      <c r="B51" s="5" t="s">
        <v>39</v>
      </c>
      <c r="C51" s="13">
        <v>41.0</v>
      </c>
      <c r="D51" s="47">
        <v>0.0</v>
      </c>
      <c r="E51" s="47" t="s">
        <v>258</v>
      </c>
      <c r="F51" s="28">
        <v>0.0</v>
      </c>
      <c r="G51" s="174">
        <v>2.0</v>
      </c>
      <c r="H51" s="174" t="s">
        <v>1024</v>
      </c>
      <c r="I51" s="203">
        <v>0.0</v>
      </c>
      <c r="J51" s="57">
        <v>20.0</v>
      </c>
      <c r="K51" s="47" t="s">
        <v>1105</v>
      </c>
      <c r="L51" s="47" t="s">
        <v>298</v>
      </c>
      <c r="M51" s="155"/>
    </row>
    <row r="52" ht="22.5" customHeight="1">
      <c r="A52" s="5" t="s">
        <v>185</v>
      </c>
      <c r="B52" s="5" t="s">
        <v>59</v>
      </c>
      <c r="C52" s="13">
        <v>102.0</v>
      </c>
      <c r="D52" s="47">
        <v>1.0</v>
      </c>
      <c r="E52" s="47" t="s">
        <v>870</v>
      </c>
      <c r="F52" s="28">
        <v>0.0</v>
      </c>
      <c r="G52" s="174">
        <v>3.0</v>
      </c>
      <c r="H52" s="174" t="s">
        <v>359</v>
      </c>
      <c r="I52" s="47">
        <v>92104.0</v>
      </c>
      <c r="J52" s="57">
        <v>35.0</v>
      </c>
      <c r="K52" s="47" t="s">
        <v>1106</v>
      </c>
      <c r="L52" s="47" t="s">
        <v>298</v>
      </c>
      <c r="M52" s="155"/>
    </row>
    <row r="53" ht="22.5" customHeight="1">
      <c r="A53" s="5" t="s">
        <v>185</v>
      </c>
      <c r="B53" s="5" t="s">
        <v>114</v>
      </c>
      <c r="C53" s="13">
        <v>132.0</v>
      </c>
      <c r="D53" s="47">
        <v>1.0</v>
      </c>
      <c r="E53" s="47" t="s">
        <v>1107</v>
      </c>
      <c r="F53" s="28">
        <v>0.0</v>
      </c>
      <c r="G53" s="174">
        <v>8.0</v>
      </c>
      <c r="H53" s="174" t="s">
        <v>1108</v>
      </c>
      <c r="I53" s="47" t="s">
        <v>1109</v>
      </c>
      <c r="J53" s="57">
        <v>79.0</v>
      </c>
      <c r="K53" s="47" t="s">
        <v>1110</v>
      </c>
      <c r="L53" s="47" t="s">
        <v>298</v>
      </c>
      <c r="M53" s="155"/>
    </row>
    <row r="54" ht="22.5" customHeight="1">
      <c r="A54" s="5" t="s">
        <v>185</v>
      </c>
      <c r="B54" s="5" t="s">
        <v>136</v>
      </c>
      <c r="C54" s="13">
        <v>68.0</v>
      </c>
      <c r="D54" s="47">
        <v>0.0</v>
      </c>
      <c r="E54" s="47" t="s">
        <v>258</v>
      </c>
      <c r="F54" s="28">
        <v>0.0</v>
      </c>
      <c r="G54" s="174">
        <v>6.0</v>
      </c>
      <c r="H54" s="174" t="s">
        <v>1111</v>
      </c>
      <c r="I54" s="47" t="s">
        <v>1112</v>
      </c>
      <c r="J54" s="57">
        <v>33.0</v>
      </c>
      <c r="K54" s="47" t="s">
        <v>1113</v>
      </c>
      <c r="L54" s="47" t="s">
        <v>298</v>
      </c>
      <c r="M54" s="155"/>
    </row>
    <row r="55" ht="22.5" customHeight="1">
      <c r="A55" s="5" t="s">
        <v>185</v>
      </c>
      <c r="B55" s="5" t="s">
        <v>85</v>
      </c>
      <c r="C55" s="13">
        <v>242.0</v>
      </c>
      <c r="D55" s="49">
        <v>0.0</v>
      </c>
      <c r="E55" s="49" t="s">
        <v>258</v>
      </c>
      <c r="F55" s="28">
        <v>0.0</v>
      </c>
      <c r="G55" s="174">
        <v>5.0</v>
      </c>
      <c r="H55" s="174" t="s">
        <v>1114</v>
      </c>
      <c r="I55" s="47">
        <v>61634.0</v>
      </c>
      <c r="J55" s="57">
        <v>60.0</v>
      </c>
      <c r="K55" s="47" t="s">
        <v>1115</v>
      </c>
      <c r="L55" s="47" t="s">
        <v>1116</v>
      </c>
      <c r="M55" s="155"/>
    </row>
    <row r="56" ht="22.5" customHeight="1">
      <c r="A56" s="5" t="s">
        <v>185</v>
      </c>
      <c r="B56" s="35" t="s">
        <v>79</v>
      </c>
      <c r="C56" s="13">
        <v>157.0</v>
      </c>
      <c r="D56" s="49">
        <v>1.0</v>
      </c>
      <c r="E56" s="49" t="s">
        <v>247</v>
      </c>
      <c r="F56" s="28">
        <v>0.0</v>
      </c>
      <c r="G56" s="174">
        <v>6.0</v>
      </c>
      <c r="H56" s="174" t="s">
        <v>818</v>
      </c>
      <c r="I56" s="47" t="s">
        <v>1117</v>
      </c>
      <c r="J56" s="57">
        <v>54.0</v>
      </c>
      <c r="K56" s="47" t="s">
        <v>1118</v>
      </c>
      <c r="L56" s="47" t="s">
        <v>298</v>
      </c>
      <c r="M56" s="155"/>
    </row>
    <row r="57" ht="22.5" customHeight="1">
      <c r="A57" s="5" t="s">
        <v>185</v>
      </c>
      <c r="B57" s="5" t="s">
        <v>45</v>
      </c>
      <c r="C57" s="13">
        <v>163.0</v>
      </c>
      <c r="D57" s="47">
        <v>0.0</v>
      </c>
      <c r="E57" s="47" t="s">
        <v>258</v>
      </c>
      <c r="F57" s="28">
        <v>0.0</v>
      </c>
      <c r="G57" s="174">
        <v>10.0</v>
      </c>
      <c r="H57" s="174" t="s">
        <v>1119</v>
      </c>
      <c r="I57" s="47" t="s">
        <v>1120</v>
      </c>
      <c r="J57" s="57">
        <v>10.0</v>
      </c>
      <c r="K57" s="47" t="s">
        <v>1119</v>
      </c>
      <c r="L57" s="47" t="s">
        <v>1121</v>
      </c>
      <c r="M57" s="155"/>
    </row>
    <row r="58" ht="22.5" customHeight="1">
      <c r="A58" s="5" t="s">
        <v>185</v>
      </c>
      <c r="B58" s="5" t="s">
        <v>170</v>
      </c>
      <c r="C58" s="13">
        <v>75.0</v>
      </c>
      <c r="D58" s="47">
        <v>0.0</v>
      </c>
      <c r="E58" s="47" t="s">
        <v>258</v>
      </c>
      <c r="F58" s="28">
        <v>0.0</v>
      </c>
      <c r="G58" s="174">
        <v>2.0</v>
      </c>
      <c r="H58" s="174" t="s">
        <v>1122</v>
      </c>
      <c r="I58" s="47" t="s">
        <v>1123</v>
      </c>
      <c r="J58" s="57">
        <v>11.0</v>
      </c>
      <c r="K58" s="47" t="s">
        <v>1124</v>
      </c>
      <c r="L58" s="49" t="s">
        <v>1125</v>
      </c>
      <c r="M58" s="155"/>
    </row>
    <row r="59" ht="22.5" customHeight="1">
      <c r="A59" s="5" t="s">
        <v>185</v>
      </c>
      <c r="B59" s="5" t="s">
        <v>153</v>
      </c>
      <c r="C59" s="13">
        <v>100.0</v>
      </c>
      <c r="D59" s="47">
        <v>1.0</v>
      </c>
      <c r="E59" s="47" t="s">
        <v>1126</v>
      </c>
      <c r="F59" s="28">
        <v>0.0</v>
      </c>
      <c r="G59" s="174">
        <v>1.0</v>
      </c>
      <c r="H59" s="174" t="s">
        <v>1127</v>
      </c>
      <c r="I59" s="300">
        <v>2661555.0</v>
      </c>
      <c r="J59" s="57">
        <v>26.0</v>
      </c>
      <c r="K59" s="47" t="s">
        <v>1128</v>
      </c>
      <c r="L59" s="47" t="s">
        <v>1129</v>
      </c>
      <c r="M59" s="155"/>
    </row>
    <row r="60" ht="22.5" customHeight="1">
      <c r="A60" s="5" t="s">
        <v>185</v>
      </c>
      <c r="B60" s="5" t="s">
        <v>26</v>
      </c>
      <c r="C60" s="13">
        <v>481.0</v>
      </c>
      <c r="D60" s="302">
        <v>0.0</v>
      </c>
      <c r="E60" s="302" t="s">
        <v>258</v>
      </c>
      <c r="F60" s="28">
        <v>0.0</v>
      </c>
      <c r="G60" s="174">
        <v>10.0</v>
      </c>
      <c r="H60" s="174" t="s">
        <v>1114</v>
      </c>
      <c r="I60" s="47" t="s">
        <v>1130</v>
      </c>
      <c r="J60" s="57">
        <v>49.0</v>
      </c>
      <c r="K60" s="47" t="s">
        <v>1131</v>
      </c>
      <c r="L60" s="47" t="s">
        <v>1132</v>
      </c>
      <c r="M60" s="155"/>
    </row>
    <row r="61" ht="22.5" customHeight="1">
      <c r="A61" s="5" t="s">
        <v>185</v>
      </c>
      <c r="B61" s="5" t="s">
        <v>23</v>
      </c>
      <c r="C61" s="13">
        <v>244.0</v>
      </c>
      <c r="D61" s="47">
        <v>2.0</v>
      </c>
      <c r="E61" s="47" t="s">
        <v>1133</v>
      </c>
      <c r="F61" s="28">
        <v>0.0</v>
      </c>
      <c r="G61" s="174">
        <v>16.0</v>
      </c>
      <c r="H61" s="174" t="s">
        <v>1134</v>
      </c>
      <c r="I61" s="47" t="s">
        <v>1135</v>
      </c>
      <c r="J61" s="57">
        <v>100.0</v>
      </c>
      <c r="K61" s="47" t="s">
        <v>1136</v>
      </c>
      <c r="L61" s="47" t="s">
        <v>298</v>
      </c>
      <c r="M61" s="155"/>
    </row>
    <row r="62" ht="22.5" customHeight="1">
      <c r="A62" s="5" t="s">
        <v>185</v>
      </c>
      <c r="B62" s="5" t="s">
        <v>159</v>
      </c>
      <c r="C62" s="13">
        <v>28.0</v>
      </c>
      <c r="D62" s="47">
        <v>1.0</v>
      </c>
      <c r="E62" s="47" t="s">
        <v>1137</v>
      </c>
      <c r="F62" s="28">
        <v>0.0</v>
      </c>
      <c r="G62" s="174">
        <v>0.0</v>
      </c>
      <c r="H62" s="174" t="s">
        <v>258</v>
      </c>
      <c r="I62" s="203">
        <v>0.0</v>
      </c>
      <c r="J62" s="57">
        <v>3.0</v>
      </c>
      <c r="K62" s="47" t="s">
        <v>837</v>
      </c>
      <c r="L62" s="47" t="s">
        <v>298</v>
      </c>
      <c r="M62" s="155"/>
    </row>
    <row r="63" ht="22.5" customHeight="1">
      <c r="A63" s="5" t="s">
        <v>185</v>
      </c>
      <c r="B63" s="5" t="s">
        <v>63</v>
      </c>
      <c r="C63" s="13">
        <v>290.0</v>
      </c>
      <c r="D63" s="302">
        <v>0.0</v>
      </c>
      <c r="E63" s="302" t="s">
        <v>258</v>
      </c>
      <c r="F63" s="28">
        <v>0.0</v>
      </c>
      <c r="G63" s="174">
        <v>5.0</v>
      </c>
      <c r="H63" s="174" t="s">
        <v>1138</v>
      </c>
      <c r="I63" s="47" t="s">
        <v>1139</v>
      </c>
      <c r="J63" s="57">
        <v>83.0</v>
      </c>
      <c r="K63" s="47" t="s">
        <v>1140</v>
      </c>
      <c r="L63" s="47" t="s">
        <v>298</v>
      </c>
      <c r="M63" s="155"/>
    </row>
    <row r="64" ht="22.5" customHeight="1">
      <c r="A64" s="5" t="s">
        <v>185</v>
      </c>
      <c r="B64" s="5" t="s">
        <v>123</v>
      </c>
      <c r="C64" s="13">
        <v>23.0</v>
      </c>
      <c r="D64" s="47">
        <v>0.0</v>
      </c>
      <c r="E64" s="47" t="s">
        <v>258</v>
      </c>
      <c r="F64" s="28">
        <v>0.0</v>
      </c>
      <c r="G64" s="174">
        <v>4.0</v>
      </c>
      <c r="H64" s="174" t="s">
        <v>1141</v>
      </c>
      <c r="I64" s="47" t="s">
        <v>1142</v>
      </c>
      <c r="J64" s="57">
        <v>9.0</v>
      </c>
      <c r="K64" s="47" t="s">
        <v>1143</v>
      </c>
      <c r="L64" s="47" t="s">
        <v>1144</v>
      </c>
      <c r="M64" s="155"/>
    </row>
    <row r="65" ht="22.5" customHeight="1">
      <c r="A65" s="5" t="s">
        <v>383</v>
      </c>
      <c r="B65" s="5" t="s">
        <v>15</v>
      </c>
      <c r="C65" s="306">
        <v>0.0</v>
      </c>
      <c r="D65" s="306">
        <v>0.0</v>
      </c>
      <c r="E65" s="307">
        <v>0.0</v>
      </c>
      <c r="F65" s="28">
        <v>0.0</v>
      </c>
      <c r="G65" s="308">
        <v>0.0</v>
      </c>
      <c r="H65" s="307">
        <v>0.0</v>
      </c>
      <c r="I65" s="91">
        <v>0.0</v>
      </c>
      <c r="J65" s="308">
        <v>0.0</v>
      </c>
      <c r="K65" s="307">
        <v>0.0</v>
      </c>
      <c r="L65" s="65">
        <v>1.0</v>
      </c>
      <c r="M65" s="155"/>
    </row>
    <row r="66" ht="22.5" customHeight="1">
      <c r="A66" s="5" t="s">
        <v>383</v>
      </c>
      <c r="B66" s="5" t="s">
        <v>13</v>
      </c>
      <c r="C66" s="76">
        <v>344.0</v>
      </c>
      <c r="D66" s="76">
        <v>0.0</v>
      </c>
      <c r="E66" s="73">
        <v>0.0</v>
      </c>
      <c r="F66" s="28">
        <v>0.0</v>
      </c>
      <c r="G66" s="77">
        <v>15.0</v>
      </c>
      <c r="H66" s="73">
        <v>0.0436046511627907</v>
      </c>
      <c r="I66" s="91">
        <v>0.0</v>
      </c>
      <c r="J66" s="77">
        <v>12.0</v>
      </c>
      <c r="K66" s="312">
        <v>0.03560830860534125</v>
      </c>
      <c r="L66" s="289">
        <v>0.9942</v>
      </c>
      <c r="M66" s="155"/>
    </row>
    <row r="67" ht="22.5" customHeight="1">
      <c r="A67" s="5" t="s">
        <v>383</v>
      </c>
      <c r="B67" s="5" t="s">
        <v>27</v>
      </c>
      <c r="C67" s="76">
        <v>79.0</v>
      </c>
      <c r="D67" s="76">
        <v>0.0</v>
      </c>
      <c r="E67" s="73">
        <v>0.0</v>
      </c>
      <c r="F67" s="28">
        <v>0.0</v>
      </c>
      <c r="G67" s="77">
        <v>1.0</v>
      </c>
      <c r="H67" s="73">
        <v>0.012658227848101266</v>
      </c>
      <c r="I67" s="91">
        <v>0.0</v>
      </c>
      <c r="J67" s="77">
        <v>6.0</v>
      </c>
      <c r="K67" s="313">
        <v>0.0759493670886076</v>
      </c>
      <c r="L67" s="290">
        <v>0.8833</v>
      </c>
      <c r="M67" s="155"/>
    </row>
    <row r="68" ht="22.5" customHeight="1">
      <c r="A68" s="5" t="s">
        <v>383</v>
      </c>
      <c r="B68" s="5" t="s">
        <v>33</v>
      </c>
      <c r="C68" s="76">
        <v>138.0</v>
      </c>
      <c r="D68" s="76">
        <v>0.0</v>
      </c>
      <c r="E68" s="73">
        <v>0.0</v>
      </c>
      <c r="F68" s="28">
        <v>0.0</v>
      </c>
      <c r="G68" s="77">
        <v>0.0</v>
      </c>
      <c r="H68" s="73">
        <v>0.0</v>
      </c>
      <c r="I68" s="91">
        <v>0.0</v>
      </c>
      <c r="J68" s="77">
        <v>13.0</v>
      </c>
      <c r="K68" s="320">
        <v>0.09558823529411764</v>
      </c>
      <c r="L68" s="290">
        <v>0.9035</v>
      </c>
      <c r="M68" s="155"/>
    </row>
    <row r="69" ht="22.5" customHeight="1">
      <c r="A69" s="5" t="s">
        <v>383</v>
      </c>
      <c r="B69" s="5" t="s">
        <v>19</v>
      </c>
      <c r="C69" s="76">
        <v>232.0</v>
      </c>
      <c r="D69" s="76">
        <v>0.0</v>
      </c>
      <c r="E69" s="73">
        <v>0.0</v>
      </c>
      <c r="F69" s="28">
        <v>0.0</v>
      </c>
      <c r="G69" s="77">
        <v>5.0</v>
      </c>
      <c r="H69" s="73">
        <v>0.021551724137931036</v>
      </c>
      <c r="I69" s="91">
        <v>0.0</v>
      </c>
      <c r="J69" s="77">
        <v>19.0</v>
      </c>
      <c r="K69" s="322">
        <v>0.08260869565217391</v>
      </c>
      <c r="L69" s="289">
        <v>0.9676</v>
      </c>
      <c r="M69" s="155"/>
    </row>
    <row r="70" ht="22.5" customHeight="1">
      <c r="A70" s="5" t="s">
        <v>383</v>
      </c>
      <c r="B70" s="5" t="s">
        <v>58</v>
      </c>
      <c r="C70" s="76">
        <v>125.0</v>
      </c>
      <c r="D70" s="76">
        <v>1.0</v>
      </c>
      <c r="E70" s="73">
        <v>0.007936507936507936</v>
      </c>
      <c r="F70" s="28">
        <v>0.0</v>
      </c>
      <c r="G70" s="77">
        <v>2.0</v>
      </c>
      <c r="H70" s="73">
        <v>0.015873015873015872</v>
      </c>
      <c r="I70" s="91">
        <v>0.0</v>
      </c>
      <c r="J70" s="77">
        <v>8.0</v>
      </c>
      <c r="K70" s="323">
        <v>0.064</v>
      </c>
      <c r="L70" s="289">
        <v>0.9792</v>
      </c>
      <c r="M70" s="155"/>
    </row>
    <row r="71" ht="22.5" customHeight="1">
      <c r="A71" s="5" t="s">
        <v>383</v>
      </c>
      <c r="B71" s="5" t="s">
        <v>77</v>
      </c>
      <c r="C71" s="76">
        <v>67.0</v>
      </c>
      <c r="D71" s="76">
        <v>0.0</v>
      </c>
      <c r="E71" s="73">
        <v>0.0</v>
      </c>
      <c r="F71" s="28">
        <v>0.0</v>
      </c>
      <c r="G71" s="77">
        <v>2.0</v>
      </c>
      <c r="H71" s="73">
        <v>0.029850746268656716</v>
      </c>
      <c r="I71" s="91">
        <v>0.0</v>
      </c>
      <c r="J71" s="77">
        <v>1.0</v>
      </c>
      <c r="K71" s="324">
        <v>0.015151515151515152</v>
      </c>
      <c r="L71" s="289">
        <v>1.0</v>
      </c>
      <c r="M71" s="155"/>
    </row>
    <row r="72" ht="22.5" customHeight="1">
      <c r="A72" s="5" t="s">
        <v>383</v>
      </c>
      <c r="B72" s="5" t="s">
        <v>82</v>
      </c>
      <c r="C72" s="76">
        <v>43.0</v>
      </c>
      <c r="D72" s="76">
        <v>1.0</v>
      </c>
      <c r="E72" s="73">
        <v>0.022727272727272728</v>
      </c>
      <c r="F72" s="28">
        <v>0.0</v>
      </c>
      <c r="G72" s="77">
        <v>2.0</v>
      </c>
      <c r="H72" s="73">
        <v>0.045454545454545456</v>
      </c>
      <c r="I72" s="91">
        <v>0.0</v>
      </c>
      <c r="J72" s="77">
        <v>6.0</v>
      </c>
      <c r="K72" s="325">
        <v>0.14634146341463414</v>
      </c>
      <c r="L72" s="289">
        <v>0.9911</v>
      </c>
      <c r="M72" s="155"/>
    </row>
    <row r="73" ht="22.5" customHeight="1">
      <c r="A73" s="5" t="s">
        <v>383</v>
      </c>
      <c r="B73" s="5" t="s">
        <v>39</v>
      </c>
      <c r="C73" s="76">
        <v>136.0</v>
      </c>
      <c r="D73" s="76">
        <v>0.0</v>
      </c>
      <c r="E73" s="73">
        <v>0.0</v>
      </c>
      <c r="F73" s="28">
        <v>0.0</v>
      </c>
      <c r="G73" s="77">
        <v>3.0</v>
      </c>
      <c r="H73" s="73">
        <v>0.022058823529411766</v>
      </c>
      <c r="I73" s="91">
        <v>0.0</v>
      </c>
      <c r="J73" s="77">
        <v>6.0</v>
      </c>
      <c r="K73" s="326">
        <v>0.04477611940298507</v>
      </c>
      <c r="L73" s="290">
        <v>0.9036</v>
      </c>
      <c r="M73" s="155"/>
    </row>
    <row r="74" ht="22.5" customHeight="1">
      <c r="A74" s="5" t="s">
        <v>383</v>
      </c>
      <c r="B74" s="5" t="s">
        <v>63</v>
      </c>
      <c r="C74" s="76">
        <v>53.0</v>
      </c>
      <c r="D74" s="76">
        <v>0.0</v>
      </c>
      <c r="E74" s="73">
        <v>0.0</v>
      </c>
      <c r="F74" s="28">
        <v>0.0</v>
      </c>
      <c r="G74" s="77">
        <v>3.0</v>
      </c>
      <c r="H74" s="73">
        <v>0.05660377358490566</v>
      </c>
      <c r="I74" s="91">
        <v>0.0</v>
      </c>
      <c r="J74" s="77">
        <v>4.0</v>
      </c>
      <c r="K74" s="327">
        <v>0.07692307692307693</v>
      </c>
      <c r="L74" s="289">
        <v>0.9982</v>
      </c>
    </row>
    <row r="75" ht="22.5" customHeight="1">
      <c r="A75" s="5" t="s">
        <v>383</v>
      </c>
      <c r="B75" s="5" t="s">
        <v>59</v>
      </c>
      <c r="C75" s="76">
        <v>119.0</v>
      </c>
      <c r="D75" s="76">
        <v>0.0</v>
      </c>
      <c r="E75" s="73">
        <v>0.0</v>
      </c>
      <c r="F75" s="28">
        <v>0.0</v>
      </c>
      <c r="G75" s="77">
        <v>0.0</v>
      </c>
      <c r="H75" s="73">
        <v>0.0</v>
      </c>
      <c r="I75" s="91">
        <v>0.0</v>
      </c>
      <c r="J75" s="77">
        <v>13.0</v>
      </c>
      <c r="K75" s="328">
        <v>0.11016949152542373</v>
      </c>
      <c r="L75" s="289">
        <v>1.0</v>
      </c>
      <c r="M75" s="155"/>
    </row>
    <row r="76" ht="22.5" customHeight="1">
      <c r="A76" s="5" t="s">
        <v>383</v>
      </c>
      <c r="B76" s="5" t="s">
        <v>114</v>
      </c>
      <c r="C76" s="76">
        <v>72.0</v>
      </c>
      <c r="D76" s="76">
        <v>0.0</v>
      </c>
      <c r="E76" s="73">
        <v>0.0</v>
      </c>
      <c r="F76" s="28">
        <v>0.0</v>
      </c>
      <c r="G76" s="77">
        <v>2.0</v>
      </c>
      <c r="H76" s="73">
        <v>0.027777777777777776</v>
      </c>
      <c r="I76" s="91">
        <v>0.0</v>
      </c>
      <c r="J76" s="77">
        <v>10.0</v>
      </c>
      <c r="K76" s="329">
        <v>0.1388888888888889</v>
      </c>
      <c r="L76" s="289">
        <v>0.9962</v>
      </c>
    </row>
    <row r="77" ht="22.5" customHeight="1">
      <c r="A77" s="5" t="s">
        <v>383</v>
      </c>
      <c r="B77" s="5" t="s">
        <v>136</v>
      </c>
      <c r="C77" s="76">
        <v>73.0</v>
      </c>
      <c r="D77" s="76">
        <v>1.0</v>
      </c>
      <c r="E77" s="73">
        <v>0.013513513513513514</v>
      </c>
      <c r="F77" s="28">
        <v>0.0</v>
      </c>
      <c r="G77" s="77">
        <v>3.0</v>
      </c>
      <c r="H77" s="73">
        <v>0.04054054054054054</v>
      </c>
      <c r="I77" s="91">
        <v>0.0</v>
      </c>
      <c r="J77" s="77">
        <v>4.0</v>
      </c>
      <c r="K77" s="330">
        <v>0.0547945205479452</v>
      </c>
      <c r="L77" s="289">
        <v>1.0</v>
      </c>
    </row>
    <row r="78" ht="22.5" customHeight="1">
      <c r="A78" s="5" t="s">
        <v>383</v>
      </c>
      <c r="B78" s="96" t="s">
        <v>501</v>
      </c>
      <c r="C78" s="76">
        <v>144.0</v>
      </c>
      <c r="D78" s="76">
        <v>0.0</v>
      </c>
      <c r="E78" s="73">
        <v>0.0</v>
      </c>
      <c r="F78" s="28">
        <v>0.0</v>
      </c>
      <c r="G78" s="77">
        <v>3.0</v>
      </c>
      <c r="H78" s="73">
        <v>0.020833333333333332</v>
      </c>
      <c r="I78" s="91">
        <v>0.0</v>
      </c>
      <c r="J78" s="77">
        <v>4.0</v>
      </c>
      <c r="K78" s="331">
        <v>0.027777777777777776</v>
      </c>
      <c r="L78" s="289">
        <v>0.9903</v>
      </c>
      <c r="M78" s="243"/>
    </row>
    <row r="79" ht="22.5" customHeight="1">
      <c r="A79" s="5" t="s">
        <v>383</v>
      </c>
      <c r="B79" s="35" t="s">
        <v>79</v>
      </c>
      <c r="C79" s="76">
        <v>103.0</v>
      </c>
      <c r="D79" s="76">
        <v>1.0</v>
      </c>
      <c r="E79" s="73">
        <v>0.009615384615384616</v>
      </c>
      <c r="F79" s="28">
        <v>0.0</v>
      </c>
      <c r="G79" s="77">
        <v>3.0</v>
      </c>
      <c r="H79" s="73">
        <v>0.028846153846153848</v>
      </c>
      <c r="I79" s="91">
        <v>0.0</v>
      </c>
      <c r="J79" s="77">
        <v>2.0</v>
      </c>
      <c r="K79" s="332">
        <v>0.02040816326530612</v>
      </c>
      <c r="L79" s="289">
        <v>0.9891</v>
      </c>
    </row>
    <row r="80" ht="22.5" customHeight="1">
      <c r="A80" s="5" t="s">
        <v>383</v>
      </c>
      <c r="B80" s="5" t="s">
        <v>45</v>
      </c>
      <c r="C80" s="76">
        <v>69.0</v>
      </c>
      <c r="D80" s="76">
        <v>0.0</v>
      </c>
      <c r="E80" s="73">
        <v>0.0</v>
      </c>
      <c r="F80" s="28">
        <v>0.0</v>
      </c>
      <c r="G80" s="77">
        <v>2.0</v>
      </c>
      <c r="H80" s="73">
        <v>0.028985507246376812</v>
      </c>
      <c r="I80" s="91">
        <v>0.0</v>
      </c>
      <c r="J80" s="77">
        <v>1.0</v>
      </c>
      <c r="K80" s="324">
        <v>0.014925373134328358</v>
      </c>
      <c r="L80" s="289">
        <v>0.9908</v>
      </c>
    </row>
    <row r="81" ht="22.5" customHeight="1">
      <c r="A81" s="5" t="s">
        <v>383</v>
      </c>
      <c r="B81" s="5" t="s">
        <v>123</v>
      </c>
      <c r="C81" s="76">
        <v>47.0</v>
      </c>
      <c r="D81" s="76">
        <v>1.0</v>
      </c>
      <c r="E81" s="73">
        <v>0.020833333333333332</v>
      </c>
      <c r="F81" s="28">
        <v>0.0</v>
      </c>
      <c r="G81" s="77">
        <v>0.0</v>
      </c>
      <c r="H81" s="73">
        <v>0.0</v>
      </c>
      <c r="I81" s="91">
        <v>0.0</v>
      </c>
      <c r="J81" s="77">
        <v>1.0</v>
      </c>
      <c r="K81" s="333">
        <v>0.02127659574468085</v>
      </c>
      <c r="L81" s="289">
        <v>0.9991</v>
      </c>
    </row>
    <row r="82" ht="22.5" customHeight="1">
      <c r="A82" s="5" t="s">
        <v>383</v>
      </c>
      <c r="B82" s="5" t="s">
        <v>153</v>
      </c>
      <c r="C82" s="76">
        <v>38.0</v>
      </c>
      <c r="D82" s="76">
        <v>0.0</v>
      </c>
      <c r="E82" s="73">
        <v>0.0</v>
      </c>
      <c r="F82" s="28">
        <v>0.0</v>
      </c>
      <c r="G82" s="77">
        <v>0.0</v>
      </c>
      <c r="H82" s="73">
        <v>0.0</v>
      </c>
      <c r="I82" s="91">
        <v>0.0</v>
      </c>
      <c r="J82" s="77">
        <v>0.0</v>
      </c>
      <c r="K82" s="73">
        <v>0.0</v>
      </c>
      <c r="L82" s="289">
        <v>1.0</v>
      </c>
    </row>
    <row r="83" ht="22.5" customHeight="1">
      <c r="A83" s="5" t="s">
        <v>383</v>
      </c>
      <c r="B83" s="5" t="s">
        <v>159</v>
      </c>
      <c r="C83" s="76">
        <v>268.0</v>
      </c>
      <c r="D83" s="76">
        <v>3.0</v>
      </c>
      <c r="E83" s="73">
        <v>0.01107011070110701</v>
      </c>
      <c r="F83" s="28">
        <v>0.0</v>
      </c>
      <c r="G83" s="77">
        <v>11.0</v>
      </c>
      <c r="H83" s="73">
        <v>0.04059040590405904</v>
      </c>
      <c r="I83" s="91">
        <v>0.0</v>
      </c>
      <c r="J83" s="77">
        <v>3.0</v>
      </c>
      <c r="K83" s="334">
        <v>0.011320754716981131</v>
      </c>
      <c r="L83" s="289">
        <v>0.9777</v>
      </c>
    </row>
    <row r="84" ht="22.5" customHeight="1">
      <c r="A84" s="5" t="s">
        <v>383</v>
      </c>
      <c r="B84" s="5" t="s">
        <v>26</v>
      </c>
      <c r="C84" s="76">
        <v>123.0</v>
      </c>
      <c r="D84" s="76">
        <v>0.0</v>
      </c>
      <c r="E84" s="73">
        <v>0.0</v>
      </c>
      <c r="F84" s="28">
        <v>0.0</v>
      </c>
      <c r="G84" s="77">
        <v>4.0</v>
      </c>
      <c r="H84" s="73">
        <v>0.032520325203252036</v>
      </c>
      <c r="I84" s="91">
        <v>0.0</v>
      </c>
      <c r="J84" s="77">
        <v>6.0</v>
      </c>
      <c r="K84" s="335">
        <v>0.049586776859504134</v>
      </c>
      <c r="L84" s="289">
        <v>0.998</v>
      </c>
    </row>
    <row r="85" ht="22.5" customHeight="1">
      <c r="A85" s="5" t="s">
        <v>383</v>
      </c>
      <c r="B85" s="5" t="s">
        <v>23</v>
      </c>
      <c r="C85" s="76">
        <v>181.0</v>
      </c>
      <c r="D85" s="76">
        <v>3.0</v>
      </c>
      <c r="E85" s="73">
        <v>0.016304347826086956</v>
      </c>
      <c r="F85" s="28">
        <v>0.0</v>
      </c>
      <c r="G85" s="77">
        <v>6.0</v>
      </c>
      <c r="H85" s="73">
        <v>0.03260869565217391</v>
      </c>
      <c r="I85" s="91">
        <v>0.0</v>
      </c>
      <c r="J85" s="77">
        <v>2.0</v>
      </c>
      <c r="K85" s="334">
        <v>0.0111731843575419</v>
      </c>
      <c r="L85" s="289">
        <v>0.9703</v>
      </c>
    </row>
    <row r="86" ht="22.5" customHeight="1">
      <c r="A86" s="233"/>
      <c r="B86" s="234"/>
      <c r="C86" s="336"/>
      <c r="D86" s="336"/>
      <c r="E86" s="337"/>
      <c r="F86" s="64"/>
      <c r="G86" s="338"/>
      <c r="H86" s="337"/>
      <c r="I86" s="66"/>
      <c r="J86" s="338"/>
      <c r="K86" s="337"/>
      <c r="L86" s="339"/>
    </row>
    <row r="87">
      <c r="C87" s="108"/>
      <c r="D87" s="108"/>
      <c r="E87" s="108"/>
      <c r="F87" s="108"/>
      <c r="G87" s="108"/>
      <c r="H87" s="108"/>
      <c r="I87" s="315"/>
      <c r="J87" s="108"/>
      <c r="K87" s="108"/>
      <c r="L87" s="108"/>
    </row>
    <row r="88">
      <c r="C88" s="108"/>
      <c r="D88" s="108"/>
      <c r="E88" s="108"/>
      <c r="F88" s="108"/>
      <c r="G88" s="108"/>
      <c r="H88" s="108"/>
      <c r="I88" s="315"/>
      <c r="J88" s="108"/>
      <c r="K88" s="108"/>
      <c r="L88" s="108"/>
    </row>
    <row r="89">
      <c r="C89" s="79"/>
      <c r="D89" s="79"/>
      <c r="E89" s="79"/>
      <c r="F89" s="79"/>
      <c r="G89" s="79"/>
      <c r="H89" s="79"/>
      <c r="I89" s="314"/>
      <c r="J89" s="79"/>
      <c r="K89" s="79"/>
      <c r="L89" s="79"/>
    </row>
    <row r="90">
      <c r="C90" s="79"/>
      <c r="D90" s="79"/>
      <c r="E90" s="79"/>
      <c r="F90" s="79"/>
      <c r="G90" s="79"/>
      <c r="H90" s="79"/>
      <c r="I90" s="314"/>
      <c r="J90" s="79"/>
      <c r="K90" s="79"/>
      <c r="L90" s="79"/>
    </row>
    <row r="91">
      <c r="C91" s="79"/>
      <c r="D91" s="79"/>
      <c r="E91" s="79"/>
      <c r="F91" s="79"/>
      <c r="G91" s="79"/>
      <c r="H91" s="79"/>
      <c r="I91" s="314"/>
      <c r="J91" s="79"/>
      <c r="K91" s="79"/>
      <c r="L91" s="79"/>
    </row>
    <row r="92">
      <c r="C92" s="79"/>
      <c r="D92" s="79"/>
      <c r="E92" s="79"/>
      <c r="F92" s="79"/>
      <c r="G92" s="79"/>
      <c r="H92" s="79"/>
      <c r="I92" s="314"/>
      <c r="J92" s="79"/>
      <c r="K92" s="79"/>
      <c r="L92" s="79"/>
    </row>
    <row r="93">
      <c r="C93" s="79"/>
      <c r="D93" s="79"/>
      <c r="E93" s="79"/>
      <c r="F93" s="79"/>
      <c r="G93" s="79"/>
      <c r="H93" s="79"/>
      <c r="I93" s="314"/>
      <c r="J93" s="79"/>
      <c r="K93" s="79"/>
      <c r="L93" s="79"/>
    </row>
    <row r="94">
      <c r="C94" s="79"/>
      <c r="D94" s="79"/>
      <c r="E94" s="79"/>
      <c r="F94" s="79"/>
      <c r="G94" s="79"/>
      <c r="H94" s="79"/>
      <c r="I94" s="314"/>
      <c r="J94" s="79"/>
      <c r="K94" s="79"/>
      <c r="L94" s="79"/>
    </row>
    <row r="95">
      <c r="C95" s="79"/>
      <c r="D95" s="79"/>
      <c r="E95" s="79"/>
      <c r="F95" s="79"/>
      <c r="G95" s="79"/>
      <c r="H95" s="79"/>
      <c r="I95" s="314"/>
      <c r="J95" s="79"/>
      <c r="K95" s="79"/>
      <c r="L95" s="79"/>
    </row>
    <row r="96">
      <c r="C96" s="79"/>
      <c r="D96" s="79"/>
      <c r="E96" s="79"/>
      <c r="F96" s="79"/>
      <c r="G96" s="79"/>
      <c r="H96" s="79"/>
      <c r="I96" s="314"/>
      <c r="J96" s="79"/>
      <c r="K96" s="79"/>
      <c r="L96" s="79"/>
    </row>
    <row r="97">
      <c r="C97" s="79"/>
      <c r="D97" s="79"/>
      <c r="E97" s="79"/>
      <c r="F97" s="79"/>
      <c r="G97" s="79"/>
      <c r="H97" s="79"/>
      <c r="I97" s="314"/>
      <c r="J97" s="79"/>
      <c r="K97" s="79"/>
      <c r="L97" s="79"/>
    </row>
    <row r="98">
      <c r="C98" s="79"/>
      <c r="D98" s="79"/>
      <c r="E98" s="79"/>
      <c r="F98" s="79"/>
      <c r="G98" s="79"/>
      <c r="H98" s="79"/>
      <c r="I98" s="314"/>
      <c r="J98" s="79"/>
      <c r="K98" s="79"/>
      <c r="L98" s="79"/>
    </row>
    <row r="99">
      <c r="C99" s="79"/>
      <c r="D99" s="79"/>
      <c r="E99" s="79"/>
      <c r="F99" s="79"/>
      <c r="G99" s="79"/>
      <c r="H99" s="79"/>
      <c r="I99" s="314"/>
      <c r="J99" s="79"/>
      <c r="K99" s="79"/>
      <c r="L99" s="79"/>
    </row>
    <row r="100">
      <c r="C100" s="79"/>
      <c r="D100" s="79"/>
      <c r="E100" s="79"/>
      <c r="F100" s="79"/>
      <c r="G100" s="79"/>
      <c r="H100" s="79"/>
      <c r="I100" s="314"/>
      <c r="J100" s="79"/>
      <c r="K100" s="79"/>
      <c r="L100" s="79"/>
    </row>
    <row r="101">
      <c r="C101" s="79"/>
      <c r="D101" s="79"/>
      <c r="E101" s="79"/>
      <c r="F101" s="79"/>
      <c r="G101" s="79"/>
      <c r="H101" s="79"/>
      <c r="I101" s="314"/>
      <c r="J101" s="79"/>
      <c r="K101" s="79"/>
      <c r="L101" s="79"/>
    </row>
    <row r="102">
      <c r="C102" s="79"/>
      <c r="D102" s="79"/>
      <c r="E102" s="79"/>
      <c r="F102" s="79"/>
      <c r="G102" s="79"/>
      <c r="H102" s="79"/>
      <c r="I102" s="314"/>
      <c r="J102" s="79"/>
      <c r="K102" s="79"/>
      <c r="L102" s="79"/>
    </row>
    <row r="103">
      <c r="C103" s="79"/>
      <c r="D103" s="79"/>
      <c r="E103" s="79"/>
      <c r="F103" s="79"/>
      <c r="G103" s="79"/>
      <c r="H103" s="79"/>
      <c r="I103" s="314"/>
      <c r="J103" s="79"/>
      <c r="K103" s="79"/>
      <c r="L103" s="79"/>
    </row>
    <row r="104">
      <c r="C104" s="79"/>
      <c r="D104" s="79"/>
      <c r="E104" s="79"/>
      <c r="F104" s="79"/>
      <c r="G104" s="79"/>
      <c r="H104" s="79"/>
      <c r="I104" s="314"/>
      <c r="J104" s="79"/>
      <c r="K104" s="79"/>
      <c r="L104" s="79"/>
    </row>
    <row r="105">
      <c r="C105" s="79"/>
      <c r="D105" s="79"/>
      <c r="E105" s="79"/>
      <c r="F105" s="79"/>
      <c r="G105" s="79"/>
      <c r="H105" s="79"/>
      <c r="I105" s="314"/>
      <c r="J105" s="79"/>
      <c r="K105" s="79"/>
      <c r="L105" s="79"/>
    </row>
    <row r="106">
      <c r="C106" s="79"/>
      <c r="D106" s="79"/>
      <c r="E106" s="79"/>
      <c r="F106" s="79"/>
      <c r="G106" s="79"/>
      <c r="H106" s="79"/>
      <c r="I106" s="314"/>
      <c r="J106" s="79"/>
      <c r="K106" s="79"/>
      <c r="L106" s="79"/>
    </row>
    <row r="107">
      <c r="C107" s="79"/>
      <c r="D107" s="79"/>
      <c r="E107" s="79"/>
      <c r="F107" s="79"/>
      <c r="G107" s="79"/>
      <c r="H107" s="79"/>
      <c r="I107" s="314"/>
      <c r="J107" s="79"/>
      <c r="K107" s="79"/>
      <c r="L107" s="79"/>
    </row>
    <row r="108">
      <c r="C108" s="79"/>
      <c r="D108" s="79"/>
      <c r="E108" s="79"/>
      <c r="F108" s="79"/>
      <c r="G108" s="79"/>
      <c r="H108" s="79"/>
      <c r="I108" s="314"/>
      <c r="J108" s="79"/>
      <c r="K108" s="79"/>
      <c r="L108" s="79"/>
    </row>
    <row r="109">
      <c r="C109" s="79"/>
      <c r="D109" s="79"/>
      <c r="E109" s="79"/>
      <c r="F109" s="79"/>
      <c r="G109" s="79"/>
      <c r="H109" s="79"/>
      <c r="I109" s="314"/>
      <c r="J109" s="79"/>
      <c r="K109" s="79"/>
      <c r="L109" s="79"/>
    </row>
    <row r="110">
      <c r="C110" s="79"/>
      <c r="D110" s="79"/>
      <c r="E110" s="79"/>
      <c r="F110" s="79"/>
      <c r="G110" s="79"/>
      <c r="H110" s="79"/>
      <c r="I110" s="314"/>
      <c r="J110" s="79"/>
      <c r="K110" s="79"/>
      <c r="L110" s="79"/>
    </row>
    <row r="111">
      <c r="C111" s="79"/>
      <c r="D111" s="79"/>
      <c r="E111" s="79"/>
      <c r="F111" s="79"/>
      <c r="G111" s="79"/>
      <c r="H111" s="79"/>
      <c r="I111" s="314"/>
      <c r="J111" s="79"/>
      <c r="K111" s="79"/>
      <c r="L111" s="79"/>
    </row>
    <row r="112">
      <c r="C112" s="79"/>
      <c r="D112" s="79"/>
      <c r="E112" s="79"/>
      <c r="F112" s="79"/>
      <c r="G112" s="79"/>
      <c r="H112" s="79"/>
      <c r="I112" s="314"/>
      <c r="J112" s="79"/>
      <c r="K112" s="79"/>
      <c r="L112" s="79"/>
    </row>
    <row r="113">
      <c r="C113" s="79"/>
      <c r="D113" s="79"/>
      <c r="E113" s="79"/>
      <c r="F113" s="79"/>
      <c r="G113" s="79"/>
      <c r="H113" s="79"/>
      <c r="I113" s="314"/>
      <c r="J113" s="79"/>
      <c r="K113" s="79"/>
      <c r="L113" s="79"/>
    </row>
    <row r="114">
      <c r="C114" s="79"/>
      <c r="D114" s="79"/>
      <c r="E114" s="79"/>
      <c r="F114" s="79"/>
      <c r="G114" s="79"/>
      <c r="H114" s="79"/>
      <c r="I114" s="314"/>
      <c r="J114" s="79"/>
      <c r="K114" s="79"/>
      <c r="L114" s="79"/>
    </row>
    <row r="115">
      <c r="C115" s="79"/>
      <c r="D115" s="79"/>
      <c r="E115" s="79"/>
      <c r="F115" s="79"/>
      <c r="G115" s="79"/>
      <c r="H115" s="79"/>
      <c r="I115" s="314"/>
      <c r="J115" s="79"/>
      <c r="K115" s="79"/>
      <c r="L115" s="79"/>
    </row>
    <row r="116">
      <c r="C116" s="79"/>
      <c r="D116" s="79"/>
      <c r="E116" s="79"/>
      <c r="F116" s="79"/>
      <c r="G116" s="79"/>
      <c r="H116" s="79"/>
      <c r="I116" s="314"/>
      <c r="J116" s="79"/>
      <c r="K116" s="79"/>
      <c r="L116" s="79"/>
    </row>
    <row r="117">
      <c r="C117" s="79"/>
      <c r="D117" s="79"/>
      <c r="E117" s="79"/>
      <c r="F117" s="79"/>
      <c r="G117" s="79"/>
      <c r="H117" s="79"/>
      <c r="I117" s="314"/>
      <c r="J117" s="79"/>
      <c r="K117" s="79"/>
      <c r="L117" s="79"/>
    </row>
    <row r="118">
      <c r="C118" s="79"/>
      <c r="D118" s="79"/>
      <c r="E118" s="79"/>
      <c r="F118" s="79"/>
      <c r="G118" s="79"/>
      <c r="H118" s="79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314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314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314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314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314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314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314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314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314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314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314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314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314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314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314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314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314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314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314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314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314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314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314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314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314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314"/>
      <c r="J768" s="79"/>
      <c r="K768" s="79"/>
      <c r="L768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56" t="s">
        <v>7</v>
      </c>
      <c r="J1" s="1" t="s">
        <v>8</v>
      </c>
      <c r="K1" s="264" t="s">
        <v>9</v>
      </c>
      <c r="L1" s="147" t="s">
        <v>10</v>
      </c>
    </row>
    <row r="2" ht="22.5" hidden="1" customHeight="1">
      <c r="A2" s="5" t="s">
        <v>11</v>
      </c>
      <c r="B2" s="5" t="s">
        <v>15</v>
      </c>
      <c r="C2" s="340">
        <v>356.0</v>
      </c>
      <c r="D2" s="341">
        <v>2.0</v>
      </c>
      <c r="E2" s="342">
        <v>0.0056</v>
      </c>
      <c r="F2" s="343" t="s">
        <v>1145</v>
      </c>
      <c r="G2" s="341">
        <v>4.0</v>
      </c>
      <c r="H2" s="342">
        <v>0.0112</v>
      </c>
      <c r="I2" s="344" t="s">
        <v>1146</v>
      </c>
      <c r="J2" s="341">
        <v>43.0</v>
      </c>
      <c r="K2" s="342">
        <v>0.1335</v>
      </c>
      <c r="L2" s="127">
        <f>100-8.1</f>
        <v>91.9</v>
      </c>
    </row>
    <row r="3" ht="22.5" hidden="1" customHeight="1">
      <c r="A3" s="5" t="s">
        <v>11</v>
      </c>
      <c r="B3" s="5" t="s">
        <v>13</v>
      </c>
      <c r="C3" s="340">
        <v>1054.0</v>
      </c>
      <c r="D3" s="341">
        <v>1.0</v>
      </c>
      <c r="E3" s="342">
        <v>9.0E-4</v>
      </c>
      <c r="F3" s="343" t="s">
        <v>277</v>
      </c>
      <c r="G3" s="341">
        <v>38.0</v>
      </c>
      <c r="H3" s="342">
        <v>0.0361</v>
      </c>
      <c r="I3" s="344" t="s">
        <v>1147</v>
      </c>
      <c r="J3" s="341">
        <v>102.0</v>
      </c>
      <c r="K3" s="342">
        <v>0.1079</v>
      </c>
      <c r="L3" s="127">
        <f>100-2.6</f>
        <v>97.4</v>
      </c>
    </row>
    <row r="4" ht="22.5" hidden="1" customHeight="1">
      <c r="A4" s="5" t="s">
        <v>11</v>
      </c>
      <c r="B4" s="5" t="s">
        <v>27</v>
      </c>
      <c r="C4" s="340">
        <v>548.0</v>
      </c>
      <c r="D4" s="341" t="s">
        <v>17</v>
      </c>
      <c r="E4" s="342" t="s">
        <v>17</v>
      </c>
      <c r="F4" s="343" t="s">
        <v>17</v>
      </c>
      <c r="G4" s="341">
        <v>8.0</v>
      </c>
      <c r="H4" s="342">
        <v>0.0146</v>
      </c>
      <c r="I4" s="344" t="s">
        <v>1148</v>
      </c>
      <c r="J4" s="341">
        <v>39.0</v>
      </c>
      <c r="K4" s="342">
        <v>0.0794</v>
      </c>
      <c r="L4" s="13">
        <f>100-1.91</f>
        <v>98.09</v>
      </c>
    </row>
    <row r="5" ht="22.5" hidden="1" customHeight="1">
      <c r="A5" s="5" t="s">
        <v>11</v>
      </c>
      <c r="B5" s="5" t="s">
        <v>33</v>
      </c>
      <c r="C5" s="340">
        <v>656.0</v>
      </c>
      <c r="D5" s="341">
        <v>2.0</v>
      </c>
      <c r="E5" s="342">
        <v>0.003</v>
      </c>
      <c r="F5" s="343" t="s">
        <v>277</v>
      </c>
      <c r="G5" s="341">
        <v>11.0</v>
      </c>
      <c r="H5" s="342">
        <v>0.0168</v>
      </c>
      <c r="I5" s="344" t="s">
        <v>1149</v>
      </c>
      <c r="J5" s="341">
        <v>43.0</v>
      </c>
      <c r="K5" s="342">
        <v>0.0768</v>
      </c>
      <c r="L5" s="127">
        <f>100-2.97</f>
        <v>97.03</v>
      </c>
    </row>
    <row r="6" ht="22.5" hidden="1" customHeight="1">
      <c r="A6" s="5" t="s">
        <v>11</v>
      </c>
      <c r="B6" s="5" t="s">
        <v>918</v>
      </c>
      <c r="C6" s="345">
        <v>143.0</v>
      </c>
      <c r="D6" s="341" t="s">
        <v>17</v>
      </c>
      <c r="E6" s="342" t="s">
        <v>17</v>
      </c>
      <c r="F6" s="343" t="s">
        <v>17</v>
      </c>
      <c r="G6" s="341">
        <v>4.0</v>
      </c>
      <c r="H6" s="342">
        <v>0.028</v>
      </c>
      <c r="I6" s="344" t="s">
        <v>1150</v>
      </c>
      <c r="J6" s="341">
        <v>7.0</v>
      </c>
      <c r="K6" s="342">
        <v>0.0543</v>
      </c>
      <c r="L6" s="64">
        <f>100-0.6</f>
        <v>99.4</v>
      </c>
    </row>
    <row r="7" ht="22.5" hidden="1" customHeight="1">
      <c r="A7" s="5" t="s">
        <v>11</v>
      </c>
      <c r="B7" s="5" t="s">
        <v>19</v>
      </c>
      <c r="C7" s="340">
        <v>959.0</v>
      </c>
      <c r="D7" s="341">
        <v>1.0</v>
      </c>
      <c r="E7" s="342">
        <v>0.001</v>
      </c>
      <c r="F7" s="343" t="s">
        <v>173</v>
      </c>
      <c r="G7" s="341">
        <v>20.0</v>
      </c>
      <c r="H7" s="342">
        <v>0.0209</v>
      </c>
      <c r="I7" s="344" t="s">
        <v>1151</v>
      </c>
      <c r="J7" s="341">
        <v>90.0</v>
      </c>
      <c r="K7" s="342">
        <v>0.1026</v>
      </c>
      <c r="L7" s="127">
        <f>100-3.7</f>
        <v>96.3</v>
      </c>
    </row>
    <row r="8" ht="22.5" hidden="1" customHeight="1">
      <c r="A8" s="5" t="s">
        <v>11</v>
      </c>
      <c r="B8" s="5" t="s">
        <v>46</v>
      </c>
      <c r="C8" s="340">
        <v>50.0</v>
      </c>
      <c r="D8" s="341">
        <v>1.0</v>
      </c>
      <c r="E8" s="342">
        <v>0.0196</v>
      </c>
      <c r="F8" s="343" t="s">
        <v>1152</v>
      </c>
      <c r="G8" s="341">
        <v>1.0</v>
      </c>
      <c r="H8" s="346"/>
      <c r="I8" s="344" t="s">
        <v>1153</v>
      </c>
      <c r="J8" s="341">
        <v>6.0</v>
      </c>
      <c r="K8" s="342">
        <v>0.1333</v>
      </c>
      <c r="L8" s="13">
        <f>100-44.72</f>
        <v>55.28</v>
      </c>
    </row>
    <row r="9" ht="22.5" hidden="1" customHeight="1">
      <c r="A9" s="5" t="s">
        <v>11</v>
      </c>
      <c r="B9" s="5" t="s">
        <v>50</v>
      </c>
      <c r="C9" s="340">
        <v>374.0</v>
      </c>
      <c r="D9" s="341">
        <v>1.0</v>
      </c>
      <c r="E9" s="342">
        <v>0.0027</v>
      </c>
      <c r="F9" s="343" t="s">
        <v>41</v>
      </c>
      <c r="G9" s="341">
        <v>8.0</v>
      </c>
      <c r="H9" s="342">
        <v>0.0214</v>
      </c>
      <c r="I9" s="344" t="s">
        <v>1154</v>
      </c>
      <c r="J9" s="341">
        <v>43.0</v>
      </c>
      <c r="K9" s="342">
        <v>0.1419</v>
      </c>
      <c r="L9" s="13">
        <f>100-4.23</f>
        <v>95.77</v>
      </c>
    </row>
    <row r="10" ht="22.5" hidden="1" customHeight="1">
      <c r="A10" s="5" t="s">
        <v>11</v>
      </c>
      <c r="B10" s="5" t="s">
        <v>58</v>
      </c>
      <c r="C10" s="340">
        <v>443.0</v>
      </c>
      <c r="D10" s="341" t="s">
        <v>17</v>
      </c>
      <c r="E10" s="341" t="s">
        <v>17</v>
      </c>
      <c r="F10" s="343" t="s">
        <v>17</v>
      </c>
      <c r="G10" s="341">
        <v>19.0</v>
      </c>
      <c r="H10" s="342">
        <v>0.0429</v>
      </c>
      <c r="I10" s="344" t="s">
        <v>1155</v>
      </c>
      <c r="J10" s="341">
        <v>26.0</v>
      </c>
      <c r="K10" s="342">
        <v>0.0648</v>
      </c>
      <c r="L10" s="13">
        <f>100-3.13</f>
        <v>96.87</v>
      </c>
    </row>
    <row r="11" ht="22.5" hidden="1" customHeight="1">
      <c r="A11" s="5" t="s">
        <v>11</v>
      </c>
      <c r="B11" s="5" t="s">
        <v>64</v>
      </c>
      <c r="C11" s="340">
        <v>346.0</v>
      </c>
      <c r="D11" s="341" t="s">
        <v>17</v>
      </c>
      <c r="E11" s="341" t="s">
        <v>17</v>
      </c>
      <c r="F11" s="343" t="s">
        <v>17</v>
      </c>
      <c r="G11" s="341">
        <v>6.0</v>
      </c>
      <c r="H11" s="342">
        <v>0.0173</v>
      </c>
      <c r="I11" s="344" t="s">
        <v>1156</v>
      </c>
      <c r="J11" s="341">
        <v>35.0</v>
      </c>
      <c r="K11" s="342">
        <v>0.1115</v>
      </c>
      <c r="L11" s="13">
        <f>100-3.03</f>
        <v>96.97</v>
      </c>
    </row>
    <row r="12" ht="22.5" hidden="1" customHeight="1">
      <c r="A12" s="5" t="s">
        <v>11</v>
      </c>
      <c r="B12" s="5" t="s">
        <v>71</v>
      </c>
      <c r="C12" s="340">
        <v>398.0</v>
      </c>
      <c r="D12" s="341">
        <v>1.0</v>
      </c>
      <c r="E12" s="342">
        <v>0.0025</v>
      </c>
      <c r="F12" s="343" t="s">
        <v>128</v>
      </c>
      <c r="G12" s="341">
        <v>8.0</v>
      </c>
      <c r="H12" s="342">
        <v>0.0201</v>
      </c>
      <c r="I12" s="344" t="s">
        <v>1157</v>
      </c>
      <c r="J12" s="341">
        <v>42.0</v>
      </c>
      <c r="K12" s="342">
        <v>0.1207</v>
      </c>
      <c r="L12" s="127">
        <f>100-2.76</f>
        <v>97.24</v>
      </c>
    </row>
    <row r="13" ht="22.5" hidden="1" customHeight="1">
      <c r="A13" s="5" t="s">
        <v>11</v>
      </c>
      <c r="B13" s="5" t="s">
        <v>77</v>
      </c>
      <c r="C13" s="340">
        <v>350.0</v>
      </c>
      <c r="D13" s="341">
        <v>2.0</v>
      </c>
      <c r="E13" s="342">
        <v>0.0057</v>
      </c>
      <c r="F13" s="343" t="s">
        <v>1158</v>
      </c>
      <c r="G13" s="341">
        <v>2.0</v>
      </c>
      <c r="H13" s="342">
        <v>0.0057</v>
      </c>
      <c r="I13" s="344" t="s">
        <v>1159</v>
      </c>
      <c r="J13" s="341">
        <v>45.0</v>
      </c>
      <c r="K13" s="342">
        <v>0.1442</v>
      </c>
      <c r="L13" s="127">
        <f>100-4.43</f>
        <v>95.57</v>
      </c>
    </row>
    <row r="14" ht="22.5" hidden="1" customHeight="1">
      <c r="A14" s="5" t="s">
        <v>11</v>
      </c>
      <c r="B14" s="5" t="s">
        <v>82</v>
      </c>
      <c r="C14" s="340">
        <v>349.0</v>
      </c>
      <c r="D14" s="341">
        <v>12.0</v>
      </c>
      <c r="E14" s="342">
        <v>0.0332</v>
      </c>
      <c r="F14" s="343" t="s">
        <v>1160</v>
      </c>
      <c r="G14" s="341">
        <v>8.0</v>
      </c>
      <c r="H14" s="342">
        <v>0.0229</v>
      </c>
      <c r="I14" s="344" t="s">
        <v>1161</v>
      </c>
      <c r="J14" s="341">
        <v>22.0</v>
      </c>
      <c r="K14" s="342">
        <v>0.0667</v>
      </c>
      <c r="L14" s="127">
        <f>100-6.34</f>
        <v>93.66</v>
      </c>
    </row>
    <row r="15" ht="22.5" hidden="1" customHeight="1">
      <c r="A15" s="5" t="s">
        <v>11</v>
      </c>
      <c r="B15" s="5" t="s">
        <v>90</v>
      </c>
      <c r="C15" s="340">
        <v>404.0</v>
      </c>
      <c r="D15" s="341" t="s">
        <v>17</v>
      </c>
      <c r="E15" s="342" t="s">
        <v>17</v>
      </c>
      <c r="F15" s="343" t="s">
        <v>17</v>
      </c>
      <c r="G15" s="341">
        <v>6.0</v>
      </c>
      <c r="H15" s="342">
        <v>0.0149</v>
      </c>
      <c r="I15" s="344" t="s">
        <v>1162</v>
      </c>
      <c r="J15" s="341">
        <v>27.0</v>
      </c>
      <c r="K15" s="342">
        <v>0.0718</v>
      </c>
      <c r="L15" s="127">
        <f>100-1.1</f>
        <v>98.9</v>
      </c>
    </row>
    <row r="16" ht="22.5" hidden="1" customHeight="1">
      <c r="A16" s="5" t="s">
        <v>11</v>
      </c>
      <c r="B16" s="5" t="s">
        <v>94</v>
      </c>
      <c r="C16" s="340">
        <v>345.0</v>
      </c>
      <c r="D16" s="341" t="s">
        <v>17</v>
      </c>
      <c r="E16" s="342" t="s">
        <v>17</v>
      </c>
      <c r="F16" s="343" t="s">
        <v>17</v>
      </c>
      <c r="G16" s="341">
        <v>9.0</v>
      </c>
      <c r="H16" s="342">
        <v>0.0261</v>
      </c>
      <c r="I16" s="344" t="s">
        <v>1163</v>
      </c>
      <c r="J16" s="341">
        <v>34.0</v>
      </c>
      <c r="K16" s="342">
        <v>0.11</v>
      </c>
      <c r="L16" s="127">
        <f>100-2.62</f>
        <v>97.38</v>
      </c>
    </row>
    <row r="17" ht="22.5" hidden="1" customHeight="1">
      <c r="A17" s="5" t="s">
        <v>11</v>
      </c>
      <c r="B17" s="5" t="s">
        <v>39</v>
      </c>
      <c r="C17" s="340">
        <v>708.0</v>
      </c>
      <c r="D17" s="341">
        <v>5.0</v>
      </c>
      <c r="E17" s="342">
        <v>0.007</v>
      </c>
      <c r="F17" s="343" t="s">
        <v>1164</v>
      </c>
      <c r="G17" s="341">
        <v>18.0</v>
      </c>
      <c r="H17" s="342">
        <v>0.0254</v>
      </c>
      <c r="I17" s="344" t="s">
        <v>1165</v>
      </c>
      <c r="J17" s="341">
        <v>85.0</v>
      </c>
      <c r="K17" s="342">
        <v>0.1358</v>
      </c>
      <c r="L17" s="13">
        <f>100-4.38</f>
        <v>95.62</v>
      </c>
    </row>
    <row r="18" ht="22.5" hidden="1" customHeight="1">
      <c r="A18" s="5" t="s">
        <v>11</v>
      </c>
      <c r="B18" s="5" t="s">
        <v>104</v>
      </c>
      <c r="C18" s="340">
        <v>142.0</v>
      </c>
      <c r="D18" s="341">
        <v>2.0</v>
      </c>
      <c r="E18" s="342">
        <v>0.0139</v>
      </c>
      <c r="F18" s="343" t="s">
        <v>1166</v>
      </c>
      <c r="G18" s="341">
        <v>0.0</v>
      </c>
      <c r="H18" s="342" t="s">
        <v>17</v>
      </c>
      <c r="I18" s="347" t="s">
        <v>17</v>
      </c>
      <c r="J18" s="342" t="s">
        <v>17</v>
      </c>
      <c r="K18" s="347" t="s">
        <v>17</v>
      </c>
      <c r="L18" s="13">
        <f>100-1.76</f>
        <v>98.24</v>
      </c>
    </row>
    <row r="19" ht="22.5" hidden="1" customHeight="1">
      <c r="A19" s="5" t="s">
        <v>11</v>
      </c>
      <c r="B19" s="5" t="s">
        <v>59</v>
      </c>
      <c r="C19" s="340">
        <v>462.0</v>
      </c>
      <c r="D19" s="341">
        <v>1.0</v>
      </c>
      <c r="E19" s="342">
        <v>0.0022</v>
      </c>
      <c r="F19" s="343" t="s">
        <v>1167</v>
      </c>
      <c r="G19" s="341">
        <v>13.0</v>
      </c>
      <c r="H19" s="342">
        <v>0.0281</v>
      </c>
      <c r="I19" s="344" t="s">
        <v>1168</v>
      </c>
      <c r="J19" s="341">
        <v>55.0</v>
      </c>
      <c r="K19" s="342">
        <v>0.1279</v>
      </c>
      <c r="L19" s="13">
        <f>100-2.39</f>
        <v>97.61</v>
      </c>
    </row>
    <row r="20" ht="22.5" hidden="1" customHeight="1">
      <c r="A20" s="5" t="s">
        <v>11</v>
      </c>
      <c r="B20" s="5" t="s">
        <v>114</v>
      </c>
      <c r="C20" s="340">
        <v>620.0</v>
      </c>
      <c r="D20" s="341" t="s">
        <v>17</v>
      </c>
      <c r="E20" s="341" t="s">
        <v>17</v>
      </c>
      <c r="F20" s="343" t="s">
        <v>17</v>
      </c>
      <c r="G20" s="341">
        <v>12.0</v>
      </c>
      <c r="H20" s="342">
        <v>0.0194</v>
      </c>
      <c r="I20" s="344" t="s">
        <v>1171</v>
      </c>
      <c r="J20" s="341">
        <v>46.0</v>
      </c>
      <c r="K20" s="342">
        <v>0.0811</v>
      </c>
      <c r="L20" s="127">
        <f>100-3.88</f>
        <v>96.12</v>
      </c>
    </row>
    <row r="21" ht="22.5" hidden="1" customHeight="1">
      <c r="A21" s="5" t="s">
        <v>11</v>
      </c>
      <c r="B21" s="5" t="s">
        <v>119</v>
      </c>
      <c r="C21" s="340">
        <v>344.0</v>
      </c>
      <c r="D21" s="341" t="s">
        <v>17</v>
      </c>
      <c r="E21" s="341" t="s">
        <v>17</v>
      </c>
      <c r="F21" s="343" t="s">
        <v>17</v>
      </c>
      <c r="G21" s="341">
        <v>8.0</v>
      </c>
      <c r="H21" s="342">
        <v>0.0233</v>
      </c>
      <c r="I21" s="344" t="s">
        <v>1174</v>
      </c>
      <c r="J21" s="341">
        <v>44.0</v>
      </c>
      <c r="K21" s="342">
        <v>0.1497</v>
      </c>
      <c r="L21" s="127">
        <f>100-7.65</f>
        <v>92.35</v>
      </c>
    </row>
    <row r="22" ht="22.5" hidden="1" customHeight="1">
      <c r="A22" s="5" t="s">
        <v>11</v>
      </c>
      <c r="B22" s="5" t="s">
        <v>126</v>
      </c>
      <c r="C22" s="340">
        <v>264.0</v>
      </c>
      <c r="D22" s="341" t="s">
        <v>17</v>
      </c>
      <c r="E22" s="341" t="s">
        <v>17</v>
      </c>
      <c r="F22" s="343" t="s">
        <v>17</v>
      </c>
      <c r="G22" s="341">
        <v>7.0</v>
      </c>
      <c r="H22" s="342">
        <v>0.0265</v>
      </c>
      <c r="I22" s="344" t="s">
        <v>1177</v>
      </c>
      <c r="J22" s="341">
        <v>21.0</v>
      </c>
      <c r="K22" s="342">
        <v>0.0882</v>
      </c>
      <c r="L22" s="127">
        <f>100-8.91</f>
        <v>91.09</v>
      </c>
    </row>
    <row r="23" ht="22.5" hidden="1" customHeight="1">
      <c r="A23" s="5" t="s">
        <v>11</v>
      </c>
      <c r="B23" s="5" t="s">
        <v>136</v>
      </c>
      <c r="C23" s="340">
        <v>201.0</v>
      </c>
      <c r="D23" s="341">
        <v>1.0</v>
      </c>
      <c r="E23" s="342">
        <v>0.005</v>
      </c>
      <c r="F23" s="343" t="s">
        <v>911</v>
      </c>
      <c r="G23" s="341">
        <v>5.0</v>
      </c>
      <c r="H23" s="342">
        <v>0.0249</v>
      </c>
      <c r="I23" s="344" t="s">
        <v>1179</v>
      </c>
      <c r="J23" s="341">
        <v>31.0</v>
      </c>
      <c r="K23" s="342">
        <v>0.1685</v>
      </c>
      <c r="L23" s="127">
        <f>100-3.93</f>
        <v>96.07</v>
      </c>
    </row>
    <row r="24" ht="22.5" hidden="1" customHeight="1">
      <c r="A24" s="5" t="s">
        <v>11</v>
      </c>
      <c r="B24" s="5" t="s">
        <v>72</v>
      </c>
      <c r="C24" s="340">
        <v>361.0</v>
      </c>
      <c r="D24" s="341" t="s">
        <v>17</v>
      </c>
      <c r="E24" s="342" t="s">
        <v>17</v>
      </c>
      <c r="F24" s="343" t="s">
        <v>17</v>
      </c>
      <c r="G24" s="341">
        <v>2.0</v>
      </c>
      <c r="H24" s="342">
        <v>0.0055</v>
      </c>
      <c r="I24" s="344" t="s">
        <v>1183</v>
      </c>
      <c r="J24" s="341">
        <v>42.0</v>
      </c>
      <c r="K24" s="342">
        <v>0.13</v>
      </c>
      <c r="L24" s="13">
        <f>100-1.08</f>
        <v>98.92</v>
      </c>
    </row>
    <row r="25" ht="22.5" hidden="1" customHeight="1">
      <c r="A25" s="5" t="s">
        <v>11</v>
      </c>
      <c r="B25" s="5" t="s">
        <v>145</v>
      </c>
      <c r="C25" s="340">
        <v>322.0</v>
      </c>
      <c r="D25" s="341" t="s">
        <v>17</v>
      </c>
      <c r="E25" s="342" t="s">
        <v>17</v>
      </c>
      <c r="F25" s="343" t="s">
        <v>17</v>
      </c>
      <c r="G25" s="341">
        <v>4.0</v>
      </c>
      <c r="H25" s="342">
        <v>0.0124</v>
      </c>
      <c r="I25" s="344" t="s">
        <v>1185</v>
      </c>
      <c r="J25" s="341">
        <v>15.0</v>
      </c>
      <c r="K25" s="342">
        <v>0.0512</v>
      </c>
      <c r="L25" s="127">
        <f>100-6.51</f>
        <v>93.49</v>
      </c>
    </row>
    <row r="26" ht="22.5" hidden="1" customHeight="1">
      <c r="A26" s="5" t="s">
        <v>11</v>
      </c>
      <c r="B26" s="5" t="s">
        <v>85</v>
      </c>
      <c r="C26" s="340">
        <v>260.0</v>
      </c>
      <c r="D26" s="341">
        <v>1.0</v>
      </c>
      <c r="E26" s="342">
        <v>0.0038</v>
      </c>
      <c r="F26" s="343" t="s">
        <v>277</v>
      </c>
      <c r="G26" s="341">
        <v>11.0</v>
      </c>
      <c r="H26" s="342">
        <v>0.0423</v>
      </c>
      <c r="I26" s="344" t="s">
        <v>1188</v>
      </c>
      <c r="J26" s="341">
        <v>24.0</v>
      </c>
      <c r="K26" s="342">
        <v>0.1116</v>
      </c>
      <c r="L26" s="127">
        <f>100-2.82</f>
        <v>97.18</v>
      </c>
    </row>
    <row r="27" ht="22.5" hidden="1" customHeight="1">
      <c r="A27" s="5" t="s">
        <v>11</v>
      </c>
      <c r="B27" s="35" t="s">
        <v>79</v>
      </c>
      <c r="C27" s="340">
        <v>421.0</v>
      </c>
      <c r="D27" s="341" t="s">
        <v>17</v>
      </c>
      <c r="E27" s="342" t="s">
        <v>17</v>
      </c>
      <c r="F27" s="343" t="s">
        <v>17</v>
      </c>
      <c r="G27" s="341">
        <v>8.0</v>
      </c>
      <c r="H27" s="342">
        <v>0.019</v>
      </c>
      <c r="I27" s="344" t="s">
        <v>1191</v>
      </c>
      <c r="J27" s="341">
        <v>46.0</v>
      </c>
      <c r="K27" s="342">
        <v>0.1217</v>
      </c>
      <c r="L27" s="127">
        <f>100-3.04</f>
        <v>96.96</v>
      </c>
    </row>
    <row r="28" ht="22.5" hidden="1" customHeight="1">
      <c r="A28" s="5" t="s">
        <v>11</v>
      </c>
      <c r="B28" s="5" t="s">
        <v>109</v>
      </c>
      <c r="C28" s="340">
        <v>462.0</v>
      </c>
      <c r="D28" s="341">
        <v>1.0</v>
      </c>
      <c r="E28" s="342">
        <v>0.0022</v>
      </c>
      <c r="F28" s="343" t="s">
        <v>1192</v>
      </c>
      <c r="G28" s="341">
        <v>10.0</v>
      </c>
      <c r="H28" s="342">
        <v>0.0216</v>
      </c>
      <c r="I28" s="344" t="s">
        <v>1194</v>
      </c>
      <c r="J28" s="341">
        <v>15.0</v>
      </c>
      <c r="K28" s="342">
        <v>0.0352</v>
      </c>
      <c r="L28" s="127">
        <f>100-0.45</f>
        <v>99.55</v>
      </c>
    </row>
    <row r="29" ht="22.5" hidden="1" customHeight="1">
      <c r="A29" s="5" t="s">
        <v>11</v>
      </c>
      <c r="B29" s="5" t="s">
        <v>49</v>
      </c>
      <c r="C29" s="340">
        <v>540.0</v>
      </c>
      <c r="D29" s="341">
        <v>2.0</v>
      </c>
      <c r="E29" s="342">
        <v>0.0037</v>
      </c>
      <c r="F29" s="343" t="s">
        <v>705</v>
      </c>
      <c r="G29" s="341">
        <v>13.0</v>
      </c>
      <c r="H29" s="342">
        <v>0.0241</v>
      </c>
      <c r="I29" s="344" t="s">
        <v>1199</v>
      </c>
      <c r="J29" s="341">
        <v>32.0</v>
      </c>
      <c r="K29" s="342">
        <v>0.0646</v>
      </c>
      <c r="L29" s="13">
        <f>100-5.01</f>
        <v>94.99</v>
      </c>
    </row>
    <row r="30" ht="22.5" hidden="1" customHeight="1">
      <c r="A30" s="5" t="s">
        <v>11</v>
      </c>
      <c r="B30" s="5" t="s">
        <v>115</v>
      </c>
      <c r="C30" s="340">
        <v>411.0</v>
      </c>
      <c r="D30" s="341" t="s">
        <v>17</v>
      </c>
      <c r="E30" s="341" t="s">
        <v>17</v>
      </c>
      <c r="F30" s="343" t="s">
        <v>17</v>
      </c>
      <c r="G30" s="341">
        <v>5.0</v>
      </c>
      <c r="H30" s="342">
        <v>0.0122</v>
      </c>
      <c r="I30" s="344" t="s">
        <v>1201</v>
      </c>
      <c r="J30" s="341">
        <v>27.0</v>
      </c>
      <c r="K30" s="342">
        <v>0.0716</v>
      </c>
      <c r="L30" s="127">
        <f>100-3.75</f>
        <v>96.25</v>
      </c>
    </row>
    <row r="31" ht="22.5" hidden="1" customHeight="1">
      <c r="A31" s="5" t="s">
        <v>11</v>
      </c>
      <c r="B31" s="5" t="s">
        <v>45</v>
      </c>
      <c r="C31" s="340">
        <v>685.0</v>
      </c>
      <c r="D31" s="341" t="s">
        <v>17</v>
      </c>
      <c r="E31" s="341" t="s">
        <v>17</v>
      </c>
      <c r="F31" s="343" t="s">
        <v>17</v>
      </c>
      <c r="G31" s="341">
        <v>8.0</v>
      </c>
      <c r="H31" s="342">
        <v>0.0117</v>
      </c>
      <c r="I31" s="344" t="s">
        <v>1203</v>
      </c>
      <c r="J31" s="341">
        <v>42.0</v>
      </c>
      <c r="K31" s="342">
        <v>0.0677</v>
      </c>
      <c r="L31" s="13">
        <f>100-1.84</f>
        <v>98.16</v>
      </c>
    </row>
    <row r="32" ht="22.5" hidden="1" customHeight="1">
      <c r="A32" s="5" t="s">
        <v>11</v>
      </c>
      <c r="B32" s="5" t="s">
        <v>170</v>
      </c>
      <c r="C32" s="340">
        <v>239.0</v>
      </c>
      <c r="D32" s="341" t="s">
        <v>17</v>
      </c>
      <c r="E32" s="341" t="s">
        <v>17</v>
      </c>
      <c r="F32" s="343" t="s">
        <v>17</v>
      </c>
      <c r="G32" s="341">
        <v>4.0</v>
      </c>
      <c r="H32" s="342">
        <v>0.0167</v>
      </c>
      <c r="I32" s="344" t="s">
        <v>1207</v>
      </c>
      <c r="J32" s="341">
        <v>11.0</v>
      </c>
      <c r="K32" s="342">
        <v>0.0516</v>
      </c>
      <c r="L32" s="127">
        <f>100-9.73</f>
        <v>90.27</v>
      </c>
    </row>
    <row r="33" ht="22.5" hidden="1" customHeight="1">
      <c r="A33" s="5" t="s">
        <v>11</v>
      </c>
      <c r="B33" s="5" t="s">
        <v>123</v>
      </c>
      <c r="C33" s="340">
        <v>381.0</v>
      </c>
      <c r="D33" s="341">
        <v>1.0</v>
      </c>
      <c r="E33" s="342">
        <v>0.0026</v>
      </c>
      <c r="F33" s="343" t="s">
        <v>1210</v>
      </c>
      <c r="G33" s="341">
        <v>11.0</v>
      </c>
      <c r="H33" s="342">
        <v>0.0315</v>
      </c>
      <c r="I33" s="344" t="s">
        <v>1211</v>
      </c>
      <c r="J33" s="341">
        <v>54.0</v>
      </c>
      <c r="K33" s="342">
        <v>0.1677</v>
      </c>
      <c r="L33" s="13">
        <f>100-8.31</f>
        <v>91.69</v>
      </c>
    </row>
    <row r="34" ht="22.5" hidden="1" customHeight="1">
      <c r="A34" s="5" t="s">
        <v>11</v>
      </c>
      <c r="B34" s="5" t="s">
        <v>96</v>
      </c>
      <c r="C34" s="340">
        <v>369.0</v>
      </c>
      <c r="D34" s="341" t="s">
        <v>17</v>
      </c>
      <c r="E34" s="342" t="s">
        <v>17</v>
      </c>
      <c r="F34" s="343" t="s">
        <v>17</v>
      </c>
      <c r="G34" s="341">
        <v>7.0</v>
      </c>
      <c r="H34" s="342">
        <v>0.019</v>
      </c>
      <c r="I34" s="344" t="s">
        <v>1213</v>
      </c>
      <c r="J34" s="341">
        <v>30.0</v>
      </c>
      <c r="K34" s="342">
        <v>0.0926</v>
      </c>
      <c r="L34" s="127">
        <f>100-1.99</f>
        <v>98.01</v>
      </c>
    </row>
    <row r="35" ht="22.5" hidden="1" customHeight="1">
      <c r="A35" s="5" t="s">
        <v>11</v>
      </c>
      <c r="B35" s="5" t="s">
        <v>156</v>
      </c>
      <c r="C35" s="340">
        <v>331.0</v>
      </c>
      <c r="D35" s="341">
        <v>2.0</v>
      </c>
      <c r="E35" s="342">
        <v>0.006</v>
      </c>
      <c r="F35" s="343" t="s">
        <v>1215</v>
      </c>
      <c r="G35" s="341">
        <v>9.0</v>
      </c>
      <c r="H35" s="342">
        <v>0.0272</v>
      </c>
      <c r="I35" s="344" t="s">
        <v>1217</v>
      </c>
      <c r="J35" s="341">
        <v>25.0</v>
      </c>
      <c r="K35" s="342">
        <v>0.0817</v>
      </c>
      <c r="L35" s="13">
        <f>100-0.87</f>
        <v>99.13</v>
      </c>
    </row>
    <row r="36" ht="22.5" hidden="1" customHeight="1">
      <c r="A36" s="5" t="s">
        <v>11</v>
      </c>
      <c r="B36" s="5" t="s">
        <v>153</v>
      </c>
      <c r="C36" s="340">
        <v>321.0</v>
      </c>
      <c r="D36" s="341" t="s">
        <v>17</v>
      </c>
      <c r="E36" s="342" t="s">
        <v>17</v>
      </c>
      <c r="F36" s="343" t="s">
        <v>17</v>
      </c>
      <c r="G36" s="341">
        <v>9.0</v>
      </c>
      <c r="H36" s="342">
        <v>0.028</v>
      </c>
      <c r="I36" s="344" t="s">
        <v>1219</v>
      </c>
      <c r="J36" s="341">
        <v>35.0</v>
      </c>
      <c r="K36" s="342">
        <v>0.1167</v>
      </c>
      <c r="L36" s="13">
        <f>100-1.18</f>
        <v>98.82</v>
      </c>
    </row>
    <row r="37" ht="22.5" hidden="1" customHeight="1">
      <c r="A37" s="5" t="s">
        <v>11</v>
      </c>
      <c r="B37" s="5" t="s">
        <v>159</v>
      </c>
      <c r="C37" s="340">
        <v>295.0</v>
      </c>
      <c r="D37" s="341" t="s">
        <v>17</v>
      </c>
      <c r="E37" s="342" t="s">
        <v>17</v>
      </c>
      <c r="F37" s="343" t="s">
        <v>17</v>
      </c>
      <c r="G37" s="341">
        <v>4.0</v>
      </c>
      <c r="H37" s="342">
        <v>0.0136</v>
      </c>
      <c r="I37" s="344" t="s">
        <v>1221</v>
      </c>
      <c r="J37" s="341">
        <v>12.0</v>
      </c>
      <c r="K37" s="342">
        <v>0.0441</v>
      </c>
      <c r="L37" s="127">
        <f>100-1.93</f>
        <v>98.07</v>
      </c>
    </row>
    <row r="38" ht="22.5" hidden="1" customHeight="1">
      <c r="A38" s="5" t="s">
        <v>11</v>
      </c>
      <c r="B38" s="5" t="s">
        <v>26</v>
      </c>
      <c r="C38" s="340">
        <v>684.0</v>
      </c>
      <c r="D38" s="341">
        <v>5.0</v>
      </c>
      <c r="E38" s="342">
        <v>0.0073</v>
      </c>
      <c r="F38" s="343" t="s">
        <v>1225</v>
      </c>
      <c r="G38" s="341">
        <v>15.0</v>
      </c>
      <c r="H38" s="342">
        <v>0.0219</v>
      </c>
      <c r="I38" s="344" t="s">
        <v>1226</v>
      </c>
      <c r="J38" s="341">
        <v>65.0</v>
      </c>
      <c r="K38" s="342">
        <v>0.104</v>
      </c>
      <c r="L38" s="13">
        <f>100-8.84</f>
        <v>91.16</v>
      </c>
    </row>
    <row r="39" ht="22.5" hidden="1" customHeight="1">
      <c r="A39" s="5" t="s">
        <v>11</v>
      </c>
      <c r="B39" s="5" t="s">
        <v>23</v>
      </c>
      <c r="C39" s="340">
        <v>732.0</v>
      </c>
      <c r="D39" s="341" t="s">
        <v>17</v>
      </c>
      <c r="E39" s="342" t="s">
        <v>17</v>
      </c>
      <c r="F39" s="343" t="s">
        <v>17</v>
      </c>
      <c r="G39" s="341">
        <v>13.0</v>
      </c>
      <c r="H39" s="342">
        <v>0.0178</v>
      </c>
      <c r="I39" s="344" t="s">
        <v>1230</v>
      </c>
      <c r="J39" s="341">
        <v>84.0</v>
      </c>
      <c r="K39" s="342">
        <v>0.1261</v>
      </c>
      <c r="L39" s="127">
        <f>100-3.57</f>
        <v>96.43</v>
      </c>
    </row>
    <row r="40" ht="22.5" hidden="1" customHeight="1">
      <c r="A40" s="5" t="s">
        <v>11</v>
      </c>
      <c r="B40" s="5" t="s">
        <v>63</v>
      </c>
      <c r="C40" s="340">
        <v>143.0</v>
      </c>
      <c r="D40" s="341" t="s">
        <v>17</v>
      </c>
      <c r="E40" s="341" t="s">
        <v>17</v>
      </c>
      <c r="F40" s="343" t="s">
        <v>17</v>
      </c>
      <c r="G40" s="341">
        <v>4.0</v>
      </c>
      <c r="H40" s="342">
        <v>0.028</v>
      </c>
      <c r="I40" s="344" t="s">
        <v>1150</v>
      </c>
      <c r="J40" s="341">
        <v>7.0</v>
      </c>
      <c r="K40" s="342">
        <v>0.0543</v>
      </c>
      <c r="L40" s="13">
        <f>100-0.2</f>
        <v>99.8</v>
      </c>
    </row>
    <row r="41" ht="22.5" hidden="1" customHeight="1">
      <c r="A41" s="5" t="s">
        <v>185</v>
      </c>
      <c r="B41" s="5" t="s">
        <v>15</v>
      </c>
      <c r="C41" s="55">
        <v>43.0</v>
      </c>
      <c r="D41" s="47">
        <v>1.0</v>
      </c>
      <c r="E41" s="47" t="s">
        <v>1237</v>
      </c>
      <c r="F41" s="28">
        <v>0.0</v>
      </c>
      <c r="G41" s="47">
        <v>1.0</v>
      </c>
      <c r="H41" s="47" t="s">
        <v>260</v>
      </c>
      <c r="I41" s="436">
        <v>0.0</v>
      </c>
      <c r="J41" s="69">
        <v>10.0</v>
      </c>
      <c r="K41" s="174" t="s">
        <v>1239</v>
      </c>
      <c r="L41" s="211" t="s">
        <v>1240</v>
      </c>
    </row>
    <row r="42" ht="22.5" hidden="1" customHeight="1">
      <c r="A42" s="5" t="s">
        <v>185</v>
      </c>
      <c r="B42" s="5" t="s">
        <v>13</v>
      </c>
      <c r="C42" s="55">
        <v>568.0</v>
      </c>
      <c r="D42" s="47">
        <v>0.0</v>
      </c>
      <c r="E42" s="47" t="s">
        <v>258</v>
      </c>
      <c r="F42" s="28">
        <v>0.0</v>
      </c>
      <c r="G42" s="47">
        <v>27.0</v>
      </c>
      <c r="H42" s="47" t="s">
        <v>1244</v>
      </c>
      <c r="I42" s="441" t="s">
        <v>1245</v>
      </c>
      <c r="J42" s="69">
        <v>82.0</v>
      </c>
      <c r="K42" s="174" t="s">
        <v>1246</v>
      </c>
      <c r="L42" s="211" t="s">
        <v>298</v>
      </c>
    </row>
    <row r="43" ht="22.5" hidden="1" customHeight="1">
      <c r="A43" s="5" t="s">
        <v>185</v>
      </c>
      <c r="B43" s="5" t="s">
        <v>27</v>
      </c>
      <c r="C43" s="55">
        <v>242.0</v>
      </c>
      <c r="D43" s="47">
        <v>0.0</v>
      </c>
      <c r="E43" s="47" t="s">
        <v>258</v>
      </c>
      <c r="F43" s="28">
        <v>0.0</v>
      </c>
      <c r="G43" s="47">
        <v>5.0</v>
      </c>
      <c r="H43" s="47" t="s">
        <v>1114</v>
      </c>
      <c r="I43" s="441" t="s">
        <v>1248</v>
      </c>
      <c r="J43" s="69">
        <v>6.0</v>
      </c>
      <c r="K43" s="174" t="s">
        <v>1250</v>
      </c>
      <c r="L43" s="211" t="s">
        <v>1251</v>
      </c>
    </row>
    <row r="44" ht="22.5" hidden="1" customHeight="1">
      <c r="A44" s="5" t="s">
        <v>185</v>
      </c>
      <c r="B44" s="5" t="s">
        <v>33</v>
      </c>
      <c r="C44" s="55">
        <v>295.0</v>
      </c>
      <c r="D44" s="47">
        <v>0.0</v>
      </c>
      <c r="E44" s="47" t="s">
        <v>258</v>
      </c>
      <c r="F44" s="28">
        <v>0.0</v>
      </c>
      <c r="G44" s="47">
        <v>7.0</v>
      </c>
      <c r="H44" s="47" t="s">
        <v>1253</v>
      </c>
      <c r="I44" s="441">
        <v>73052.0</v>
      </c>
      <c r="J44" s="69">
        <v>63.0</v>
      </c>
      <c r="K44" s="174" t="s">
        <v>1254</v>
      </c>
      <c r="L44" s="211" t="s">
        <v>262</v>
      </c>
    </row>
    <row r="45" ht="22.5" hidden="1" customHeight="1">
      <c r="A45" s="5" t="s">
        <v>185</v>
      </c>
      <c r="B45" s="5" t="s">
        <v>19</v>
      </c>
      <c r="C45" s="55">
        <v>372.0</v>
      </c>
      <c r="D45" s="47">
        <v>0.0</v>
      </c>
      <c r="E45" s="47" t="s">
        <v>258</v>
      </c>
      <c r="F45" s="28">
        <v>0.0</v>
      </c>
      <c r="G45" s="47">
        <v>9.0</v>
      </c>
      <c r="H45" s="47" t="s">
        <v>1258</v>
      </c>
      <c r="I45" s="441" t="s">
        <v>1259</v>
      </c>
      <c r="J45" s="69">
        <v>114.0</v>
      </c>
      <c r="K45" s="174" t="s">
        <v>1260</v>
      </c>
      <c r="L45" s="211" t="s">
        <v>1261</v>
      </c>
    </row>
    <row r="46" ht="22.5" hidden="1" customHeight="1">
      <c r="A46" s="5" t="s">
        <v>185</v>
      </c>
      <c r="B46" s="5" t="s">
        <v>58</v>
      </c>
      <c r="C46" s="55">
        <v>193.0</v>
      </c>
      <c r="D46" s="55">
        <v>0.0</v>
      </c>
      <c r="E46" s="47" t="s">
        <v>258</v>
      </c>
      <c r="F46" s="28">
        <v>0.0</v>
      </c>
      <c r="G46" s="47">
        <v>11.0</v>
      </c>
      <c r="H46" s="47" t="s">
        <v>1262</v>
      </c>
      <c r="I46" s="441" t="s">
        <v>1263</v>
      </c>
      <c r="J46" s="69">
        <v>60.0</v>
      </c>
      <c r="K46" s="174" t="s">
        <v>1264</v>
      </c>
      <c r="L46" s="211" t="s">
        <v>298</v>
      </c>
    </row>
    <row r="47" ht="22.5" hidden="1" customHeight="1">
      <c r="A47" s="5" t="s">
        <v>185</v>
      </c>
      <c r="B47" s="5" t="s">
        <v>77</v>
      </c>
      <c r="C47" s="55">
        <v>88.0</v>
      </c>
      <c r="D47" s="55">
        <v>0.0</v>
      </c>
      <c r="E47" s="47" t="s">
        <v>258</v>
      </c>
      <c r="F47" s="28">
        <v>0.0</v>
      </c>
      <c r="G47" s="47">
        <v>4.0</v>
      </c>
      <c r="H47" s="47" t="s">
        <v>1266</v>
      </c>
      <c r="I47" s="441" t="s">
        <v>1267</v>
      </c>
      <c r="J47" s="69">
        <v>23.0</v>
      </c>
      <c r="K47" s="174" t="s">
        <v>1268</v>
      </c>
      <c r="L47" s="211" t="s">
        <v>298</v>
      </c>
    </row>
    <row r="48" ht="22.5" hidden="1" customHeight="1">
      <c r="A48" s="5" t="s">
        <v>185</v>
      </c>
      <c r="B48" s="5" t="s">
        <v>82</v>
      </c>
      <c r="C48" s="55">
        <v>93.0</v>
      </c>
      <c r="D48" s="55">
        <v>1.0</v>
      </c>
      <c r="E48" s="47" t="s">
        <v>1270</v>
      </c>
      <c r="F48" s="28">
        <v>0.0</v>
      </c>
      <c r="G48" s="47">
        <v>3.0</v>
      </c>
      <c r="H48" s="47" t="s">
        <v>364</v>
      </c>
      <c r="I48" s="44">
        <v>15698.0</v>
      </c>
      <c r="J48" s="69">
        <v>7.0</v>
      </c>
      <c r="K48" s="174" t="s">
        <v>290</v>
      </c>
      <c r="L48" s="211" t="s">
        <v>1271</v>
      </c>
    </row>
    <row r="49" ht="22.5" hidden="1" customHeight="1">
      <c r="A49" s="5" t="s">
        <v>185</v>
      </c>
      <c r="B49" s="50" t="s">
        <v>94</v>
      </c>
      <c r="C49" s="55">
        <v>3.0</v>
      </c>
      <c r="D49" s="55">
        <v>0.0</v>
      </c>
      <c r="E49" s="47" t="s">
        <v>258</v>
      </c>
      <c r="F49" s="28">
        <v>0.0</v>
      </c>
      <c r="G49" s="55">
        <v>0.0</v>
      </c>
      <c r="H49" s="50">
        <v>0.0</v>
      </c>
      <c r="I49" s="203">
        <v>0.0</v>
      </c>
      <c r="J49" s="69">
        <v>3.0</v>
      </c>
      <c r="K49" s="174" t="s">
        <v>298</v>
      </c>
      <c r="L49" s="211" t="s">
        <v>298</v>
      </c>
    </row>
    <row r="50" ht="22.5" hidden="1" customHeight="1">
      <c r="A50" s="5" t="s">
        <v>185</v>
      </c>
      <c r="B50" s="5" t="s">
        <v>90</v>
      </c>
      <c r="C50" s="55">
        <v>22.0</v>
      </c>
      <c r="D50" s="55">
        <v>0.0</v>
      </c>
      <c r="E50" s="47" t="s">
        <v>258</v>
      </c>
      <c r="F50" s="28">
        <v>0.0</v>
      </c>
      <c r="G50" s="50">
        <v>1.0</v>
      </c>
      <c r="H50" s="47" t="s">
        <v>1274</v>
      </c>
      <c r="I50" s="203">
        <v>0.0</v>
      </c>
      <c r="J50" s="69">
        <v>3.0</v>
      </c>
      <c r="K50" s="174" t="s">
        <v>1275</v>
      </c>
      <c r="L50" s="211" t="s">
        <v>298</v>
      </c>
    </row>
    <row r="51" ht="22.5" hidden="1" customHeight="1">
      <c r="A51" s="5" t="s">
        <v>185</v>
      </c>
      <c r="B51" s="5" t="s">
        <v>39</v>
      </c>
      <c r="C51" s="55">
        <v>45.0</v>
      </c>
      <c r="D51" s="55">
        <v>1.0</v>
      </c>
      <c r="E51" s="47" t="s">
        <v>1237</v>
      </c>
      <c r="F51" s="28">
        <v>0.0</v>
      </c>
      <c r="G51" s="211">
        <v>3.0</v>
      </c>
      <c r="H51" s="47" t="s">
        <v>1277</v>
      </c>
      <c r="I51" s="441">
        <v>44602.0</v>
      </c>
      <c r="J51" s="69">
        <v>12.0</v>
      </c>
      <c r="K51" s="174" t="s">
        <v>1278</v>
      </c>
      <c r="L51" s="211" t="s">
        <v>298</v>
      </c>
    </row>
    <row r="52" ht="22.5" hidden="1" customHeight="1">
      <c r="A52" s="5" t="s">
        <v>185</v>
      </c>
      <c r="B52" s="5" t="s">
        <v>59</v>
      </c>
      <c r="C52" s="13">
        <v>93.0</v>
      </c>
      <c r="D52" s="55">
        <v>0.0</v>
      </c>
      <c r="E52" s="47" t="s">
        <v>258</v>
      </c>
      <c r="F52" s="28">
        <v>0.0</v>
      </c>
      <c r="G52" s="47">
        <v>4.0</v>
      </c>
      <c r="H52" s="47" t="s">
        <v>198</v>
      </c>
      <c r="I52" s="441">
        <v>98948.0</v>
      </c>
      <c r="J52" s="69">
        <v>22.0</v>
      </c>
      <c r="K52" s="174" t="s">
        <v>1280</v>
      </c>
      <c r="L52" s="211" t="s">
        <v>1281</v>
      </c>
    </row>
    <row r="53" ht="22.5" hidden="1" customHeight="1">
      <c r="A53" s="5" t="s">
        <v>185</v>
      </c>
      <c r="B53" s="5" t="s">
        <v>114</v>
      </c>
      <c r="C53" s="13">
        <v>115.0</v>
      </c>
      <c r="D53" s="55">
        <v>1.0</v>
      </c>
      <c r="E53" s="47" t="s">
        <v>1283</v>
      </c>
      <c r="F53" s="28">
        <v>0.0</v>
      </c>
      <c r="G53" s="47">
        <v>7.0</v>
      </c>
      <c r="H53" s="47" t="s">
        <v>1284</v>
      </c>
      <c r="I53" s="441" t="s">
        <v>1285</v>
      </c>
      <c r="J53" s="69">
        <v>49.0</v>
      </c>
      <c r="K53" s="174" t="s">
        <v>1286</v>
      </c>
      <c r="L53" s="211" t="s">
        <v>298</v>
      </c>
    </row>
    <row r="54" ht="22.5" hidden="1" customHeight="1">
      <c r="A54" s="5" t="s">
        <v>185</v>
      </c>
      <c r="B54" s="5" t="s">
        <v>136</v>
      </c>
      <c r="C54" s="13">
        <v>65.0</v>
      </c>
      <c r="D54" s="55">
        <v>0.0</v>
      </c>
      <c r="E54" s="47" t="s">
        <v>258</v>
      </c>
      <c r="F54" s="28">
        <v>0.0</v>
      </c>
      <c r="G54" s="47">
        <v>1.0</v>
      </c>
      <c r="H54" s="47" t="s">
        <v>560</v>
      </c>
      <c r="I54" s="483">
        <v>738004.0</v>
      </c>
      <c r="J54" s="69">
        <v>24.0</v>
      </c>
      <c r="K54" s="174" t="s">
        <v>1290</v>
      </c>
      <c r="L54" s="211" t="s">
        <v>298</v>
      </c>
    </row>
    <row r="55" ht="22.5" hidden="1" customHeight="1">
      <c r="A55" s="5" t="s">
        <v>185</v>
      </c>
      <c r="B55" s="5" t="s">
        <v>85</v>
      </c>
      <c r="C55" s="13">
        <v>276.0</v>
      </c>
      <c r="D55" s="55">
        <v>0.0</v>
      </c>
      <c r="E55" s="47" t="s">
        <v>258</v>
      </c>
      <c r="F55" s="28">
        <v>0.0</v>
      </c>
      <c r="G55" s="47">
        <v>16.0</v>
      </c>
      <c r="H55" s="47" t="s">
        <v>272</v>
      </c>
      <c r="I55" s="441" t="s">
        <v>1292</v>
      </c>
      <c r="J55" s="69">
        <v>85.0</v>
      </c>
      <c r="K55" s="174" t="s">
        <v>1293</v>
      </c>
      <c r="L55" s="211" t="s">
        <v>1294</v>
      </c>
    </row>
    <row r="56" ht="22.5" hidden="1" customHeight="1">
      <c r="A56" s="5" t="s">
        <v>185</v>
      </c>
      <c r="B56" s="35" t="s">
        <v>79</v>
      </c>
      <c r="C56" s="13">
        <v>140.0</v>
      </c>
      <c r="D56" s="55">
        <v>0.0</v>
      </c>
      <c r="E56" s="47" t="s">
        <v>258</v>
      </c>
      <c r="F56" s="28">
        <v>0.0</v>
      </c>
      <c r="G56" s="47">
        <v>9.0</v>
      </c>
      <c r="H56" s="47" t="s">
        <v>1298</v>
      </c>
      <c r="I56" s="441" t="s">
        <v>1299</v>
      </c>
      <c r="J56" s="69">
        <v>19.0</v>
      </c>
      <c r="K56" s="174" t="s">
        <v>1300</v>
      </c>
      <c r="L56" s="211" t="s">
        <v>1301</v>
      </c>
    </row>
    <row r="57" ht="22.5" hidden="1" customHeight="1">
      <c r="A57" s="5" t="s">
        <v>185</v>
      </c>
      <c r="B57" s="5" t="s">
        <v>45</v>
      </c>
      <c r="C57" s="13">
        <v>193.0</v>
      </c>
      <c r="D57" s="55">
        <v>0.0</v>
      </c>
      <c r="E57" s="47" t="s">
        <v>258</v>
      </c>
      <c r="F57" s="28">
        <v>0.0</v>
      </c>
      <c r="G57" s="47">
        <v>12.0</v>
      </c>
      <c r="H57" s="47" t="s">
        <v>1303</v>
      </c>
      <c r="I57" s="441" t="s">
        <v>1304</v>
      </c>
      <c r="J57" s="69">
        <v>16.0</v>
      </c>
      <c r="K57" s="174" t="s">
        <v>1305</v>
      </c>
      <c r="L57" s="211" t="s">
        <v>298</v>
      </c>
    </row>
    <row r="58" ht="22.5" hidden="1" customHeight="1">
      <c r="A58" s="5" t="s">
        <v>185</v>
      </c>
      <c r="B58" s="5" t="s">
        <v>170</v>
      </c>
      <c r="C58" s="13">
        <v>81.0</v>
      </c>
      <c r="D58" s="55">
        <v>0.0</v>
      </c>
      <c r="E58" s="47" t="s">
        <v>258</v>
      </c>
      <c r="F58" s="28">
        <v>0.0</v>
      </c>
      <c r="G58" s="47">
        <v>2.0</v>
      </c>
      <c r="H58" s="47" t="s">
        <v>362</v>
      </c>
      <c r="I58" s="441">
        <v>31723.0</v>
      </c>
      <c r="J58" s="69">
        <v>10.0</v>
      </c>
      <c r="K58" s="174" t="s">
        <v>1309</v>
      </c>
      <c r="L58" s="211" t="s">
        <v>1310</v>
      </c>
    </row>
    <row r="59" ht="22.5" hidden="1" customHeight="1">
      <c r="A59" s="5" t="s">
        <v>185</v>
      </c>
      <c r="B59" s="5" t="s">
        <v>153</v>
      </c>
      <c r="C59" s="13">
        <v>111.0</v>
      </c>
      <c r="D59" s="55">
        <v>0.0</v>
      </c>
      <c r="E59" s="47" t="s">
        <v>258</v>
      </c>
      <c r="F59" s="28">
        <v>0.0</v>
      </c>
      <c r="G59" s="47">
        <v>13.0</v>
      </c>
      <c r="H59" s="47" t="s">
        <v>1311</v>
      </c>
      <c r="I59" s="441" t="s">
        <v>1313</v>
      </c>
      <c r="J59" s="69">
        <v>25.0</v>
      </c>
      <c r="K59" s="174" t="s">
        <v>1314</v>
      </c>
      <c r="L59" s="211" t="s">
        <v>298</v>
      </c>
    </row>
    <row r="60" ht="22.5" hidden="1" customHeight="1">
      <c r="A60" s="5" t="s">
        <v>185</v>
      </c>
      <c r="B60" s="5" t="s">
        <v>26</v>
      </c>
      <c r="C60" s="13">
        <v>429.0</v>
      </c>
      <c r="D60" s="55">
        <v>0.0</v>
      </c>
      <c r="E60" s="47" t="s">
        <v>258</v>
      </c>
      <c r="F60" s="28">
        <v>0.0</v>
      </c>
      <c r="G60" s="47">
        <v>28.0</v>
      </c>
      <c r="H60" s="47" t="s">
        <v>1316</v>
      </c>
      <c r="I60" s="441" t="s">
        <v>1317</v>
      </c>
      <c r="J60" s="69">
        <v>48.0</v>
      </c>
      <c r="K60" s="174" t="s">
        <v>1318</v>
      </c>
      <c r="L60" s="211" t="s">
        <v>1319</v>
      </c>
    </row>
    <row r="61" ht="22.5" hidden="1" customHeight="1">
      <c r="A61" s="5" t="s">
        <v>185</v>
      </c>
      <c r="B61" s="5" t="s">
        <v>23</v>
      </c>
      <c r="C61" s="13">
        <v>276.0</v>
      </c>
      <c r="D61" s="55">
        <v>2.0</v>
      </c>
      <c r="E61" s="47" t="s">
        <v>823</v>
      </c>
      <c r="F61" s="28">
        <v>0.0</v>
      </c>
      <c r="G61" s="55">
        <v>10.0</v>
      </c>
      <c r="H61" s="47" t="s">
        <v>1321</v>
      </c>
      <c r="I61" s="441" t="s">
        <v>1322</v>
      </c>
      <c r="J61" s="69">
        <v>77.0</v>
      </c>
      <c r="K61" s="174" t="s">
        <v>1324</v>
      </c>
      <c r="L61" s="211" t="s">
        <v>298</v>
      </c>
    </row>
    <row r="62" ht="22.5" hidden="1" customHeight="1">
      <c r="A62" s="5" t="s">
        <v>185</v>
      </c>
      <c r="B62" s="5" t="s">
        <v>159</v>
      </c>
      <c r="C62" s="13">
        <v>38.0</v>
      </c>
      <c r="D62" s="55">
        <v>0.0</v>
      </c>
      <c r="E62" s="47" t="s">
        <v>258</v>
      </c>
      <c r="F62" s="28">
        <v>0.0</v>
      </c>
      <c r="G62" s="47">
        <v>1.0</v>
      </c>
      <c r="H62" s="47" t="s">
        <v>456</v>
      </c>
      <c r="I62" s="203">
        <v>0.0</v>
      </c>
      <c r="J62" s="69">
        <v>4.0</v>
      </c>
      <c r="K62" s="174" t="s">
        <v>1326</v>
      </c>
      <c r="L62" s="211" t="s">
        <v>298</v>
      </c>
    </row>
    <row r="63" ht="22.5" hidden="1" customHeight="1">
      <c r="A63" s="5" t="s">
        <v>185</v>
      </c>
      <c r="B63" s="5" t="s">
        <v>63</v>
      </c>
      <c r="C63" s="13">
        <v>349.0</v>
      </c>
      <c r="D63" s="55">
        <v>0.0</v>
      </c>
      <c r="E63" s="47" t="s">
        <v>258</v>
      </c>
      <c r="F63" s="28">
        <v>0.0</v>
      </c>
      <c r="G63" s="47">
        <v>12.0</v>
      </c>
      <c r="H63" s="47" t="s">
        <v>1007</v>
      </c>
      <c r="I63" s="441" t="s">
        <v>1328</v>
      </c>
      <c r="J63" s="69">
        <v>132.0</v>
      </c>
      <c r="K63" s="174" t="s">
        <v>1329</v>
      </c>
      <c r="L63" s="211" t="s">
        <v>298</v>
      </c>
    </row>
    <row r="64" ht="22.5" hidden="1" customHeight="1">
      <c r="A64" s="5" t="s">
        <v>185</v>
      </c>
      <c r="B64" s="5" t="s">
        <v>123</v>
      </c>
      <c r="C64" s="13">
        <v>42.0</v>
      </c>
      <c r="D64" s="55">
        <v>0.0</v>
      </c>
      <c r="E64" s="47" t="s">
        <v>258</v>
      </c>
      <c r="F64" s="28">
        <v>0.0</v>
      </c>
      <c r="G64" s="47">
        <v>8.0</v>
      </c>
      <c r="H64" s="47" t="s">
        <v>1330</v>
      </c>
      <c r="I64" s="441" t="s">
        <v>1332</v>
      </c>
      <c r="J64" s="69">
        <v>22.0</v>
      </c>
      <c r="K64" s="174" t="s">
        <v>1334</v>
      </c>
      <c r="L64" s="211" t="s">
        <v>1335</v>
      </c>
    </row>
    <row r="65" ht="22.5" customHeight="1">
      <c r="A65" s="5" t="s">
        <v>383</v>
      </c>
      <c r="B65" s="5" t="s">
        <v>15</v>
      </c>
      <c r="C65" s="273">
        <v>21.0</v>
      </c>
      <c r="D65" s="273">
        <v>0.0</v>
      </c>
      <c r="E65" s="276">
        <v>0.0</v>
      </c>
      <c r="F65" s="28">
        <v>0.0</v>
      </c>
      <c r="G65" s="511">
        <v>1.0</v>
      </c>
      <c r="H65" s="276">
        <v>0.047619047619047616</v>
      </c>
      <c r="I65" s="91">
        <v>0.0</v>
      </c>
      <c r="J65" s="511">
        <v>0.0</v>
      </c>
      <c r="K65" s="276">
        <v>0.0</v>
      </c>
      <c r="L65" s="281">
        <v>1.0</v>
      </c>
    </row>
    <row r="66" ht="22.5" customHeight="1">
      <c r="A66" s="5" t="s">
        <v>383</v>
      </c>
      <c r="B66" s="5" t="s">
        <v>13</v>
      </c>
      <c r="C66" s="273">
        <v>294.0</v>
      </c>
      <c r="D66" s="273">
        <v>1.0</v>
      </c>
      <c r="E66" s="276">
        <v>0.003401360544217687</v>
      </c>
      <c r="F66" s="28">
        <v>0.0</v>
      </c>
      <c r="G66" s="275">
        <v>10.0</v>
      </c>
      <c r="H66" s="276">
        <v>0.034013605442176874</v>
      </c>
      <c r="I66" s="91">
        <v>0.0</v>
      </c>
      <c r="J66" s="275">
        <v>14.0</v>
      </c>
      <c r="K66" s="276">
        <v>0.04895104895104895</v>
      </c>
      <c r="L66" s="281">
        <v>0.9763</v>
      </c>
    </row>
    <row r="67" ht="22.5" customHeight="1">
      <c r="A67" s="5" t="s">
        <v>383</v>
      </c>
      <c r="B67" s="5" t="s">
        <v>27</v>
      </c>
      <c r="C67" s="273">
        <v>73.0</v>
      </c>
      <c r="D67" s="273">
        <v>0.0</v>
      </c>
      <c r="E67" s="276">
        <v>0.0</v>
      </c>
      <c r="F67" s="28">
        <v>0.0</v>
      </c>
      <c r="G67" s="275">
        <v>2.0</v>
      </c>
      <c r="H67" s="276">
        <v>0.0273972602739726</v>
      </c>
      <c r="I67" s="91">
        <v>0.0</v>
      </c>
      <c r="J67" s="275">
        <v>3.0</v>
      </c>
      <c r="K67" s="276">
        <v>0.0410958904109589</v>
      </c>
      <c r="L67" s="281">
        <v>1.0</v>
      </c>
    </row>
    <row r="68" ht="22.5" customHeight="1">
      <c r="A68" s="5" t="s">
        <v>383</v>
      </c>
      <c r="B68" s="5" t="s">
        <v>33</v>
      </c>
      <c r="C68" s="273">
        <v>141.0</v>
      </c>
      <c r="D68" s="273">
        <v>1.0</v>
      </c>
      <c r="E68" s="276">
        <v>0.0070921985815602835</v>
      </c>
      <c r="F68" s="28">
        <v>0.0</v>
      </c>
      <c r="G68" s="275">
        <v>3.0</v>
      </c>
      <c r="H68" s="276">
        <v>0.02127659574468085</v>
      </c>
      <c r="I68" s="91">
        <v>0.0</v>
      </c>
      <c r="J68" s="275">
        <v>7.0</v>
      </c>
      <c r="K68" s="276">
        <v>0.051094890510948905</v>
      </c>
      <c r="L68" s="281">
        <v>0.9746</v>
      </c>
    </row>
    <row r="69" ht="22.5" customHeight="1">
      <c r="A69" s="5" t="s">
        <v>383</v>
      </c>
      <c r="B69" s="5" t="s">
        <v>19</v>
      </c>
      <c r="C69" s="273">
        <v>205.0</v>
      </c>
      <c r="D69" s="273">
        <v>3.0</v>
      </c>
      <c r="E69" s="276">
        <v>0.014634146341463415</v>
      </c>
      <c r="F69" s="28">
        <v>0.0</v>
      </c>
      <c r="G69" s="275">
        <v>7.0</v>
      </c>
      <c r="H69" s="276">
        <v>0.03414634146341464</v>
      </c>
      <c r="I69" s="91">
        <v>0.0</v>
      </c>
      <c r="J69" s="275">
        <v>14.0</v>
      </c>
      <c r="K69" s="276">
        <v>0.07035175879396985</v>
      </c>
      <c r="L69" s="278">
        <v>0.9454</v>
      </c>
    </row>
    <row r="70" ht="22.5" customHeight="1">
      <c r="A70" s="5" t="s">
        <v>383</v>
      </c>
      <c r="B70" s="5" t="s">
        <v>58</v>
      </c>
      <c r="C70" s="76">
        <v>108.0</v>
      </c>
      <c r="D70" s="273">
        <v>0.0</v>
      </c>
      <c r="E70" s="276">
        <v>0.0</v>
      </c>
      <c r="F70" s="28">
        <v>0.0</v>
      </c>
      <c r="G70" s="275">
        <v>7.0</v>
      </c>
      <c r="H70" s="276">
        <v>0.06481481481481481</v>
      </c>
      <c r="I70" s="91">
        <v>0.0</v>
      </c>
      <c r="J70" s="275">
        <v>9.0</v>
      </c>
      <c r="K70" s="276">
        <v>0.0891089108910891</v>
      </c>
      <c r="L70" s="521">
        <v>0.9971</v>
      </c>
    </row>
    <row r="71" ht="22.5" customHeight="1">
      <c r="A71" s="5" t="s">
        <v>383</v>
      </c>
      <c r="B71" s="5" t="s">
        <v>77</v>
      </c>
      <c r="C71" s="273">
        <v>74.0</v>
      </c>
      <c r="D71" s="273">
        <v>3.0</v>
      </c>
      <c r="E71" s="276">
        <v>0.04054054054054054</v>
      </c>
      <c r="F71" s="28">
        <v>0.0</v>
      </c>
      <c r="G71" s="275">
        <v>1.0</v>
      </c>
      <c r="H71" s="276">
        <v>0.013513513513513514</v>
      </c>
      <c r="I71" s="91">
        <v>0.0</v>
      </c>
      <c r="J71" s="275">
        <v>2.0</v>
      </c>
      <c r="K71" s="276">
        <v>0.028169014084507043</v>
      </c>
      <c r="L71" s="281">
        <v>0.9679</v>
      </c>
    </row>
    <row r="72" ht="22.5" customHeight="1">
      <c r="A72" s="5" t="s">
        <v>383</v>
      </c>
      <c r="B72" s="5" t="s">
        <v>82</v>
      </c>
      <c r="C72" s="273">
        <v>58.0</v>
      </c>
      <c r="D72" s="273">
        <v>5.0</v>
      </c>
      <c r="E72" s="276">
        <v>0.08620689655172414</v>
      </c>
      <c r="F72" s="28">
        <v>0.0</v>
      </c>
      <c r="G72" s="275">
        <v>1.0</v>
      </c>
      <c r="H72" s="276">
        <v>0.017241379310344827</v>
      </c>
      <c r="I72" s="91">
        <v>0.0</v>
      </c>
      <c r="J72" s="275">
        <v>0.0</v>
      </c>
      <c r="K72" s="276">
        <v>0.0</v>
      </c>
      <c r="L72" s="278">
        <v>0.9471</v>
      </c>
    </row>
    <row r="73" ht="22.5" customHeight="1">
      <c r="A73" s="5" t="s">
        <v>383</v>
      </c>
      <c r="B73" s="5" t="s">
        <v>39</v>
      </c>
      <c r="C73" s="273">
        <v>43.0</v>
      </c>
      <c r="D73" s="273">
        <v>1.0</v>
      </c>
      <c r="E73" s="276">
        <v>0.023255813953488372</v>
      </c>
      <c r="F73" s="28">
        <v>0.0</v>
      </c>
      <c r="G73" s="275">
        <v>0.0</v>
      </c>
      <c r="H73" s="276">
        <v>0.0</v>
      </c>
      <c r="I73" s="91">
        <v>0.0</v>
      </c>
      <c r="J73" s="275">
        <v>8.0</v>
      </c>
      <c r="K73" s="276">
        <v>0.1951219512195122</v>
      </c>
      <c r="L73" s="278">
        <v>0.9228</v>
      </c>
    </row>
    <row r="74" ht="22.5" customHeight="1">
      <c r="A74" s="5" t="s">
        <v>383</v>
      </c>
      <c r="B74" s="5" t="s">
        <v>63</v>
      </c>
      <c r="C74" s="273">
        <f>42+43</f>
        <v>85</v>
      </c>
      <c r="D74" s="273">
        <v>2.0</v>
      </c>
      <c r="E74" s="276">
        <v>0.047619047619047616</v>
      </c>
      <c r="F74" s="28">
        <v>0.0</v>
      </c>
      <c r="G74" s="275">
        <v>2.0</v>
      </c>
      <c r="H74" s="525">
        <v>0.0238095238095238</v>
      </c>
      <c r="I74" s="91">
        <v>0.0</v>
      </c>
      <c r="J74" s="275">
        <v>1.0</v>
      </c>
      <c r="K74" s="276">
        <v>0.022222222222222223</v>
      </c>
      <c r="L74" s="281">
        <v>0.9959</v>
      </c>
    </row>
    <row r="75" ht="22.5" customHeight="1">
      <c r="A75" s="5" t="s">
        <v>383</v>
      </c>
      <c r="B75" s="5" t="s">
        <v>59</v>
      </c>
      <c r="C75" s="273">
        <v>38.0</v>
      </c>
      <c r="D75" s="273">
        <v>0.0</v>
      </c>
      <c r="E75" s="276">
        <v>0.0</v>
      </c>
      <c r="F75" s="28">
        <v>0.0</v>
      </c>
      <c r="G75" s="275">
        <v>0.0</v>
      </c>
      <c r="H75" s="276">
        <v>0.0</v>
      </c>
      <c r="I75" s="91">
        <v>0.0</v>
      </c>
      <c r="J75" s="275">
        <v>0.0</v>
      </c>
      <c r="K75" s="276">
        <v>0.0</v>
      </c>
      <c r="L75" s="281">
        <v>1.0</v>
      </c>
    </row>
    <row r="76" ht="22.5" customHeight="1">
      <c r="A76" s="5" t="s">
        <v>383</v>
      </c>
      <c r="B76" s="5" t="s">
        <v>114</v>
      </c>
      <c r="C76" s="273">
        <v>97.0</v>
      </c>
      <c r="D76" s="273">
        <v>0.0</v>
      </c>
      <c r="E76" s="276">
        <v>0.0</v>
      </c>
      <c r="F76" s="28">
        <v>0.0</v>
      </c>
      <c r="G76" s="275">
        <v>1.0</v>
      </c>
      <c r="H76" s="276">
        <v>0.010309278350515464</v>
      </c>
      <c r="I76" s="91">
        <v>0.0</v>
      </c>
      <c r="J76" s="275">
        <v>15.0</v>
      </c>
      <c r="K76" s="276">
        <v>0.1595744680851064</v>
      </c>
      <c r="L76" s="281">
        <v>0.9886</v>
      </c>
    </row>
    <row r="77" ht="22.5" customHeight="1">
      <c r="A77" s="5" t="s">
        <v>383</v>
      </c>
      <c r="B77" s="5" t="s">
        <v>136</v>
      </c>
      <c r="C77" s="273">
        <v>67.0</v>
      </c>
      <c r="D77" s="273">
        <v>1.0</v>
      </c>
      <c r="E77" s="276">
        <v>0.014925373134328358</v>
      </c>
      <c r="F77" s="28">
        <v>0.0</v>
      </c>
      <c r="G77" s="275">
        <v>1.0</v>
      </c>
      <c r="H77" s="276">
        <v>0.014925373134328358</v>
      </c>
      <c r="I77" s="91">
        <v>0.0</v>
      </c>
      <c r="J77" s="275">
        <v>14.0</v>
      </c>
      <c r="K77" s="276">
        <v>0.2153846153846154</v>
      </c>
      <c r="L77" s="281">
        <v>0.9962</v>
      </c>
    </row>
    <row r="78" ht="22.5" customHeight="1">
      <c r="A78" s="5" t="s">
        <v>383</v>
      </c>
      <c r="B78" s="96" t="s">
        <v>501</v>
      </c>
      <c r="C78" s="273">
        <v>64.0</v>
      </c>
      <c r="D78" s="273">
        <v>0.0</v>
      </c>
      <c r="E78" s="276">
        <v>0.0</v>
      </c>
      <c r="F78" s="28">
        <v>0.0</v>
      </c>
      <c r="G78" s="275">
        <v>2.0</v>
      </c>
      <c r="H78" s="276">
        <v>0.03125</v>
      </c>
      <c r="I78" s="91">
        <v>0.0</v>
      </c>
      <c r="J78" s="275">
        <v>7.0</v>
      </c>
      <c r="K78" s="276">
        <v>0.109375</v>
      </c>
      <c r="L78" s="281">
        <v>1.0</v>
      </c>
    </row>
    <row r="79" ht="22.5" customHeight="1">
      <c r="A79" s="5" t="s">
        <v>383</v>
      </c>
      <c r="B79" s="35" t="s">
        <v>79</v>
      </c>
      <c r="C79" s="273">
        <v>104.0</v>
      </c>
      <c r="D79" s="273">
        <v>0.0</v>
      </c>
      <c r="E79" s="276">
        <v>0.0</v>
      </c>
      <c r="F79" s="28">
        <v>0.0</v>
      </c>
      <c r="G79" s="275">
        <v>6.0</v>
      </c>
      <c r="H79" s="276">
        <v>0.057692307692307696</v>
      </c>
      <c r="I79" s="91">
        <v>0.0</v>
      </c>
      <c r="J79" s="275">
        <v>5.0</v>
      </c>
      <c r="K79" s="276">
        <v>0.04950495049504951</v>
      </c>
      <c r="L79" s="281">
        <v>0.9994</v>
      </c>
    </row>
    <row r="80" ht="22.5" customHeight="1">
      <c r="A80" s="5" t="s">
        <v>383</v>
      </c>
      <c r="B80" s="5" t="s">
        <v>45</v>
      </c>
      <c r="C80" s="273">
        <v>78.0</v>
      </c>
      <c r="D80" s="273">
        <v>0.0</v>
      </c>
      <c r="E80" s="276">
        <v>0.0</v>
      </c>
      <c r="F80" s="28">
        <v>0.0</v>
      </c>
      <c r="G80" s="275">
        <v>2.0</v>
      </c>
      <c r="H80" s="276">
        <v>0.02564102564102564</v>
      </c>
      <c r="I80" s="91">
        <v>0.0</v>
      </c>
      <c r="J80" s="275">
        <v>0.0</v>
      </c>
      <c r="K80" s="276">
        <v>0.0</v>
      </c>
      <c r="L80" s="281">
        <v>0.981</v>
      </c>
    </row>
    <row r="81" ht="22.5" customHeight="1">
      <c r="A81" s="5" t="s">
        <v>383</v>
      </c>
      <c r="B81" s="5" t="s">
        <v>123</v>
      </c>
      <c r="C81" s="273">
        <v>80.0</v>
      </c>
      <c r="D81" s="273">
        <v>0.0</v>
      </c>
      <c r="E81" s="276">
        <v>0.0</v>
      </c>
      <c r="F81" s="28">
        <v>0.0</v>
      </c>
      <c r="G81" s="275">
        <v>2.0</v>
      </c>
      <c r="H81" s="276">
        <v>0.025</v>
      </c>
      <c r="I81" s="91">
        <v>0.0</v>
      </c>
      <c r="J81" s="275">
        <v>8.0</v>
      </c>
      <c r="K81" s="276">
        <v>0.1038961038961039</v>
      </c>
      <c r="L81" s="281">
        <v>0.9891</v>
      </c>
    </row>
    <row r="82" ht="22.5" customHeight="1">
      <c r="A82" s="5" t="s">
        <v>383</v>
      </c>
      <c r="B82" s="5" t="s">
        <v>153</v>
      </c>
      <c r="C82" s="273">
        <v>55.0</v>
      </c>
      <c r="D82" s="273">
        <v>0.0</v>
      </c>
      <c r="E82" s="276">
        <v>0.0</v>
      </c>
      <c r="F82" s="28">
        <v>0.0</v>
      </c>
      <c r="G82" s="275">
        <v>3.0</v>
      </c>
      <c r="H82" s="276">
        <v>0.05454545454545454</v>
      </c>
      <c r="I82" s="91">
        <v>0.0</v>
      </c>
      <c r="J82" s="275">
        <v>3.0</v>
      </c>
      <c r="K82" s="276">
        <v>0.05555555555555555</v>
      </c>
      <c r="L82" s="281">
        <v>0.9823</v>
      </c>
    </row>
    <row r="83" ht="22.5" customHeight="1">
      <c r="A83" s="5" t="s">
        <v>383</v>
      </c>
      <c r="B83" s="5" t="s">
        <v>159</v>
      </c>
      <c r="C83" s="273">
        <v>50.0</v>
      </c>
      <c r="D83" s="273">
        <v>0.0</v>
      </c>
      <c r="E83" s="276">
        <v>0.0</v>
      </c>
      <c r="F83" s="28">
        <v>0.0</v>
      </c>
      <c r="G83" s="275">
        <v>1.0</v>
      </c>
      <c r="H83" s="276">
        <v>0.02</v>
      </c>
      <c r="I83" s="91">
        <v>0.0</v>
      </c>
      <c r="J83" s="275">
        <v>0.0</v>
      </c>
      <c r="K83" s="276">
        <v>0.0</v>
      </c>
      <c r="L83" s="281">
        <v>1.0</v>
      </c>
    </row>
    <row r="84" ht="22.5" customHeight="1">
      <c r="A84" s="5" t="s">
        <v>383</v>
      </c>
      <c r="B84" s="5" t="s">
        <v>26</v>
      </c>
      <c r="C84" s="76">
        <v>237.0</v>
      </c>
      <c r="D84" s="273">
        <v>4.0</v>
      </c>
      <c r="E84" s="276">
        <v>0.016877637130801686</v>
      </c>
      <c r="F84" s="28">
        <v>0.0</v>
      </c>
      <c r="G84" s="275">
        <v>7.0</v>
      </c>
      <c r="H84" s="276">
        <v>0.029535864978902954</v>
      </c>
      <c r="I84" s="91">
        <v>0.0</v>
      </c>
      <c r="J84" s="275">
        <v>5.0</v>
      </c>
      <c r="K84" s="276">
        <v>0.021929824561403508</v>
      </c>
      <c r="L84" s="281">
        <v>1.0</v>
      </c>
    </row>
    <row r="85" ht="22.5" customHeight="1">
      <c r="A85" s="5" t="s">
        <v>383</v>
      </c>
      <c r="B85" s="5" t="s">
        <v>23</v>
      </c>
      <c r="C85" s="76">
        <v>175.0</v>
      </c>
      <c r="D85" s="273">
        <v>0.0</v>
      </c>
      <c r="E85" s="276">
        <v>0.0</v>
      </c>
      <c r="F85" s="28">
        <v>0.0</v>
      </c>
      <c r="G85" s="275">
        <v>9.0</v>
      </c>
      <c r="H85" s="276">
        <v>0.05142857142857143</v>
      </c>
      <c r="I85" s="91">
        <v>0.0</v>
      </c>
      <c r="J85" s="275">
        <v>12.0</v>
      </c>
      <c r="K85" s="276">
        <v>0.06857142857142857</v>
      </c>
      <c r="L85" s="281">
        <v>1.0</v>
      </c>
    </row>
    <row r="86" ht="22.5" hidden="1" customHeight="1">
      <c r="A86" s="233"/>
      <c r="B86" s="234"/>
      <c r="C86" s="340"/>
      <c r="D86" s="341"/>
      <c r="E86" s="342"/>
      <c r="F86" s="343"/>
      <c r="G86" s="341"/>
      <c r="H86" s="342"/>
      <c r="I86" s="344"/>
      <c r="J86" s="341"/>
      <c r="K86" s="342"/>
      <c r="L86" s="339"/>
    </row>
    <row r="87" ht="22.5" hidden="1" customHeight="1">
      <c r="A87" s="233"/>
      <c r="B87" s="234"/>
      <c r="C87" s="546"/>
      <c r="D87" s="547"/>
      <c r="E87" s="548"/>
      <c r="F87" s="549"/>
      <c r="G87" s="547"/>
      <c r="H87" s="548"/>
      <c r="I87" s="550"/>
      <c r="J87" s="547"/>
      <c r="K87" s="548"/>
      <c r="L87" s="244"/>
    </row>
    <row r="88">
      <c r="C88" s="108"/>
      <c r="D88" s="108"/>
      <c r="E88" s="108"/>
      <c r="F88" s="108"/>
      <c r="G88" s="108"/>
      <c r="H88" s="108"/>
      <c r="I88" s="315"/>
      <c r="J88" s="108"/>
      <c r="K88" s="108"/>
      <c r="L88" s="108"/>
    </row>
    <row r="89">
      <c r="C89" s="79"/>
      <c r="D89" s="79"/>
      <c r="E89" s="79"/>
      <c r="F89" s="79"/>
      <c r="G89" s="79"/>
      <c r="H89" s="79"/>
      <c r="I89" s="314"/>
      <c r="J89" s="79"/>
      <c r="K89" s="79"/>
      <c r="L89" s="79"/>
    </row>
    <row r="90">
      <c r="C90" s="79"/>
      <c r="D90" s="79"/>
      <c r="E90" s="79"/>
      <c r="F90" s="79"/>
      <c r="G90" s="79"/>
      <c r="H90" s="79"/>
      <c r="I90" s="314"/>
      <c r="J90" s="79"/>
      <c r="K90" s="79"/>
      <c r="L90" s="79"/>
    </row>
    <row r="91">
      <c r="C91" s="79"/>
      <c r="D91" s="79"/>
      <c r="E91" s="79"/>
      <c r="F91" s="79"/>
      <c r="G91" s="79"/>
      <c r="H91" s="79"/>
      <c r="I91" s="314"/>
      <c r="J91" s="79"/>
      <c r="K91" s="79"/>
      <c r="L91" s="79"/>
    </row>
    <row r="92">
      <c r="C92" s="79"/>
      <c r="D92" s="79"/>
      <c r="E92" s="79"/>
      <c r="F92" s="79"/>
      <c r="G92" s="79"/>
      <c r="H92" s="79"/>
      <c r="I92" s="314"/>
      <c r="J92" s="79"/>
      <c r="K92" s="79"/>
      <c r="L92" s="79"/>
    </row>
    <row r="93">
      <c r="C93" s="79"/>
      <c r="D93" s="79"/>
      <c r="E93" s="79"/>
      <c r="F93" s="79"/>
      <c r="G93" s="79"/>
      <c r="H93" s="79"/>
      <c r="I93" s="314"/>
      <c r="J93" s="79"/>
      <c r="K93" s="79"/>
      <c r="L93" s="79"/>
    </row>
    <row r="94">
      <c r="C94" s="79"/>
      <c r="D94" s="79"/>
      <c r="E94" s="79"/>
      <c r="F94" s="79"/>
      <c r="G94" s="79"/>
      <c r="H94" s="79"/>
      <c r="I94" s="314"/>
      <c r="J94" s="79"/>
      <c r="K94" s="79"/>
      <c r="L94" s="79"/>
    </row>
    <row r="95">
      <c r="C95" s="79"/>
      <c r="D95" s="79"/>
      <c r="E95" s="79"/>
      <c r="F95" s="79"/>
      <c r="G95" s="79"/>
      <c r="H95" s="79"/>
      <c r="I95" s="314"/>
      <c r="J95" s="79"/>
      <c r="K95" s="79"/>
      <c r="L95" s="79"/>
    </row>
    <row r="96">
      <c r="C96" s="79"/>
      <c r="D96" s="79"/>
      <c r="E96" s="79"/>
      <c r="F96" s="79"/>
      <c r="G96" s="79"/>
      <c r="H96" s="79"/>
      <c r="I96" s="314"/>
      <c r="J96" s="79"/>
      <c r="K96" s="79"/>
      <c r="L96" s="79"/>
    </row>
    <row r="97">
      <c r="C97" s="79"/>
      <c r="D97" s="79"/>
      <c r="E97" s="79"/>
      <c r="F97" s="79"/>
      <c r="G97" s="79"/>
      <c r="H97" s="79"/>
      <c r="I97" s="314"/>
      <c r="J97" s="79"/>
      <c r="K97" s="79"/>
      <c r="L97" s="79"/>
    </row>
    <row r="98">
      <c r="C98" s="79"/>
      <c r="D98" s="79"/>
      <c r="E98" s="79"/>
      <c r="F98" s="79"/>
      <c r="G98" s="79"/>
      <c r="H98" s="79"/>
      <c r="I98" s="314"/>
      <c r="J98" s="79"/>
      <c r="K98" s="79"/>
      <c r="L98" s="79"/>
    </row>
    <row r="99">
      <c r="C99" s="79"/>
      <c r="D99" s="79"/>
      <c r="E99" s="79"/>
      <c r="F99" s="79"/>
      <c r="G99" s="79"/>
      <c r="H99" s="79"/>
      <c r="I99" s="314"/>
      <c r="J99" s="79"/>
      <c r="K99" s="79"/>
      <c r="L99" s="79"/>
    </row>
    <row r="100">
      <c r="C100" s="79"/>
      <c r="D100" s="79"/>
      <c r="E100" s="79"/>
      <c r="F100" s="79"/>
      <c r="G100" s="79"/>
      <c r="H100" s="79"/>
      <c r="I100" s="314"/>
      <c r="J100" s="79"/>
      <c r="K100" s="79"/>
      <c r="L100" s="79"/>
    </row>
    <row r="101">
      <c r="C101" s="79"/>
      <c r="D101" s="79"/>
      <c r="E101" s="79"/>
      <c r="F101" s="79"/>
      <c r="G101" s="79"/>
      <c r="H101" s="79"/>
      <c r="I101" s="314"/>
      <c r="J101" s="79"/>
      <c r="K101" s="79"/>
      <c r="L101" s="79"/>
    </row>
    <row r="102">
      <c r="C102" s="79"/>
      <c r="D102" s="79"/>
      <c r="E102" s="79"/>
      <c r="F102" s="79"/>
      <c r="G102" s="79"/>
      <c r="H102" s="79"/>
      <c r="I102" s="314"/>
      <c r="J102" s="79"/>
      <c r="K102" s="79"/>
      <c r="L102" s="79"/>
    </row>
    <row r="103">
      <c r="C103" s="79"/>
      <c r="D103" s="79"/>
      <c r="E103" s="79"/>
      <c r="F103" s="79"/>
      <c r="G103" s="79"/>
      <c r="H103" s="79"/>
      <c r="I103" s="314"/>
      <c r="J103" s="79"/>
      <c r="K103" s="79"/>
      <c r="L103" s="79"/>
    </row>
    <row r="104">
      <c r="C104" s="79"/>
      <c r="D104" s="79"/>
      <c r="E104" s="79"/>
      <c r="F104" s="79"/>
      <c r="G104" s="79"/>
      <c r="H104" s="79"/>
      <c r="I104" s="314"/>
      <c r="J104" s="79"/>
      <c r="K104" s="79"/>
      <c r="L104" s="79"/>
    </row>
    <row r="105">
      <c r="C105" s="79"/>
      <c r="D105" s="79"/>
      <c r="E105" s="79"/>
      <c r="F105" s="79"/>
      <c r="G105" s="79"/>
      <c r="H105" s="79"/>
      <c r="I105" s="314"/>
      <c r="J105" s="79"/>
      <c r="K105" s="79"/>
      <c r="L105" s="79"/>
    </row>
    <row r="106">
      <c r="C106" s="79"/>
      <c r="D106" s="79"/>
      <c r="E106" s="79"/>
      <c r="F106" s="79"/>
      <c r="G106" s="79"/>
      <c r="H106" s="79"/>
      <c r="I106" s="314"/>
      <c r="J106" s="79"/>
      <c r="K106" s="79"/>
      <c r="L106" s="79"/>
    </row>
    <row r="107">
      <c r="C107" s="79"/>
      <c r="D107" s="79"/>
      <c r="E107" s="79"/>
      <c r="F107" s="79"/>
      <c r="G107" s="79"/>
      <c r="H107" s="79"/>
      <c r="I107" s="314"/>
      <c r="J107" s="79"/>
      <c r="K107" s="79"/>
      <c r="L107" s="79"/>
    </row>
    <row r="108">
      <c r="C108" s="79"/>
      <c r="D108" s="79"/>
      <c r="E108" s="79"/>
      <c r="F108" s="79"/>
      <c r="G108" s="79"/>
      <c r="H108" s="79"/>
      <c r="I108" s="314"/>
      <c r="J108" s="79"/>
      <c r="K108" s="79"/>
      <c r="L108" s="79"/>
    </row>
    <row r="109">
      <c r="C109" s="79"/>
      <c r="D109" s="79"/>
      <c r="E109" s="79"/>
      <c r="F109" s="79"/>
      <c r="G109" s="79"/>
      <c r="H109" s="79"/>
      <c r="I109" s="314"/>
      <c r="J109" s="79"/>
      <c r="K109" s="79"/>
      <c r="L109" s="79"/>
    </row>
    <row r="110">
      <c r="C110" s="79"/>
      <c r="D110" s="79"/>
      <c r="E110" s="79"/>
      <c r="F110" s="79"/>
      <c r="G110" s="79"/>
      <c r="H110" s="79"/>
      <c r="I110" s="314"/>
      <c r="J110" s="79"/>
      <c r="K110" s="79"/>
      <c r="L110" s="79"/>
    </row>
    <row r="111">
      <c r="C111" s="79"/>
      <c r="D111" s="79"/>
      <c r="E111" s="79"/>
      <c r="F111" s="79"/>
      <c r="G111" s="79"/>
      <c r="H111" s="79"/>
      <c r="I111" s="314"/>
      <c r="J111" s="79"/>
      <c r="K111" s="79"/>
      <c r="L111" s="79"/>
    </row>
    <row r="112">
      <c r="C112" s="79"/>
      <c r="D112" s="79"/>
      <c r="E112" s="79"/>
      <c r="F112" s="79"/>
      <c r="G112" s="79"/>
      <c r="H112" s="79"/>
      <c r="I112" s="314"/>
      <c r="J112" s="79"/>
      <c r="K112" s="79"/>
      <c r="L112" s="79"/>
    </row>
    <row r="113">
      <c r="C113" s="79"/>
      <c r="D113" s="79"/>
      <c r="E113" s="79"/>
      <c r="F113" s="79"/>
      <c r="G113" s="79"/>
      <c r="H113" s="79"/>
      <c r="I113" s="314"/>
      <c r="J113" s="79"/>
      <c r="K113" s="79"/>
      <c r="L113" s="79"/>
    </row>
    <row r="114">
      <c r="C114" s="79"/>
      <c r="D114" s="79"/>
      <c r="E114" s="79"/>
      <c r="F114" s="79"/>
      <c r="G114" s="79"/>
      <c r="H114" s="79"/>
      <c r="I114" s="314"/>
      <c r="J114" s="79"/>
      <c r="K114" s="79"/>
      <c r="L114" s="79"/>
    </row>
    <row r="115">
      <c r="C115" s="79"/>
      <c r="D115" s="79"/>
      <c r="E115" s="79"/>
      <c r="F115" s="79"/>
      <c r="G115" s="79"/>
      <c r="H115" s="79"/>
      <c r="I115" s="314"/>
      <c r="J115" s="79"/>
      <c r="K115" s="79"/>
      <c r="L115" s="79"/>
    </row>
    <row r="116">
      <c r="C116" s="79"/>
      <c r="D116" s="79"/>
      <c r="E116" s="79"/>
      <c r="F116" s="79"/>
      <c r="G116" s="79"/>
      <c r="H116" s="79"/>
      <c r="I116" s="314"/>
      <c r="J116" s="79"/>
      <c r="K116" s="79"/>
      <c r="L116" s="79"/>
    </row>
    <row r="117">
      <c r="C117" s="79"/>
      <c r="D117" s="79"/>
      <c r="E117" s="79"/>
      <c r="F117" s="79"/>
      <c r="G117" s="79"/>
      <c r="H117" s="79"/>
      <c r="I117" s="314"/>
      <c r="J117" s="79"/>
      <c r="K117" s="79"/>
      <c r="L117" s="79"/>
    </row>
    <row r="118">
      <c r="C118" s="79"/>
      <c r="D118" s="79"/>
      <c r="E118" s="79"/>
      <c r="F118" s="79"/>
      <c r="G118" s="79"/>
      <c r="H118" s="79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314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314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314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314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314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314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314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314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314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314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314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314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314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314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314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314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314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314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314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314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314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314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314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314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314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314"/>
      <c r="J768" s="79"/>
      <c r="K768" s="79"/>
      <c r="L768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7.88"/>
    <col customWidth="1" min="3" max="3" width="26.25"/>
    <col customWidth="1" min="4" max="4" width="21.75"/>
    <col customWidth="1" min="5" max="5" width="22.63"/>
    <col customWidth="1" min="6" max="6" width="24.13"/>
    <col customWidth="1" min="8" max="8" width="25.0"/>
    <col customWidth="1" min="9" max="9" width="23.38"/>
    <col customWidth="1" min="10" max="10" width="20.63"/>
    <col customWidth="1" min="11" max="11" width="23.88"/>
    <col customWidth="1" min="12" max="12" width="18.5"/>
    <col customWidth="1" min="14" max="14" width="14.5"/>
    <col customWidth="1" min="15" max="15" width="21.25"/>
    <col customWidth="1" min="16" max="16" width="16.5"/>
    <col customWidth="1" min="17" max="17" width="18.0"/>
    <col customWidth="1" min="18" max="18" width="17.25"/>
    <col customWidth="1" min="19" max="19" width="20.63"/>
    <col customWidth="1" min="20" max="20" width="17.88"/>
    <col customWidth="1" min="21" max="21" width="15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12</v>
      </c>
      <c r="G1" s="4" t="s">
        <v>5</v>
      </c>
      <c r="H1" s="4" t="s">
        <v>6</v>
      </c>
      <c r="I1" s="348" t="s">
        <v>7</v>
      </c>
      <c r="J1" s="349" t="s">
        <v>8</v>
      </c>
      <c r="K1" s="349" t="s">
        <v>9</v>
      </c>
      <c r="L1" s="350" t="s">
        <v>10</v>
      </c>
      <c r="N1" s="124" t="s">
        <v>509</v>
      </c>
      <c r="O1" s="125" t="s">
        <v>3</v>
      </c>
      <c r="P1" s="4" t="s">
        <v>3</v>
      </c>
      <c r="Q1" s="4" t="s">
        <v>1169</v>
      </c>
      <c r="S1" s="125" t="s">
        <v>1170</v>
      </c>
      <c r="T1" s="4" t="s">
        <v>3</v>
      </c>
      <c r="U1" s="4" t="s">
        <v>1169</v>
      </c>
    </row>
    <row r="2" ht="22.5" hidden="1" customHeight="1">
      <c r="A2" s="5" t="s">
        <v>11</v>
      </c>
      <c r="B2" s="5" t="s">
        <v>15</v>
      </c>
      <c r="C2" s="351">
        <v>1785.0</v>
      </c>
      <c r="D2" s="352">
        <v>6.0</v>
      </c>
      <c r="E2" s="353">
        <v>0.0034</v>
      </c>
      <c r="F2" s="354" t="s">
        <v>1172</v>
      </c>
      <c r="G2" s="355">
        <v>38.0</v>
      </c>
      <c r="H2" s="356">
        <v>0.0213</v>
      </c>
      <c r="I2" s="357" t="s">
        <v>1173</v>
      </c>
      <c r="J2" s="358">
        <v>209.0</v>
      </c>
      <c r="K2" s="359">
        <v>0.1382</v>
      </c>
      <c r="L2" s="127">
        <f>100</f>
        <v>100</v>
      </c>
      <c r="O2" s="128" t="s">
        <v>1175</v>
      </c>
      <c r="P2" s="360">
        <v>29.0</v>
      </c>
      <c r="Q2" s="361">
        <v>0.0081</v>
      </c>
      <c r="R2" s="131"/>
      <c r="S2" s="128" t="s">
        <v>1176</v>
      </c>
      <c r="T2" s="362">
        <v>15.0</v>
      </c>
      <c r="U2" s="363">
        <v>0.0456</v>
      </c>
    </row>
    <row r="3" ht="22.5" hidden="1" customHeight="1">
      <c r="A3" s="5" t="s">
        <v>11</v>
      </c>
      <c r="B3" s="5" t="s">
        <v>13</v>
      </c>
      <c r="C3" s="351">
        <v>5450.0</v>
      </c>
      <c r="D3" s="352">
        <v>6.0</v>
      </c>
      <c r="E3" s="364">
        <v>0.0011</v>
      </c>
      <c r="F3" s="354" t="s">
        <v>1178</v>
      </c>
      <c r="G3" s="365">
        <v>133.0</v>
      </c>
      <c r="H3" s="366">
        <v>0.0248</v>
      </c>
      <c r="I3" s="357" t="s">
        <v>1180</v>
      </c>
      <c r="J3" s="367">
        <v>447.0</v>
      </c>
      <c r="K3" s="368">
        <v>0.0931</v>
      </c>
      <c r="L3" s="127">
        <f>100-2.41</f>
        <v>97.59</v>
      </c>
      <c r="O3" s="128" t="s">
        <v>1181</v>
      </c>
      <c r="P3" s="362">
        <v>18.0</v>
      </c>
      <c r="Q3" s="369">
        <v>0.0049</v>
      </c>
      <c r="R3" s="131"/>
      <c r="S3" s="128" t="s">
        <v>1182</v>
      </c>
      <c r="T3" s="362">
        <v>17.0</v>
      </c>
      <c r="U3" s="370">
        <v>0.0096</v>
      </c>
    </row>
    <row r="4" ht="22.5" hidden="1" customHeight="1">
      <c r="A4" s="5" t="s">
        <v>11</v>
      </c>
      <c r="B4" s="5" t="s">
        <v>27</v>
      </c>
      <c r="C4" s="351">
        <v>2789.0</v>
      </c>
      <c r="D4" s="371">
        <v>2.0</v>
      </c>
      <c r="E4" s="372">
        <v>7.0E-4</v>
      </c>
      <c r="F4" s="354" t="s">
        <v>915</v>
      </c>
      <c r="G4" s="373">
        <v>53.0</v>
      </c>
      <c r="H4" s="374">
        <v>0.0194</v>
      </c>
      <c r="I4" s="357" t="s">
        <v>1184</v>
      </c>
      <c r="J4" s="375">
        <v>320.0</v>
      </c>
      <c r="K4" s="376">
        <v>0.1332</v>
      </c>
      <c r="L4" s="13">
        <f>100-1.52</f>
        <v>98.48</v>
      </c>
      <c r="O4" s="128" t="s">
        <v>1182</v>
      </c>
      <c r="P4" s="362">
        <v>17.0</v>
      </c>
      <c r="Q4" s="377">
        <v>0.0096</v>
      </c>
      <c r="R4" s="131"/>
      <c r="S4" s="128" t="s">
        <v>1175</v>
      </c>
      <c r="T4" s="360">
        <v>29.0</v>
      </c>
      <c r="U4" s="370">
        <v>0.0081</v>
      </c>
    </row>
    <row r="5" ht="22.5" hidden="1" customHeight="1">
      <c r="A5" s="5" t="s">
        <v>11</v>
      </c>
      <c r="B5" s="378" t="s">
        <v>1186</v>
      </c>
      <c r="C5" s="351">
        <v>293.0</v>
      </c>
      <c r="D5" s="371">
        <v>2.0</v>
      </c>
      <c r="E5" s="379">
        <v>0.0068</v>
      </c>
      <c r="F5" s="354" t="s">
        <v>1187</v>
      </c>
      <c r="G5" s="380">
        <v>7.0</v>
      </c>
      <c r="H5" s="381">
        <v>0.0239</v>
      </c>
      <c r="I5" s="357" t="s">
        <v>1189</v>
      </c>
      <c r="J5" s="22">
        <v>17.0</v>
      </c>
      <c r="K5" s="382">
        <v>0.0661</v>
      </c>
      <c r="L5" s="13">
        <f>100-0.68</f>
        <v>99.32</v>
      </c>
      <c r="O5" s="128" t="s">
        <v>1176</v>
      </c>
      <c r="P5" s="362">
        <v>15.0</v>
      </c>
      <c r="Q5" s="363">
        <v>0.0456</v>
      </c>
      <c r="R5" s="131"/>
      <c r="S5" s="128" t="s">
        <v>1190</v>
      </c>
      <c r="T5" s="362">
        <v>10.0</v>
      </c>
      <c r="U5" s="370">
        <v>0.0081</v>
      </c>
    </row>
    <row r="6" ht="22.5" hidden="1" customHeight="1">
      <c r="A6" s="5" t="s">
        <v>11</v>
      </c>
      <c r="B6" s="5" t="s">
        <v>33</v>
      </c>
      <c r="C6" s="351">
        <v>3318.0</v>
      </c>
      <c r="D6" s="383">
        <v>9.0</v>
      </c>
      <c r="E6" s="384" t="s">
        <v>1193</v>
      </c>
      <c r="F6" s="354" t="s">
        <v>1195</v>
      </c>
      <c r="G6" s="358">
        <v>48.0</v>
      </c>
      <c r="H6" s="385">
        <v>0.0145</v>
      </c>
      <c r="I6" s="357" t="s">
        <v>1196</v>
      </c>
      <c r="J6" s="386">
        <v>511.0</v>
      </c>
      <c r="K6" s="387">
        <v>0.1851</v>
      </c>
      <c r="L6" s="127">
        <f>100-2.42</f>
        <v>97.58</v>
      </c>
      <c r="O6" s="128" t="s">
        <v>1197</v>
      </c>
      <c r="P6" s="362">
        <v>13.0</v>
      </c>
      <c r="Q6" s="369">
        <v>0.0077</v>
      </c>
      <c r="R6" s="131"/>
      <c r="S6" s="128" t="s">
        <v>1198</v>
      </c>
      <c r="T6" s="362">
        <v>6.0</v>
      </c>
      <c r="U6" s="370">
        <v>0.0081</v>
      </c>
    </row>
    <row r="7" ht="22.5" hidden="1" customHeight="1">
      <c r="A7" s="5" t="s">
        <v>11</v>
      </c>
      <c r="B7" s="5" t="s">
        <v>19</v>
      </c>
      <c r="C7" s="351">
        <v>4777.0</v>
      </c>
      <c r="D7" s="388">
        <v>8.0</v>
      </c>
      <c r="E7" s="389" t="s">
        <v>884</v>
      </c>
      <c r="F7" s="354" t="s">
        <v>1200</v>
      </c>
      <c r="G7" s="390">
        <v>70.0</v>
      </c>
      <c r="H7" s="391">
        <v>0.0147</v>
      </c>
      <c r="I7" s="357" t="s">
        <v>1202</v>
      </c>
      <c r="J7" s="392">
        <v>460.0</v>
      </c>
      <c r="K7" s="393">
        <v>0.106</v>
      </c>
      <c r="L7" s="127">
        <f>100-2.68</f>
        <v>97.32</v>
      </c>
    </row>
    <row r="8" ht="22.5" hidden="1" customHeight="1">
      <c r="A8" s="5" t="s">
        <v>11</v>
      </c>
      <c r="B8" s="5" t="s">
        <v>46</v>
      </c>
      <c r="C8" s="351">
        <v>314.0</v>
      </c>
      <c r="D8" s="394">
        <v>15.0</v>
      </c>
      <c r="E8" s="395" t="s">
        <v>1204</v>
      </c>
      <c r="F8" s="354" t="s">
        <v>1205</v>
      </c>
      <c r="G8" s="396">
        <v>4.0</v>
      </c>
      <c r="H8" s="397">
        <v>0.0127</v>
      </c>
      <c r="I8" s="357" t="s">
        <v>1206</v>
      </c>
      <c r="J8" s="398">
        <v>39.0</v>
      </c>
      <c r="K8" s="399">
        <v>0.1434</v>
      </c>
      <c r="L8" s="13">
        <f>100-26.09</f>
        <v>73.91</v>
      </c>
    </row>
    <row r="9" ht="22.5" hidden="1" customHeight="1">
      <c r="A9" s="5" t="s">
        <v>11</v>
      </c>
      <c r="B9" s="5" t="s">
        <v>50</v>
      </c>
      <c r="C9" s="351">
        <v>1675.0</v>
      </c>
      <c r="D9" s="400">
        <v>11.0</v>
      </c>
      <c r="E9" s="401" t="s">
        <v>1208</v>
      </c>
      <c r="F9" s="354" t="s">
        <v>1209</v>
      </c>
      <c r="G9" s="402">
        <v>50.0</v>
      </c>
      <c r="H9" s="403">
        <v>0.0299</v>
      </c>
      <c r="I9" s="357" t="s">
        <v>1212</v>
      </c>
      <c r="J9" s="404">
        <v>205.0</v>
      </c>
      <c r="K9" s="405">
        <v>0.1526</v>
      </c>
      <c r="L9" s="13">
        <f>100-5.82</f>
        <v>94.18</v>
      </c>
      <c r="O9" s="125" t="s">
        <v>550</v>
      </c>
      <c r="S9" s="125" t="s">
        <v>582</v>
      </c>
    </row>
    <row r="10" ht="22.5" hidden="1" customHeight="1">
      <c r="A10" s="5" t="s">
        <v>11</v>
      </c>
      <c r="B10" s="5" t="s">
        <v>58</v>
      </c>
      <c r="C10" s="351">
        <v>2334.0</v>
      </c>
      <c r="D10" s="351" t="s">
        <v>17</v>
      </c>
      <c r="E10" s="351" t="s">
        <v>17</v>
      </c>
      <c r="F10" s="354" t="s">
        <v>17</v>
      </c>
      <c r="G10" s="406">
        <v>90.0</v>
      </c>
      <c r="H10" s="407">
        <v>0.0386</v>
      </c>
      <c r="I10" s="357" t="s">
        <v>1214</v>
      </c>
      <c r="J10" s="358">
        <v>210.0</v>
      </c>
      <c r="K10" s="408">
        <v>0.0984</v>
      </c>
      <c r="L10" s="127">
        <f>100-1.3</f>
        <v>98.7</v>
      </c>
      <c r="O10" s="128" t="s">
        <v>1216</v>
      </c>
      <c r="P10" s="360">
        <v>133.0</v>
      </c>
      <c r="Q10" s="409">
        <v>0.0248</v>
      </c>
      <c r="R10" s="131"/>
      <c r="S10" s="128" t="s">
        <v>1190</v>
      </c>
      <c r="T10" s="362">
        <v>67.0</v>
      </c>
      <c r="U10" s="363">
        <v>0.0548</v>
      </c>
    </row>
    <row r="11" ht="22.5" hidden="1" customHeight="1">
      <c r="A11" s="5" t="s">
        <v>11</v>
      </c>
      <c r="B11" s="5" t="s">
        <v>64</v>
      </c>
      <c r="C11" s="351">
        <v>1624.0</v>
      </c>
      <c r="D11" s="351" t="s">
        <v>17</v>
      </c>
      <c r="E11" s="351" t="s">
        <v>17</v>
      </c>
      <c r="F11" s="354" t="s">
        <v>17</v>
      </c>
      <c r="G11" s="410">
        <v>17.0</v>
      </c>
      <c r="H11" s="364">
        <v>0.0105</v>
      </c>
      <c r="I11" s="357" t="s">
        <v>1218</v>
      </c>
      <c r="J11" s="411">
        <v>140.0</v>
      </c>
      <c r="K11" s="412">
        <v>0.0988</v>
      </c>
      <c r="L11" s="127">
        <f>100-1.12</f>
        <v>98.88</v>
      </c>
      <c r="O11" s="128" t="s">
        <v>1175</v>
      </c>
      <c r="P11" s="362">
        <v>97.0</v>
      </c>
      <c r="Q11" s="413">
        <v>0.0275</v>
      </c>
      <c r="R11" s="131"/>
      <c r="S11" s="128" t="s">
        <v>1220</v>
      </c>
      <c r="T11" s="360">
        <v>90.0</v>
      </c>
      <c r="U11" s="414">
        <v>0.0386</v>
      </c>
    </row>
    <row r="12" ht="22.5" hidden="1" customHeight="1">
      <c r="A12" s="5" t="s">
        <v>11</v>
      </c>
      <c r="B12" s="5" t="s">
        <v>71</v>
      </c>
      <c r="C12" s="351">
        <v>1958.0</v>
      </c>
      <c r="D12" s="352">
        <v>6.0</v>
      </c>
      <c r="E12" s="415" t="s">
        <v>869</v>
      </c>
      <c r="F12" s="354" t="s">
        <v>1222</v>
      </c>
      <c r="G12" s="416">
        <v>29.0</v>
      </c>
      <c r="H12" s="417">
        <v>0.0148</v>
      </c>
      <c r="I12" s="357" t="s">
        <v>1223</v>
      </c>
      <c r="J12" s="418">
        <v>190.0</v>
      </c>
      <c r="K12" s="419">
        <v>0.1154</v>
      </c>
      <c r="L12" s="127">
        <f>100-2.29</f>
        <v>97.71</v>
      </c>
      <c r="O12" s="128" t="s">
        <v>1220</v>
      </c>
      <c r="P12" s="362">
        <v>90.0</v>
      </c>
      <c r="Q12" s="363">
        <v>0.0386</v>
      </c>
      <c r="R12" s="131"/>
      <c r="S12" s="128" t="s">
        <v>1224</v>
      </c>
      <c r="T12" s="420">
        <v>55.0</v>
      </c>
      <c r="U12" s="414">
        <v>0.0336</v>
      </c>
    </row>
    <row r="13" ht="22.5" hidden="1" customHeight="1">
      <c r="A13" s="5" t="s">
        <v>11</v>
      </c>
      <c r="B13" s="5" t="s">
        <v>77</v>
      </c>
      <c r="C13" s="351">
        <v>1667.0</v>
      </c>
      <c r="D13" s="421">
        <v>13.0</v>
      </c>
      <c r="E13" s="422" t="s">
        <v>1227</v>
      </c>
      <c r="F13" s="354" t="s">
        <v>1228</v>
      </c>
      <c r="G13" s="423">
        <v>36.0</v>
      </c>
      <c r="H13" s="424">
        <v>0.0216</v>
      </c>
      <c r="I13" s="357" t="s">
        <v>1229</v>
      </c>
      <c r="J13" s="418">
        <v>190.0</v>
      </c>
      <c r="K13" s="425">
        <v>0.1271</v>
      </c>
      <c r="L13" s="127">
        <f>100-5.43</f>
        <v>94.57</v>
      </c>
      <c r="O13" s="128" t="s">
        <v>1231</v>
      </c>
      <c r="P13" s="362">
        <v>87.0</v>
      </c>
      <c r="Q13" s="426" t="s">
        <v>1232</v>
      </c>
      <c r="R13" s="131"/>
      <c r="S13" s="128" t="s">
        <v>1233</v>
      </c>
      <c r="T13" s="427">
        <v>52.0</v>
      </c>
      <c r="U13" s="428">
        <v>0.0366</v>
      </c>
    </row>
    <row r="14" ht="22.5" hidden="1" customHeight="1">
      <c r="A14" s="5" t="s">
        <v>11</v>
      </c>
      <c r="B14" s="5" t="s">
        <v>82</v>
      </c>
      <c r="C14" s="351">
        <v>1759.0</v>
      </c>
      <c r="D14" s="429">
        <v>17.0</v>
      </c>
      <c r="E14" s="430" t="s">
        <v>1234</v>
      </c>
      <c r="F14" s="354" t="s">
        <v>1235</v>
      </c>
      <c r="G14" s="431">
        <v>30.0</v>
      </c>
      <c r="H14" s="432">
        <v>0.0171</v>
      </c>
      <c r="I14" s="357" t="s">
        <v>1236</v>
      </c>
      <c r="J14" s="433">
        <v>149.0</v>
      </c>
      <c r="K14" s="434">
        <v>0.0941</v>
      </c>
      <c r="L14" s="127">
        <f>100-2.61</f>
        <v>97.39</v>
      </c>
      <c r="O14" s="128" t="s">
        <v>1181</v>
      </c>
      <c r="P14" s="362">
        <v>81.0</v>
      </c>
      <c r="Q14" s="435">
        <v>0.0221</v>
      </c>
      <c r="R14" s="131"/>
      <c r="S14" s="128" t="s">
        <v>1238</v>
      </c>
      <c r="T14" s="427">
        <v>52.0</v>
      </c>
      <c r="U14" s="428">
        <v>0.0306</v>
      </c>
    </row>
    <row r="15" ht="22.5" hidden="1" customHeight="1">
      <c r="A15" s="5" t="s">
        <v>11</v>
      </c>
      <c r="B15" s="5" t="s">
        <v>90</v>
      </c>
      <c r="C15" s="351">
        <v>1860.0</v>
      </c>
      <c r="D15" s="437">
        <v>4.0</v>
      </c>
      <c r="E15" s="438" t="s">
        <v>1241</v>
      </c>
      <c r="F15" s="354" t="s">
        <v>1242</v>
      </c>
      <c r="G15" s="439">
        <v>40.0</v>
      </c>
      <c r="H15" s="424">
        <v>0.0215</v>
      </c>
      <c r="I15" s="357" t="s">
        <v>1243</v>
      </c>
      <c r="J15" s="440">
        <v>107.0</v>
      </c>
      <c r="K15" s="442">
        <v>0.0634</v>
      </c>
      <c r="L15" s="127">
        <f>100-0.99</f>
        <v>99.01</v>
      </c>
      <c r="S15" s="103"/>
      <c r="T15" s="443"/>
      <c r="U15" s="443"/>
    </row>
    <row r="16" ht="22.5" hidden="1" customHeight="1">
      <c r="A16" s="5" t="s">
        <v>11</v>
      </c>
      <c r="B16" s="5" t="s">
        <v>94</v>
      </c>
      <c r="C16" s="351">
        <v>1656.0</v>
      </c>
      <c r="D16" s="22">
        <v>1.0</v>
      </c>
      <c r="E16" s="444" t="s">
        <v>1247</v>
      </c>
      <c r="F16" s="354" t="s">
        <v>1249</v>
      </c>
      <c r="G16" s="411">
        <v>31.0</v>
      </c>
      <c r="H16" s="445">
        <v>0.0187</v>
      </c>
      <c r="I16" s="357" t="s">
        <v>1252</v>
      </c>
      <c r="J16" s="446">
        <v>186.0</v>
      </c>
      <c r="K16" s="447">
        <v>0.1377</v>
      </c>
      <c r="L16" s="127">
        <f>100-1.87</f>
        <v>98.13</v>
      </c>
    </row>
    <row r="17" ht="22.5" hidden="1" customHeight="1">
      <c r="A17" s="5" t="s">
        <v>11</v>
      </c>
      <c r="B17" s="5" t="s">
        <v>39</v>
      </c>
      <c r="C17" s="448">
        <v>3531.0</v>
      </c>
      <c r="D17" s="449">
        <v>29.0</v>
      </c>
      <c r="E17" s="450" t="s">
        <v>1255</v>
      </c>
      <c r="F17" s="451" t="s">
        <v>1256</v>
      </c>
      <c r="G17" s="452">
        <v>97.0</v>
      </c>
      <c r="H17" s="453">
        <v>0.0275</v>
      </c>
      <c r="I17" s="357" t="s">
        <v>1257</v>
      </c>
      <c r="J17" s="454">
        <v>482.0</v>
      </c>
      <c r="K17" s="455">
        <v>0.1565</v>
      </c>
      <c r="L17" s="13">
        <f>100-5.02</f>
        <v>94.98</v>
      </c>
    </row>
    <row r="18" ht="22.5" hidden="1" customHeight="1">
      <c r="A18" s="5" t="s">
        <v>11</v>
      </c>
      <c r="B18" s="5" t="s">
        <v>104</v>
      </c>
      <c r="C18" s="265">
        <v>739.0</v>
      </c>
      <c r="D18" s="456">
        <v>6.0</v>
      </c>
      <c r="E18" s="457" t="s">
        <v>1255</v>
      </c>
      <c r="F18" s="458" t="s">
        <v>1265</v>
      </c>
      <c r="G18" s="6">
        <v>1.0</v>
      </c>
      <c r="H18" s="7">
        <v>0.0014</v>
      </c>
      <c r="I18" s="459" t="s">
        <v>1269</v>
      </c>
      <c r="J18" s="460"/>
      <c r="K18" s="461"/>
      <c r="L18" s="13">
        <f>100-2.01</f>
        <v>97.99</v>
      </c>
      <c r="O18" s="125" t="s">
        <v>627</v>
      </c>
      <c r="R18" s="131"/>
      <c r="S18" s="125" t="s">
        <v>676</v>
      </c>
    </row>
    <row r="19" ht="22.5" hidden="1" customHeight="1">
      <c r="A19" s="5" t="s">
        <v>11</v>
      </c>
      <c r="B19" s="5" t="s">
        <v>59</v>
      </c>
      <c r="C19" s="351">
        <v>2770.0</v>
      </c>
      <c r="D19" s="437">
        <v>4.0</v>
      </c>
      <c r="E19" s="462" t="s">
        <v>1272</v>
      </c>
      <c r="F19" s="354" t="s">
        <v>674</v>
      </c>
      <c r="G19" s="463">
        <v>60.0</v>
      </c>
      <c r="H19" s="464">
        <v>0.0217</v>
      </c>
      <c r="I19" s="357" t="s">
        <v>1273</v>
      </c>
      <c r="J19" s="465">
        <v>288.0</v>
      </c>
      <c r="K19" s="466">
        <v>0.1171</v>
      </c>
      <c r="L19" s="13">
        <f>100-3.52</f>
        <v>96.48</v>
      </c>
      <c r="O19" s="128" t="s">
        <v>1231</v>
      </c>
      <c r="P19" s="360">
        <v>580.0</v>
      </c>
      <c r="Q19" s="467">
        <v>0.1636</v>
      </c>
      <c r="R19" s="131"/>
      <c r="S19" s="128" t="s">
        <v>1224</v>
      </c>
      <c r="T19" s="468">
        <v>271.0</v>
      </c>
      <c r="U19" s="469">
        <v>0.2055</v>
      </c>
    </row>
    <row r="20" ht="22.5" hidden="1" customHeight="1">
      <c r="A20" s="5" t="s">
        <v>11</v>
      </c>
      <c r="B20" s="5" t="s">
        <v>114</v>
      </c>
      <c r="C20" s="351">
        <v>1639.0</v>
      </c>
      <c r="D20" s="437">
        <v>4.0</v>
      </c>
      <c r="E20" s="470" t="s">
        <v>1276</v>
      </c>
      <c r="F20" s="354" t="s">
        <v>681</v>
      </c>
      <c r="G20" s="471">
        <v>55.0</v>
      </c>
      <c r="H20" s="472">
        <v>0.0336</v>
      </c>
      <c r="I20" s="357" t="s">
        <v>1279</v>
      </c>
      <c r="J20" s="473">
        <v>271.0</v>
      </c>
      <c r="K20" s="474">
        <v>0.2055</v>
      </c>
      <c r="L20" s="127">
        <f>100-2.25</f>
        <v>97.75</v>
      </c>
      <c r="O20" s="128" t="s">
        <v>1282</v>
      </c>
      <c r="P20" s="475">
        <v>511.0</v>
      </c>
      <c r="Q20" s="476">
        <v>0.1861</v>
      </c>
      <c r="R20" s="131"/>
      <c r="S20" s="128" t="s">
        <v>1282</v>
      </c>
      <c r="T20" s="477">
        <v>511.0</v>
      </c>
      <c r="U20" s="478">
        <v>0.1861</v>
      </c>
    </row>
    <row r="21" ht="22.5" hidden="1" customHeight="1">
      <c r="A21" s="5" t="s">
        <v>11</v>
      </c>
      <c r="B21" s="5" t="s">
        <v>119</v>
      </c>
      <c r="C21" s="351">
        <v>1281.0</v>
      </c>
      <c r="D21" s="479">
        <v>7.0</v>
      </c>
      <c r="E21" s="480" t="s">
        <v>1287</v>
      </c>
      <c r="F21" s="354" t="s">
        <v>1288</v>
      </c>
      <c r="G21" s="481">
        <v>24.0</v>
      </c>
      <c r="H21" s="482">
        <v>0.0187</v>
      </c>
      <c r="I21" s="357" t="s">
        <v>1289</v>
      </c>
      <c r="J21" s="416">
        <v>132.0</v>
      </c>
      <c r="K21" s="484">
        <v>0.113</v>
      </c>
      <c r="L21" s="127">
        <f>100-6.57</f>
        <v>93.43</v>
      </c>
      <c r="O21" s="128" t="s">
        <v>1175</v>
      </c>
      <c r="P21" s="485">
        <v>482.0</v>
      </c>
      <c r="Q21" s="467">
        <v>0.1565</v>
      </c>
      <c r="R21" s="131"/>
      <c r="S21" s="128" t="s">
        <v>1291</v>
      </c>
      <c r="T21" s="362">
        <v>280.0</v>
      </c>
      <c r="U21" s="486">
        <v>0.1731</v>
      </c>
    </row>
    <row r="22" ht="22.5" hidden="1" customHeight="1">
      <c r="A22" s="5" t="s">
        <v>11</v>
      </c>
      <c r="B22" s="5" t="s">
        <v>126</v>
      </c>
      <c r="C22" s="351">
        <v>1119.0</v>
      </c>
      <c r="D22" s="437">
        <v>4.0</v>
      </c>
      <c r="E22" s="487" t="s">
        <v>1295</v>
      </c>
      <c r="F22" s="354" t="s">
        <v>1296</v>
      </c>
      <c r="G22" s="488">
        <v>26.0</v>
      </c>
      <c r="H22" s="489">
        <v>0.0232</v>
      </c>
      <c r="I22" s="357" t="s">
        <v>1297</v>
      </c>
      <c r="J22" s="490">
        <v>110.0</v>
      </c>
      <c r="K22" s="491">
        <v>0.1104</v>
      </c>
      <c r="L22" s="127">
        <f>100-6.2</f>
        <v>93.8</v>
      </c>
      <c r="O22" s="128" t="s">
        <v>1302</v>
      </c>
      <c r="P22" s="477">
        <v>460.0</v>
      </c>
      <c r="Q22" s="467">
        <v>0.106</v>
      </c>
      <c r="R22" s="131"/>
      <c r="S22" s="128" t="s">
        <v>1231</v>
      </c>
      <c r="T22" s="360">
        <v>580.0</v>
      </c>
      <c r="U22" s="467">
        <v>0.1636</v>
      </c>
    </row>
    <row r="23" ht="22.5" hidden="1" customHeight="1">
      <c r="A23" s="5" t="s">
        <v>11</v>
      </c>
      <c r="B23" s="5" t="s">
        <v>136</v>
      </c>
      <c r="C23" s="351">
        <v>1919.0</v>
      </c>
      <c r="D23" s="492">
        <v>5.0</v>
      </c>
      <c r="E23" s="493" t="s">
        <v>1306</v>
      </c>
      <c r="F23" s="354" t="s">
        <v>1307</v>
      </c>
      <c r="G23" s="494">
        <v>19.0</v>
      </c>
      <c r="H23" s="23">
        <v>0.0099</v>
      </c>
      <c r="I23" s="357" t="s">
        <v>1308</v>
      </c>
      <c r="J23" s="495">
        <v>280.0</v>
      </c>
      <c r="K23" s="496">
        <v>0.1731</v>
      </c>
      <c r="L23" s="127">
        <f>100-2.34</f>
        <v>97.66</v>
      </c>
      <c r="O23" s="128" t="s">
        <v>1216</v>
      </c>
      <c r="P23" s="477">
        <v>447.0</v>
      </c>
      <c r="Q23" s="467">
        <v>0.0931</v>
      </c>
      <c r="R23" s="497"/>
      <c r="S23" s="128" t="s">
        <v>1175</v>
      </c>
      <c r="T23" s="485">
        <v>482.0</v>
      </c>
      <c r="U23" s="467">
        <v>0.1565</v>
      </c>
    </row>
    <row r="24" ht="22.5" hidden="1" customHeight="1">
      <c r="A24" s="5" t="s">
        <v>11</v>
      </c>
      <c r="B24" s="5" t="s">
        <v>72</v>
      </c>
      <c r="C24" s="351">
        <v>2181.0</v>
      </c>
      <c r="D24" s="22">
        <v>1.0</v>
      </c>
      <c r="E24" s="444" t="s">
        <v>1312</v>
      </c>
      <c r="F24" s="354" t="s">
        <v>944</v>
      </c>
      <c r="G24" s="498">
        <v>37.0</v>
      </c>
      <c r="H24" s="499">
        <v>0.017</v>
      </c>
      <c r="I24" s="357" t="s">
        <v>1315</v>
      </c>
      <c r="J24" s="416">
        <v>130.0</v>
      </c>
      <c r="K24" s="500">
        <v>0.0682</v>
      </c>
      <c r="L24" s="13">
        <f>100-0.56</f>
        <v>99.44</v>
      </c>
      <c r="N24" s="124"/>
    </row>
    <row r="25" ht="22.5" hidden="1" customHeight="1">
      <c r="A25" s="5" t="s">
        <v>11</v>
      </c>
      <c r="B25" s="5" t="s">
        <v>145</v>
      </c>
      <c r="C25" s="351">
        <v>1223.0</v>
      </c>
      <c r="D25" s="501">
        <v>10.0</v>
      </c>
      <c r="E25" s="502" t="s">
        <v>1255</v>
      </c>
      <c r="F25" s="354" t="s">
        <v>1320</v>
      </c>
      <c r="G25" s="394">
        <v>67.0</v>
      </c>
      <c r="H25" s="474">
        <v>0.0548</v>
      </c>
      <c r="I25" s="357" t="s">
        <v>1323</v>
      </c>
      <c r="J25" s="416">
        <v>131.0</v>
      </c>
      <c r="K25" s="503">
        <v>0.126</v>
      </c>
      <c r="L25" s="127">
        <f>100-2.93</f>
        <v>97.07</v>
      </c>
      <c r="N25" s="124"/>
    </row>
    <row r="26" ht="22.5" hidden="1" customHeight="1">
      <c r="A26" s="5" t="s">
        <v>11</v>
      </c>
      <c r="B26" s="5" t="s">
        <v>85</v>
      </c>
      <c r="C26" s="351">
        <v>1885.0</v>
      </c>
      <c r="D26" s="371">
        <v>2.0</v>
      </c>
      <c r="E26" s="504" t="s">
        <v>1325</v>
      </c>
      <c r="F26" s="354" t="s">
        <v>705</v>
      </c>
      <c r="G26" s="388">
        <v>34.0</v>
      </c>
      <c r="H26" s="505">
        <v>0.018</v>
      </c>
      <c r="I26" s="357" t="s">
        <v>1327</v>
      </c>
      <c r="J26" s="506">
        <v>198.0</v>
      </c>
      <c r="K26" s="507">
        <v>0.1164</v>
      </c>
      <c r="L26" s="127">
        <f>100-3.42</f>
        <v>96.58</v>
      </c>
      <c r="N26" s="176" t="s">
        <v>713</v>
      </c>
      <c r="O26" s="177" t="s">
        <v>3</v>
      </c>
      <c r="P26" s="178" t="s">
        <v>3</v>
      </c>
      <c r="Q26" s="178" t="s">
        <v>4</v>
      </c>
      <c r="S26" s="177" t="s">
        <v>769</v>
      </c>
      <c r="T26" s="177"/>
      <c r="U26" s="177"/>
    </row>
    <row r="27" ht="22.5" hidden="1" customHeight="1">
      <c r="A27" s="5" t="s">
        <v>11</v>
      </c>
      <c r="B27" s="35" t="s">
        <v>79</v>
      </c>
      <c r="C27" s="351">
        <v>2196.0</v>
      </c>
      <c r="D27" s="371">
        <v>2.0</v>
      </c>
      <c r="E27" s="508" t="s">
        <v>1331</v>
      </c>
      <c r="F27" s="354" t="s">
        <v>1333</v>
      </c>
      <c r="G27" s="509">
        <v>52.0</v>
      </c>
      <c r="H27" s="408">
        <v>0.0241</v>
      </c>
      <c r="I27" s="357" t="s">
        <v>1336</v>
      </c>
      <c r="J27" s="498">
        <v>167.0</v>
      </c>
      <c r="K27" s="510">
        <v>0.0832</v>
      </c>
      <c r="L27" s="127">
        <f>100-1.27</f>
        <v>98.73</v>
      </c>
      <c r="O27" s="128" t="s">
        <v>1181</v>
      </c>
      <c r="P27" s="360" t="s">
        <v>1337</v>
      </c>
      <c r="Q27" s="467">
        <v>0.0032</v>
      </c>
      <c r="S27" s="128" t="s">
        <v>1338</v>
      </c>
      <c r="T27" s="477">
        <v>3.0</v>
      </c>
      <c r="U27" s="363">
        <v>0.0147</v>
      </c>
    </row>
    <row r="28" ht="22.5" hidden="1" customHeight="1">
      <c r="A28" s="5" t="s">
        <v>11</v>
      </c>
      <c r="B28" s="5" t="s">
        <v>109</v>
      </c>
      <c r="C28" s="351">
        <v>2080.0</v>
      </c>
      <c r="D28" s="479">
        <v>7.0</v>
      </c>
      <c r="E28" s="512" t="s">
        <v>907</v>
      </c>
      <c r="F28" s="354" t="s">
        <v>1339</v>
      </c>
      <c r="G28" s="513">
        <v>33.0</v>
      </c>
      <c r="H28" s="514">
        <v>0.0159</v>
      </c>
      <c r="I28" s="357" t="s">
        <v>1340</v>
      </c>
      <c r="J28" s="494">
        <v>90.0</v>
      </c>
      <c r="K28" s="23">
        <v>0.0486</v>
      </c>
      <c r="L28" s="127">
        <f>100-4.45</f>
        <v>95.55</v>
      </c>
      <c r="O28" s="128" t="s">
        <v>1231</v>
      </c>
      <c r="P28" s="477">
        <v>5.0</v>
      </c>
      <c r="Q28" s="467">
        <v>0.004</v>
      </c>
      <c r="S28" s="128" t="s">
        <v>1341</v>
      </c>
      <c r="T28" s="468" t="s">
        <v>733</v>
      </c>
      <c r="U28" s="467">
        <v>0.0116</v>
      </c>
    </row>
    <row r="29" ht="22.5" hidden="1" customHeight="1">
      <c r="A29" s="5" t="s">
        <v>11</v>
      </c>
      <c r="B29" s="5" t="s">
        <v>49</v>
      </c>
      <c r="C29" s="351">
        <v>2987.0</v>
      </c>
      <c r="D29" s="383">
        <v>9.0</v>
      </c>
      <c r="E29" s="415" t="s">
        <v>1342</v>
      </c>
      <c r="F29" s="354" t="s">
        <v>1343</v>
      </c>
      <c r="G29" s="495">
        <v>65.0</v>
      </c>
      <c r="H29" s="515">
        <v>0.0221</v>
      </c>
      <c r="I29" s="357" t="s">
        <v>1344</v>
      </c>
      <c r="J29" s="516">
        <v>269.0</v>
      </c>
      <c r="K29" s="517">
        <v>0.1</v>
      </c>
      <c r="L29" s="13">
        <f>100-1.81</f>
        <v>98.19</v>
      </c>
      <c r="O29" s="128" t="s">
        <v>1282</v>
      </c>
      <c r="P29" s="477">
        <v>4.0</v>
      </c>
      <c r="Q29" s="467">
        <v>0.003</v>
      </c>
      <c r="S29" s="128" t="s">
        <v>1175</v>
      </c>
      <c r="T29" s="468">
        <v>1.0</v>
      </c>
      <c r="U29" s="467">
        <v>0.0058</v>
      </c>
    </row>
    <row r="30" ht="22.5" hidden="1" customHeight="1">
      <c r="A30" s="5" t="s">
        <v>11</v>
      </c>
      <c r="B30" s="5" t="s">
        <v>115</v>
      </c>
      <c r="C30" s="351">
        <v>1942.0</v>
      </c>
      <c r="D30" s="371">
        <v>2.0</v>
      </c>
      <c r="E30" s="504" t="s">
        <v>1345</v>
      </c>
      <c r="F30" s="354" t="s">
        <v>1346</v>
      </c>
      <c r="G30" s="388">
        <v>34.0</v>
      </c>
      <c r="H30" s="518">
        <v>0.0175</v>
      </c>
      <c r="I30" s="357" t="s">
        <v>1347</v>
      </c>
      <c r="J30" s="519">
        <v>188.0</v>
      </c>
      <c r="K30" s="520">
        <v>0.1121</v>
      </c>
      <c r="L30" s="127">
        <f>100-2.89</f>
        <v>97.11</v>
      </c>
      <c r="O30" s="128" t="s">
        <v>1338</v>
      </c>
      <c r="P30" s="477">
        <v>3.0</v>
      </c>
      <c r="Q30" s="363">
        <v>0.0147</v>
      </c>
      <c r="S30" s="128" t="s">
        <v>1348</v>
      </c>
      <c r="T30" s="468">
        <v>2.0</v>
      </c>
      <c r="U30" s="467">
        <v>0.0049</v>
      </c>
    </row>
    <row r="31" ht="22.5" hidden="1" customHeight="1">
      <c r="A31" s="5" t="s">
        <v>11</v>
      </c>
      <c r="B31" s="5" t="s">
        <v>45</v>
      </c>
      <c r="C31" s="351">
        <v>3102.0</v>
      </c>
      <c r="D31" s="437">
        <v>4.0</v>
      </c>
      <c r="E31" s="522" t="s">
        <v>1349</v>
      </c>
      <c r="F31" s="354" t="s">
        <v>1350</v>
      </c>
      <c r="G31" s="506">
        <v>45.0</v>
      </c>
      <c r="H31" s="385">
        <v>0.0145</v>
      </c>
      <c r="I31" s="357" t="s">
        <v>1351</v>
      </c>
      <c r="J31" s="421">
        <v>250.0</v>
      </c>
      <c r="K31" s="464">
        <v>0.0896</v>
      </c>
      <c r="L31" s="13">
        <f>100-1.04</f>
        <v>98.96</v>
      </c>
      <c r="O31" s="128" t="s">
        <v>1352</v>
      </c>
      <c r="P31" s="477">
        <v>3.0</v>
      </c>
      <c r="Q31" s="523" t="s">
        <v>1353</v>
      </c>
      <c r="S31" s="128" t="s">
        <v>1224</v>
      </c>
      <c r="T31" s="468">
        <v>2.0</v>
      </c>
      <c r="U31" s="467">
        <v>0.0034</v>
      </c>
    </row>
    <row r="32" ht="22.5" hidden="1" customHeight="1">
      <c r="A32" s="5" t="s">
        <v>11</v>
      </c>
      <c r="B32" s="5" t="s">
        <v>170</v>
      </c>
      <c r="C32" s="351">
        <v>1290.0</v>
      </c>
      <c r="D32" s="351" t="s">
        <v>17</v>
      </c>
      <c r="E32" s="351" t="s">
        <v>17</v>
      </c>
      <c r="F32" s="354" t="s">
        <v>17</v>
      </c>
      <c r="G32" s="431">
        <v>30.0</v>
      </c>
      <c r="H32" s="489">
        <v>0.0233</v>
      </c>
      <c r="I32" s="357" t="s">
        <v>1354</v>
      </c>
      <c r="J32" s="513">
        <v>147.0</v>
      </c>
      <c r="K32" s="524">
        <v>0.1284</v>
      </c>
      <c r="L32" s="127">
        <f>100-8.43</f>
        <v>91.57</v>
      </c>
      <c r="O32" s="526"/>
      <c r="P32" s="526"/>
      <c r="Q32" s="526"/>
    </row>
    <row r="33" ht="22.5" hidden="1" customHeight="1">
      <c r="A33" s="5" t="s">
        <v>11</v>
      </c>
      <c r="B33" s="5" t="s">
        <v>123</v>
      </c>
      <c r="C33" s="351">
        <v>1905.0</v>
      </c>
      <c r="D33" s="527">
        <v>3.0</v>
      </c>
      <c r="E33" s="462" t="s">
        <v>1355</v>
      </c>
      <c r="F33" s="354" t="s">
        <v>1356</v>
      </c>
      <c r="G33" s="373">
        <v>53.0</v>
      </c>
      <c r="H33" s="528">
        <v>0.0278</v>
      </c>
      <c r="I33" s="357" t="s">
        <v>1357</v>
      </c>
      <c r="J33" s="529">
        <v>182.0</v>
      </c>
      <c r="K33" s="530">
        <v>0.1126</v>
      </c>
      <c r="L33" s="127">
        <f>100-3.02</f>
        <v>96.98</v>
      </c>
      <c r="O33" s="177" t="s">
        <v>5</v>
      </c>
      <c r="P33" s="177"/>
      <c r="Q33" s="177"/>
      <c r="S33" s="177" t="s">
        <v>857</v>
      </c>
      <c r="T33" s="177"/>
      <c r="U33" s="177"/>
    </row>
    <row r="34" ht="22.5" hidden="1" customHeight="1">
      <c r="A34" s="5" t="s">
        <v>11</v>
      </c>
      <c r="B34" s="5" t="s">
        <v>96</v>
      </c>
      <c r="C34" s="351">
        <v>1689.0</v>
      </c>
      <c r="D34" s="527">
        <v>3.0</v>
      </c>
      <c r="E34" s="389" t="s">
        <v>1358</v>
      </c>
      <c r="F34" s="354" t="s">
        <v>1359</v>
      </c>
      <c r="G34" s="411">
        <v>31.0</v>
      </c>
      <c r="H34" s="531">
        <v>0.0184</v>
      </c>
      <c r="I34" s="357" t="s">
        <v>1360</v>
      </c>
      <c r="J34" s="431">
        <v>137.0</v>
      </c>
      <c r="K34" s="532">
        <v>0.0924</v>
      </c>
      <c r="L34" s="127">
        <f>100-2.14</f>
        <v>97.86</v>
      </c>
      <c r="O34" s="128" t="s">
        <v>1216</v>
      </c>
      <c r="P34" s="360">
        <v>129.0</v>
      </c>
      <c r="Q34" s="467">
        <v>0.0523</v>
      </c>
      <c r="S34" s="128" t="s">
        <v>1361</v>
      </c>
      <c r="T34" s="477">
        <v>7.0</v>
      </c>
      <c r="U34" s="363">
        <v>0.175</v>
      </c>
    </row>
    <row r="35" ht="22.5" hidden="1" customHeight="1">
      <c r="A35" s="5" t="s">
        <v>11</v>
      </c>
      <c r="B35" s="5" t="s">
        <v>156</v>
      </c>
      <c r="C35" s="351">
        <v>1734.0</v>
      </c>
      <c r="D35" s="383">
        <v>9.0</v>
      </c>
      <c r="E35" s="391">
        <v>0.0052</v>
      </c>
      <c r="F35" s="354" t="s">
        <v>1362</v>
      </c>
      <c r="G35" s="509">
        <v>52.0</v>
      </c>
      <c r="H35" s="533">
        <v>0.0306</v>
      </c>
      <c r="I35" s="357" t="s">
        <v>1363</v>
      </c>
      <c r="J35" s="534">
        <v>109.0</v>
      </c>
      <c r="K35" s="379">
        <v>0.071</v>
      </c>
      <c r="L35" s="127">
        <f>100-3.36</f>
        <v>96.64</v>
      </c>
      <c r="O35" s="128" t="s">
        <v>1181</v>
      </c>
      <c r="P35" s="477">
        <v>89.0</v>
      </c>
      <c r="Q35" s="467">
        <v>0.0376</v>
      </c>
      <c r="S35" s="213" t="s">
        <v>1220</v>
      </c>
      <c r="T35" s="477">
        <v>56.0</v>
      </c>
      <c r="U35" s="467">
        <v>0.0606</v>
      </c>
    </row>
    <row r="36" ht="22.5" hidden="1" customHeight="1">
      <c r="A36" s="5" t="s">
        <v>11</v>
      </c>
      <c r="B36" s="5" t="s">
        <v>153</v>
      </c>
      <c r="C36" s="351">
        <v>1419.0</v>
      </c>
      <c r="D36" s="492">
        <v>5.0</v>
      </c>
      <c r="E36" s="535">
        <v>0.0035</v>
      </c>
      <c r="F36" s="354" t="s">
        <v>1364</v>
      </c>
      <c r="G36" s="509">
        <v>52.0</v>
      </c>
      <c r="H36" s="536">
        <v>0.0366</v>
      </c>
      <c r="I36" s="357" t="s">
        <v>1365</v>
      </c>
      <c r="J36" s="537">
        <v>84.0</v>
      </c>
      <c r="K36" s="385">
        <v>0.0647</v>
      </c>
      <c r="L36" s="13">
        <f>100-0.97</f>
        <v>99.03</v>
      </c>
      <c r="O36" s="128" t="s">
        <v>1302</v>
      </c>
      <c r="P36" s="477">
        <v>61.0</v>
      </c>
      <c r="Q36" s="467">
        <v>0.0345</v>
      </c>
      <c r="S36" s="128" t="s">
        <v>1302</v>
      </c>
      <c r="T36" s="360">
        <v>61.0</v>
      </c>
      <c r="U36" s="467">
        <v>0.0345</v>
      </c>
    </row>
    <row r="37" ht="22.5" hidden="1" customHeight="1">
      <c r="A37" s="5" t="s">
        <v>11</v>
      </c>
      <c r="B37" s="5" t="s">
        <v>159</v>
      </c>
      <c r="C37" s="351">
        <v>1377.0</v>
      </c>
      <c r="D37" s="371">
        <v>2.0</v>
      </c>
      <c r="E37" s="538">
        <v>0.0015</v>
      </c>
      <c r="F37" s="354" t="s">
        <v>763</v>
      </c>
      <c r="G37" s="488">
        <v>26.0</v>
      </c>
      <c r="H37" s="539">
        <v>0.0189</v>
      </c>
      <c r="I37" s="357" t="s">
        <v>1366</v>
      </c>
      <c r="J37" s="494">
        <v>91.0</v>
      </c>
      <c r="K37" s="505">
        <v>0.0771</v>
      </c>
      <c r="L37" s="127">
        <f>100-2.6</f>
        <v>97.4</v>
      </c>
      <c r="O37" s="128" t="s">
        <v>1231</v>
      </c>
      <c r="P37" s="477">
        <v>58.0</v>
      </c>
      <c r="Q37" s="467">
        <v>0.0473</v>
      </c>
      <c r="S37" s="128" t="s">
        <v>1231</v>
      </c>
      <c r="T37" s="477">
        <v>58.0</v>
      </c>
      <c r="U37" s="467">
        <v>0.0473</v>
      </c>
    </row>
    <row r="38" ht="22.5" hidden="1" customHeight="1">
      <c r="A38" s="5" t="s">
        <v>11</v>
      </c>
      <c r="B38" s="5" t="s">
        <v>26</v>
      </c>
      <c r="C38" s="351">
        <v>3668.0</v>
      </c>
      <c r="D38" s="540">
        <v>18.0</v>
      </c>
      <c r="E38" s="541">
        <v>0.0049</v>
      </c>
      <c r="F38" s="354" t="s">
        <v>1367</v>
      </c>
      <c r="G38" s="542">
        <v>81.0</v>
      </c>
      <c r="H38" s="515">
        <v>0.0221</v>
      </c>
      <c r="I38" s="357" t="s">
        <v>1368</v>
      </c>
      <c r="J38" s="543">
        <v>308.0</v>
      </c>
      <c r="K38" s="434">
        <v>0.0939</v>
      </c>
      <c r="L38" s="127">
        <f>100-2.87</f>
        <v>97.13</v>
      </c>
      <c r="O38" s="128" t="s">
        <v>1220</v>
      </c>
      <c r="P38" s="477">
        <v>56.0</v>
      </c>
      <c r="Q38" s="363">
        <v>0.0606</v>
      </c>
      <c r="S38" s="128" t="s">
        <v>1369</v>
      </c>
      <c r="T38" s="477">
        <v>41.0</v>
      </c>
      <c r="U38" s="467">
        <v>0.0528</v>
      </c>
    </row>
    <row r="39" ht="22.5" hidden="1" customHeight="1">
      <c r="A39" s="5" t="s">
        <v>11</v>
      </c>
      <c r="B39" s="5" t="s">
        <v>23</v>
      </c>
      <c r="C39" s="351">
        <v>3866.0</v>
      </c>
      <c r="D39" s="352">
        <v>6.0</v>
      </c>
      <c r="E39" s="538">
        <v>0.0015</v>
      </c>
      <c r="F39" s="354" t="s">
        <v>1370</v>
      </c>
      <c r="G39" s="544">
        <v>87.0</v>
      </c>
      <c r="H39" s="532">
        <v>0.0225</v>
      </c>
      <c r="I39" s="357" t="s">
        <v>1371</v>
      </c>
      <c r="J39" s="365">
        <v>560.0</v>
      </c>
      <c r="K39" s="545">
        <v>0.1636</v>
      </c>
      <c r="L39" s="127">
        <f>100-2.09</f>
        <v>97.91</v>
      </c>
      <c r="T39" s="170"/>
      <c r="U39" s="170"/>
    </row>
    <row r="40" ht="22.5" hidden="1" customHeight="1">
      <c r="A40" s="5" t="s">
        <v>11</v>
      </c>
      <c r="B40" s="5" t="s">
        <v>63</v>
      </c>
      <c r="C40" s="340">
        <v>2700.0</v>
      </c>
      <c r="D40" s="551">
        <v>4.0</v>
      </c>
      <c r="E40" s="552">
        <v>0.0015</v>
      </c>
      <c r="F40" s="553" t="s">
        <v>1372</v>
      </c>
      <c r="G40" s="554">
        <v>42.0</v>
      </c>
      <c r="H40" s="555">
        <v>0.0156</v>
      </c>
      <c r="I40" s="556" t="s">
        <v>1373</v>
      </c>
      <c r="J40" s="557">
        <v>183.0</v>
      </c>
      <c r="K40" s="558">
        <v>0.0752</v>
      </c>
      <c r="L40" s="13">
        <f>100-0.22</f>
        <v>99.78</v>
      </c>
      <c r="O40" s="177" t="s">
        <v>899</v>
      </c>
      <c r="P40" s="177"/>
      <c r="Q40" s="177"/>
      <c r="S40" s="177" t="s">
        <v>899</v>
      </c>
      <c r="T40" s="177"/>
      <c r="U40" s="559"/>
    </row>
    <row r="41" ht="22.5" customHeight="1">
      <c r="A41" s="5" t="s">
        <v>185</v>
      </c>
      <c r="B41" s="5" t="s">
        <v>15</v>
      </c>
      <c r="C41" s="31">
        <v>167.0</v>
      </c>
      <c r="D41" s="560">
        <v>2.0</v>
      </c>
      <c r="E41" s="561" t="s">
        <v>393</v>
      </c>
      <c r="F41" s="55">
        <v>0.0</v>
      </c>
      <c r="G41" s="47">
        <v>6.0</v>
      </c>
      <c r="H41" s="174" t="s">
        <v>1374</v>
      </c>
      <c r="I41" s="47" t="s">
        <v>1375</v>
      </c>
      <c r="J41" s="51">
        <v>51.0</v>
      </c>
      <c r="K41" s="47" t="s">
        <v>1376</v>
      </c>
      <c r="L41" s="174" t="s">
        <v>1377</v>
      </c>
      <c r="O41" s="128" t="s">
        <v>1216</v>
      </c>
      <c r="P41" s="360">
        <v>785.0</v>
      </c>
      <c r="Q41" s="467">
        <v>0.3181</v>
      </c>
      <c r="S41" s="128" t="s">
        <v>1224</v>
      </c>
      <c r="T41" s="477">
        <v>368.0</v>
      </c>
      <c r="U41" s="363">
        <v>0.6594</v>
      </c>
    </row>
    <row r="42" ht="22.5" customHeight="1">
      <c r="A42" s="5" t="s">
        <v>185</v>
      </c>
      <c r="B42" s="5" t="s">
        <v>13</v>
      </c>
      <c r="C42" s="562">
        <v>2468.0</v>
      </c>
      <c r="D42" s="560">
        <v>2.0</v>
      </c>
      <c r="E42" s="561" t="s">
        <v>521</v>
      </c>
      <c r="F42" s="55">
        <v>0.0</v>
      </c>
      <c r="G42" s="47">
        <v>129.0</v>
      </c>
      <c r="H42" s="174" t="s">
        <v>1378</v>
      </c>
      <c r="I42" s="47" t="s">
        <v>1379</v>
      </c>
      <c r="J42" s="51">
        <v>785.0</v>
      </c>
      <c r="K42" s="47" t="s">
        <v>1380</v>
      </c>
      <c r="L42" s="174" t="s">
        <v>792</v>
      </c>
      <c r="O42" s="128" t="s">
        <v>1302</v>
      </c>
      <c r="P42" s="477">
        <v>655.0</v>
      </c>
      <c r="Q42" s="467">
        <v>0.3713</v>
      </c>
      <c r="S42" s="128" t="s">
        <v>1175</v>
      </c>
      <c r="T42" s="477">
        <v>93.0</v>
      </c>
      <c r="U42" s="467">
        <v>0.5542</v>
      </c>
    </row>
    <row r="43" ht="22.5" customHeight="1">
      <c r="A43" s="5" t="s">
        <v>185</v>
      </c>
      <c r="B43" s="5" t="s">
        <v>27</v>
      </c>
      <c r="C43" s="31">
        <v>1162.0</v>
      </c>
      <c r="D43" s="560">
        <v>0.0</v>
      </c>
      <c r="E43" s="561" t="s">
        <v>258</v>
      </c>
      <c r="F43" s="55">
        <v>0.0</v>
      </c>
      <c r="G43" s="47">
        <v>49.0</v>
      </c>
      <c r="H43" s="174" t="s">
        <v>1381</v>
      </c>
      <c r="I43" s="47" t="s">
        <v>1382</v>
      </c>
      <c r="J43" s="51">
        <v>442.0</v>
      </c>
      <c r="K43" s="47" t="s">
        <v>1383</v>
      </c>
      <c r="L43" s="174" t="s">
        <v>315</v>
      </c>
      <c r="O43" s="128" t="s">
        <v>1282</v>
      </c>
      <c r="P43" s="477">
        <v>552.0</v>
      </c>
      <c r="Q43" s="467">
        <v>0.4318</v>
      </c>
      <c r="S43" s="128" t="s">
        <v>1220</v>
      </c>
      <c r="T43" s="360">
        <v>467.0</v>
      </c>
      <c r="U43" s="467">
        <v>0.5048</v>
      </c>
    </row>
    <row r="44" ht="22.5" customHeight="1">
      <c r="A44" s="5" t="s">
        <v>185</v>
      </c>
      <c r="B44" s="5" t="s">
        <v>33</v>
      </c>
      <c r="C44" s="31">
        <v>1278.0</v>
      </c>
      <c r="D44" s="560">
        <v>4.0</v>
      </c>
      <c r="E44" s="561" t="s">
        <v>889</v>
      </c>
      <c r="F44" s="55">
        <v>0.0</v>
      </c>
      <c r="G44" s="47">
        <v>48.0</v>
      </c>
      <c r="H44" s="174" t="s">
        <v>1384</v>
      </c>
      <c r="I44" s="47" t="s">
        <v>1385</v>
      </c>
      <c r="J44" s="51">
        <v>552.0</v>
      </c>
      <c r="K44" s="47" t="s">
        <v>1386</v>
      </c>
      <c r="L44" s="174" t="s">
        <v>1387</v>
      </c>
      <c r="O44" s="128" t="s">
        <v>1388</v>
      </c>
      <c r="P44" s="477">
        <v>524.0</v>
      </c>
      <c r="Q44" s="467">
        <v>0.3183</v>
      </c>
      <c r="S44" s="128" t="s">
        <v>1389</v>
      </c>
      <c r="T44" s="477">
        <v>31.0</v>
      </c>
      <c r="U44" s="467">
        <v>0.45</v>
      </c>
    </row>
    <row r="45" ht="22.5" customHeight="1">
      <c r="A45" s="5" t="s">
        <v>185</v>
      </c>
      <c r="B45" s="5" t="s">
        <v>19</v>
      </c>
      <c r="C45" s="563">
        <v>1763.0</v>
      </c>
      <c r="D45" s="560">
        <v>2.0</v>
      </c>
      <c r="E45" s="561" t="s">
        <v>1390</v>
      </c>
      <c r="F45" s="55">
        <v>0.0</v>
      </c>
      <c r="G45" s="47">
        <v>61.0</v>
      </c>
      <c r="H45" s="174" t="s">
        <v>1391</v>
      </c>
      <c r="I45" s="47" t="s">
        <v>1392</v>
      </c>
      <c r="J45" s="51">
        <v>655.0</v>
      </c>
      <c r="K45" s="47" t="s">
        <v>1393</v>
      </c>
      <c r="L45" s="174" t="s">
        <v>1394</v>
      </c>
      <c r="O45" s="128" t="s">
        <v>1231</v>
      </c>
      <c r="P45" s="477">
        <v>520.0</v>
      </c>
      <c r="Q45" s="363">
        <v>0.4233</v>
      </c>
      <c r="S45" s="128" t="s">
        <v>1291</v>
      </c>
      <c r="T45" s="477">
        <v>146.0</v>
      </c>
      <c r="U45" s="467">
        <v>0.4424</v>
      </c>
    </row>
    <row r="46" ht="22.5" customHeight="1">
      <c r="A46" s="5" t="s">
        <v>185</v>
      </c>
      <c r="B46" s="5" t="s">
        <v>58</v>
      </c>
      <c r="C46" s="13">
        <v>925.0</v>
      </c>
      <c r="D46" s="564">
        <v>1.0</v>
      </c>
      <c r="E46" s="561" t="s">
        <v>515</v>
      </c>
      <c r="F46" s="55">
        <v>0.0</v>
      </c>
      <c r="G46" s="271">
        <v>56.0</v>
      </c>
      <c r="H46" s="174" t="s">
        <v>1108</v>
      </c>
      <c r="I46" s="47" t="s">
        <v>1395</v>
      </c>
      <c r="J46" s="51">
        <v>467.0</v>
      </c>
      <c r="K46" s="174" t="s">
        <v>1396</v>
      </c>
      <c r="L46" s="174" t="s">
        <v>298</v>
      </c>
      <c r="N46" s="176"/>
      <c r="S46" s="179"/>
      <c r="T46" s="170"/>
      <c r="U46" s="170"/>
    </row>
    <row r="47" ht="22.5" customHeight="1">
      <c r="A47" s="5" t="s">
        <v>185</v>
      </c>
      <c r="B47" s="5" t="s">
        <v>77</v>
      </c>
      <c r="C47" s="13">
        <v>488.0</v>
      </c>
      <c r="D47" s="564">
        <v>1.0</v>
      </c>
      <c r="E47" s="561" t="s">
        <v>634</v>
      </c>
      <c r="F47" s="55">
        <v>0.0</v>
      </c>
      <c r="G47" s="271">
        <v>19.0</v>
      </c>
      <c r="H47" s="174" t="s">
        <v>1397</v>
      </c>
      <c r="I47" s="47" t="s">
        <v>1398</v>
      </c>
      <c r="J47" s="51">
        <v>189.0</v>
      </c>
      <c r="K47" s="174" t="s">
        <v>1399</v>
      </c>
      <c r="L47" s="174" t="s">
        <v>1400</v>
      </c>
      <c r="N47" s="176" t="s">
        <v>715</v>
      </c>
      <c r="O47" s="180" t="s">
        <v>717</v>
      </c>
      <c r="P47" s="181"/>
      <c r="Q47" s="181"/>
      <c r="S47" s="193" t="s">
        <v>770</v>
      </c>
      <c r="T47" s="194"/>
      <c r="U47" s="194"/>
    </row>
    <row r="48" ht="22.5" customHeight="1">
      <c r="A48" s="5" t="s">
        <v>185</v>
      </c>
      <c r="B48" s="5" t="s">
        <v>82</v>
      </c>
      <c r="C48" s="13">
        <v>575.0</v>
      </c>
      <c r="D48" s="565">
        <v>2.0</v>
      </c>
      <c r="E48" s="561" t="s">
        <v>622</v>
      </c>
      <c r="F48" s="55">
        <v>0.0</v>
      </c>
      <c r="G48" s="55">
        <v>18.0</v>
      </c>
      <c r="H48" s="174" t="s">
        <v>1401</v>
      </c>
      <c r="I48" s="47" t="s">
        <v>1402</v>
      </c>
      <c r="J48" s="51">
        <v>133.0</v>
      </c>
      <c r="K48" s="174" t="s">
        <v>1403</v>
      </c>
      <c r="L48" s="174" t="s">
        <v>1404</v>
      </c>
      <c r="O48" s="128" t="s">
        <v>1197</v>
      </c>
      <c r="P48" s="360">
        <v>15.0</v>
      </c>
      <c r="Q48" s="566" t="s">
        <v>1405</v>
      </c>
      <c r="S48" s="128" t="s">
        <v>1175</v>
      </c>
      <c r="T48" s="477">
        <v>5.0</v>
      </c>
      <c r="U48" s="363" t="s">
        <v>1406</v>
      </c>
    </row>
    <row r="49" ht="22.5" customHeight="1">
      <c r="A49" s="5" t="s">
        <v>185</v>
      </c>
      <c r="B49" s="50" t="s">
        <v>94</v>
      </c>
      <c r="C49" s="13">
        <v>2.0</v>
      </c>
      <c r="D49" s="565">
        <v>0.0</v>
      </c>
      <c r="E49" s="561" t="s">
        <v>258</v>
      </c>
      <c r="F49" s="55">
        <v>0.0</v>
      </c>
      <c r="G49" s="50">
        <v>0.0</v>
      </c>
      <c r="H49" s="50">
        <v>0.0</v>
      </c>
      <c r="I49" s="50">
        <v>0.0</v>
      </c>
      <c r="J49" s="51">
        <v>2.0</v>
      </c>
      <c r="K49" s="174" t="s">
        <v>298</v>
      </c>
      <c r="L49" s="174" t="s">
        <v>1407</v>
      </c>
      <c r="O49" s="567" t="s">
        <v>1408</v>
      </c>
      <c r="P49" s="477">
        <v>8.0</v>
      </c>
      <c r="Q49" s="467" t="s">
        <v>1409</v>
      </c>
      <c r="S49" s="128" t="s">
        <v>1197</v>
      </c>
      <c r="T49" s="360">
        <v>15.0</v>
      </c>
      <c r="U49" s="467" t="s">
        <v>1405</v>
      </c>
    </row>
    <row r="50" ht="22.5" customHeight="1">
      <c r="A50" s="5" t="s">
        <v>185</v>
      </c>
      <c r="B50" s="5" t="s">
        <v>39</v>
      </c>
      <c r="C50" s="13">
        <v>167.0</v>
      </c>
      <c r="D50" s="565">
        <v>1.0</v>
      </c>
      <c r="E50" s="561" t="s">
        <v>734</v>
      </c>
      <c r="F50" s="55">
        <v>0.0</v>
      </c>
      <c r="G50" s="50">
        <v>6.0</v>
      </c>
      <c r="H50" s="174" t="s">
        <v>1374</v>
      </c>
      <c r="I50" s="47" t="s">
        <v>1410</v>
      </c>
      <c r="J50" s="51">
        <v>93.0</v>
      </c>
      <c r="K50" s="174" t="s">
        <v>1411</v>
      </c>
      <c r="L50" s="174" t="s">
        <v>1412</v>
      </c>
      <c r="O50" s="128" t="s">
        <v>1216</v>
      </c>
      <c r="P50" s="477">
        <v>9.0</v>
      </c>
      <c r="Q50" s="467" t="s">
        <v>1409</v>
      </c>
      <c r="S50" s="568" t="s">
        <v>1182</v>
      </c>
      <c r="T50" s="477">
        <v>5.0</v>
      </c>
      <c r="U50" s="467">
        <v>0.019</v>
      </c>
    </row>
    <row r="51" ht="22.5" customHeight="1">
      <c r="A51" s="5" t="s">
        <v>185</v>
      </c>
      <c r="B51" s="5" t="s">
        <v>59</v>
      </c>
      <c r="C51" s="13">
        <v>400.0</v>
      </c>
      <c r="D51" s="560">
        <v>2.0</v>
      </c>
      <c r="E51" s="561" t="s">
        <v>1413</v>
      </c>
      <c r="F51" s="55">
        <v>0.0</v>
      </c>
      <c r="G51" s="174">
        <v>18.0</v>
      </c>
      <c r="H51" s="174" t="s">
        <v>1414</v>
      </c>
      <c r="I51" s="47" t="s">
        <v>1415</v>
      </c>
      <c r="J51" s="51">
        <v>144.0</v>
      </c>
      <c r="K51" s="174" t="s">
        <v>1416</v>
      </c>
      <c r="L51" s="174" t="s">
        <v>1417</v>
      </c>
      <c r="O51" s="567" t="s">
        <v>1224</v>
      </c>
      <c r="P51" s="477">
        <v>6.0</v>
      </c>
      <c r="Q51" s="467" t="s">
        <v>1418</v>
      </c>
      <c r="S51" s="568" t="s">
        <v>1341</v>
      </c>
      <c r="T51" s="477">
        <v>3.0</v>
      </c>
      <c r="U51" s="467">
        <v>0.017</v>
      </c>
    </row>
    <row r="52" ht="22.5" customHeight="1">
      <c r="A52" s="5" t="s">
        <v>185</v>
      </c>
      <c r="B52" s="5" t="s">
        <v>114</v>
      </c>
      <c r="C52" s="13">
        <v>558.0</v>
      </c>
      <c r="D52" s="560">
        <v>2.0</v>
      </c>
      <c r="E52" s="561" t="s">
        <v>336</v>
      </c>
      <c r="F52" s="55">
        <v>0.0</v>
      </c>
      <c r="G52" s="174">
        <v>28.0</v>
      </c>
      <c r="H52" s="174" t="s">
        <v>1419</v>
      </c>
      <c r="I52" s="47" t="s">
        <v>1420</v>
      </c>
      <c r="J52" s="51">
        <v>368.0</v>
      </c>
      <c r="K52" s="174" t="s">
        <v>1421</v>
      </c>
      <c r="L52" s="174" t="s">
        <v>298</v>
      </c>
      <c r="O52" s="128" t="s">
        <v>1231</v>
      </c>
      <c r="P52" s="477">
        <v>6.0</v>
      </c>
      <c r="Q52" s="467" t="s">
        <v>1422</v>
      </c>
      <c r="S52" s="567" t="s">
        <v>1224</v>
      </c>
      <c r="T52" s="477">
        <v>6.0</v>
      </c>
      <c r="U52" s="467" t="s">
        <v>1418</v>
      </c>
    </row>
    <row r="53" ht="22.5" customHeight="1">
      <c r="A53" s="5" t="s">
        <v>185</v>
      </c>
      <c r="B53" s="5" t="s">
        <v>136</v>
      </c>
      <c r="C53" s="13">
        <v>329.0</v>
      </c>
      <c r="D53" s="565">
        <v>1.0</v>
      </c>
      <c r="E53" s="561" t="s">
        <v>889</v>
      </c>
      <c r="F53" s="55">
        <v>0.0</v>
      </c>
      <c r="G53" s="174">
        <v>14.0</v>
      </c>
      <c r="H53" s="174" t="s">
        <v>1423</v>
      </c>
      <c r="I53" s="47" t="s">
        <v>1424</v>
      </c>
      <c r="J53" s="51">
        <v>146.0</v>
      </c>
      <c r="K53" s="174" t="s">
        <v>1425</v>
      </c>
      <c r="L53" s="174" t="s">
        <v>1426</v>
      </c>
      <c r="S53" s="179"/>
      <c r="T53" s="170"/>
      <c r="U53" s="170"/>
    </row>
    <row r="54" ht="22.5" customHeight="1">
      <c r="A54" s="5" t="s">
        <v>185</v>
      </c>
      <c r="B54" s="5" t="s">
        <v>85</v>
      </c>
      <c r="C54" s="13">
        <v>1170.0</v>
      </c>
      <c r="D54" s="565">
        <v>1.0</v>
      </c>
      <c r="E54" s="561" t="s">
        <v>1427</v>
      </c>
      <c r="F54" s="55">
        <v>0.0</v>
      </c>
      <c r="G54" s="174">
        <v>42.0</v>
      </c>
      <c r="H54" s="174" t="s">
        <v>304</v>
      </c>
      <c r="I54" s="47" t="s">
        <v>1428</v>
      </c>
      <c r="J54" s="51">
        <v>388.0</v>
      </c>
      <c r="K54" s="174" t="s">
        <v>1429</v>
      </c>
      <c r="L54" s="174" t="s">
        <v>1430</v>
      </c>
      <c r="O54" s="193" t="s">
        <v>822</v>
      </c>
      <c r="P54" s="194"/>
      <c r="Q54" s="181"/>
      <c r="S54" s="193" t="s">
        <v>874</v>
      </c>
      <c r="T54" s="220"/>
      <c r="U54" s="194"/>
    </row>
    <row r="55" ht="22.5" customHeight="1">
      <c r="A55" s="5" t="s">
        <v>185</v>
      </c>
      <c r="B55" s="35" t="s">
        <v>79</v>
      </c>
      <c r="C55" s="13">
        <v>777.0</v>
      </c>
      <c r="D55" s="565">
        <v>1.0</v>
      </c>
      <c r="E55" s="561" t="s">
        <v>653</v>
      </c>
      <c r="F55" s="55">
        <v>0.0</v>
      </c>
      <c r="G55" s="174">
        <v>41.0</v>
      </c>
      <c r="H55" s="174" t="s">
        <v>1431</v>
      </c>
      <c r="I55" s="47" t="s">
        <v>1432</v>
      </c>
      <c r="J55" s="51">
        <v>321.0</v>
      </c>
      <c r="K55" s="174" t="s">
        <v>1433</v>
      </c>
      <c r="L55" s="174" t="s">
        <v>1434</v>
      </c>
      <c r="O55" s="567" t="s">
        <v>1224</v>
      </c>
      <c r="P55" s="360">
        <v>79.0</v>
      </c>
      <c r="Q55" s="467" t="s">
        <v>1405</v>
      </c>
      <c r="S55" s="567" t="s">
        <v>1291</v>
      </c>
      <c r="T55" s="477">
        <v>60.0</v>
      </c>
      <c r="U55" s="363" t="s">
        <v>1435</v>
      </c>
    </row>
    <row r="56" ht="22.5" customHeight="1">
      <c r="A56" s="5" t="s">
        <v>185</v>
      </c>
      <c r="B56" s="5" t="s">
        <v>45</v>
      </c>
      <c r="C56" s="13">
        <v>841.0</v>
      </c>
      <c r="D56" s="569">
        <v>2.0</v>
      </c>
      <c r="E56" s="561" t="s">
        <v>1436</v>
      </c>
      <c r="F56" s="55">
        <v>0.0</v>
      </c>
      <c r="G56" s="174">
        <v>43.0</v>
      </c>
      <c r="H56" s="174" t="s">
        <v>1437</v>
      </c>
      <c r="I56" s="47" t="s">
        <v>1438</v>
      </c>
      <c r="J56" s="51">
        <v>60.0</v>
      </c>
      <c r="K56" s="174" t="s">
        <v>1439</v>
      </c>
      <c r="L56" s="174" t="s">
        <v>1440</v>
      </c>
      <c r="O56" s="128" t="s">
        <v>1441</v>
      </c>
      <c r="P56" s="477">
        <v>71.0</v>
      </c>
      <c r="Q56" s="467" t="s">
        <v>1442</v>
      </c>
      <c r="S56" s="128" t="s">
        <v>1175</v>
      </c>
      <c r="T56" s="477" t="s">
        <v>1443</v>
      </c>
      <c r="U56" s="467">
        <v>0.153</v>
      </c>
    </row>
    <row r="57" ht="22.5" customHeight="1">
      <c r="A57" s="5" t="s">
        <v>185</v>
      </c>
      <c r="B57" s="5" t="s">
        <v>170</v>
      </c>
      <c r="C57" s="13">
        <v>364.0</v>
      </c>
      <c r="D57" s="564">
        <v>1.0</v>
      </c>
      <c r="E57" s="561" t="s">
        <v>1444</v>
      </c>
      <c r="F57" s="55">
        <v>0.0</v>
      </c>
      <c r="G57" s="174">
        <v>9.0</v>
      </c>
      <c r="H57" s="174" t="s">
        <v>1445</v>
      </c>
      <c r="I57" s="47" t="s">
        <v>1446</v>
      </c>
      <c r="J57" s="51">
        <v>71.0</v>
      </c>
      <c r="K57" s="174" t="s">
        <v>1447</v>
      </c>
      <c r="L57" s="174" t="s">
        <v>1448</v>
      </c>
      <c r="O57" s="567" t="s">
        <v>1291</v>
      </c>
      <c r="P57" s="477">
        <v>60.0</v>
      </c>
      <c r="Q57" s="363" t="s">
        <v>1435</v>
      </c>
      <c r="S57" s="567" t="s">
        <v>1224</v>
      </c>
      <c r="T57" s="360">
        <v>79.0</v>
      </c>
      <c r="U57" s="467" t="s">
        <v>1405</v>
      </c>
    </row>
    <row r="58" ht="22.5" customHeight="1">
      <c r="A58" s="5" t="s">
        <v>185</v>
      </c>
      <c r="B58" s="5" t="s">
        <v>153</v>
      </c>
      <c r="C58" s="13">
        <v>556.0</v>
      </c>
      <c r="D58" s="564">
        <v>1.0</v>
      </c>
      <c r="E58" s="561" t="s">
        <v>607</v>
      </c>
      <c r="F58" s="55">
        <v>0.0</v>
      </c>
      <c r="G58" s="174">
        <v>32.0</v>
      </c>
      <c r="H58" s="174" t="s">
        <v>1449</v>
      </c>
      <c r="I58" s="47">
        <v>604048.0</v>
      </c>
      <c r="J58" s="51">
        <v>161.0</v>
      </c>
      <c r="K58" s="174" t="s">
        <v>1450</v>
      </c>
      <c r="L58" s="174" t="s">
        <v>1451</v>
      </c>
      <c r="O58" s="128" t="s">
        <v>1216</v>
      </c>
      <c r="P58" s="477">
        <v>51.0</v>
      </c>
      <c r="Q58" s="467" t="s">
        <v>1452</v>
      </c>
      <c r="S58" s="128" t="s">
        <v>1441</v>
      </c>
      <c r="T58" s="477">
        <v>71.0</v>
      </c>
      <c r="U58" s="467" t="s">
        <v>1442</v>
      </c>
    </row>
    <row r="59" ht="22.5" customHeight="1">
      <c r="A59" s="5" t="s">
        <v>185</v>
      </c>
      <c r="B59" s="5" t="s">
        <v>26</v>
      </c>
      <c r="C59" s="13">
        <v>2364.0</v>
      </c>
      <c r="D59" s="564">
        <v>8.0</v>
      </c>
      <c r="E59" s="561" t="s">
        <v>1072</v>
      </c>
      <c r="F59" s="55">
        <v>0.0</v>
      </c>
      <c r="G59" s="174">
        <v>89.0</v>
      </c>
      <c r="H59" s="174" t="s">
        <v>1384</v>
      </c>
      <c r="I59" s="47">
        <v>1489059.0</v>
      </c>
      <c r="J59" s="51">
        <v>222.0</v>
      </c>
      <c r="K59" s="174" t="s">
        <v>1453</v>
      </c>
      <c r="L59" s="174" t="s">
        <v>1454</v>
      </c>
      <c r="O59" s="128" t="s">
        <v>1197</v>
      </c>
      <c r="P59" s="477">
        <v>38.0</v>
      </c>
      <c r="Q59" s="467" t="s">
        <v>1455</v>
      </c>
      <c r="S59" s="568" t="s">
        <v>1456</v>
      </c>
      <c r="T59" s="477" t="s">
        <v>1457</v>
      </c>
      <c r="U59" s="467">
        <v>0.076</v>
      </c>
    </row>
    <row r="60" ht="22.5" customHeight="1">
      <c r="A60" s="5" t="s">
        <v>185</v>
      </c>
      <c r="B60" s="5" t="s">
        <v>23</v>
      </c>
      <c r="C60" s="13">
        <v>1228.0</v>
      </c>
      <c r="D60" s="564">
        <v>5.0</v>
      </c>
      <c r="E60" s="561" t="s">
        <v>215</v>
      </c>
      <c r="F60" s="55">
        <v>0.0</v>
      </c>
      <c r="G60" s="174">
        <v>58.0</v>
      </c>
      <c r="H60" s="174" t="s">
        <v>1458</v>
      </c>
      <c r="I60" s="47" t="s">
        <v>1459</v>
      </c>
      <c r="J60" s="51">
        <v>520.0</v>
      </c>
      <c r="K60" s="174" t="s">
        <v>1460</v>
      </c>
      <c r="L60" s="174" t="s">
        <v>1461</v>
      </c>
      <c r="S60" s="179"/>
      <c r="T60" s="570"/>
      <c r="U60" s="571"/>
    </row>
    <row r="61" ht="22.5" customHeight="1">
      <c r="A61" s="5" t="s">
        <v>185</v>
      </c>
      <c r="B61" s="5" t="s">
        <v>159</v>
      </c>
      <c r="C61" s="13">
        <v>191.0</v>
      </c>
      <c r="D61" s="572">
        <v>3.0</v>
      </c>
      <c r="E61" s="561" t="s">
        <v>1462</v>
      </c>
      <c r="F61" s="55">
        <v>0.0</v>
      </c>
      <c r="G61" s="55">
        <v>10.0</v>
      </c>
      <c r="H61" s="174" t="s">
        <v>1378</v>
      </c>
      <c r="I61" s="47" t="s">
        <v>1463</v>
      </c>
      <c r="J61" s="51">
        <v>60.0</v>
      </c>
      <c r="K61" s="174" t="s">
        <v>1464</v>
      </c>
      <c r="L61" s="174" t="s">
        <v>1465</v>
      </c>
      <c r="O61" s="193" t="s">
        <v>902</v>
      </c>
      <c r="P61" s="573"/>
      <c r="Q61" s="573"/>
      <c r="R61" s="79"/>
      <c r="S61" s="193" t="s">
        <v>908</v>
      </c>
      <c r="T61" s="220"/>
      <c r="U61" s="220"/>
    </row>
    <row r="62" ht="22.5" customHeight="1">
      <c r="A62" s="5" t="s">
        <v>185</v>
      </c>
      <c r="B62" s="5" t="s">
        <v>90</v>
      </c>
      <c r="C62" s="13">
        <v>80.0</v>
      </c>
      <c r="D62" s="574">
        <v>0.0</v>
      </c>
      <c r="E62" s="561" t="s">
        <v>258</v>
      </c>
      <c r="F62" s="55">
        <v>0.0</v>
      </c>
      <c r="G62" s="50">
        <v>2.0</v>
      </c>
      <c r="H62" s="174" t="s">
        <v>435</v>
      </c>
      <c r="I62" s="50">
        <v>0.0</v>
      </c>
      <c r="J62" s="51">
        <v>17.0</v>
      </c>
      <c r="K62" s="174" t="s">
        <v>1466</v>
      </c>
      <c r="L62" s="174" t="s">
        <v>298</v>
      </c>
      <c r="O62" s="568" t="s">
        <v>1302</v>
      </c>
      <c r="P62" s="360" t="s">
        <v>1467</v>
      </c>
      <c r="Q62" s="467">
        <v>0.089</v>
      </c>
      <c r="S62" s="567" t="s">
        <v>1291</v>
      </c>
      <c r="T62" s="477" t="s">
        <v>1468</v>
      </c>
      <c r="U62" s="363" t="s">
        <v>1435</v>
      </c>
    </row>
    <row r="63" ht="22.5" customHeight="1">
      <c r="A63" s="5" t="s">
        <v>185</v>
      </c>
      <c r="B63" s="5" t="s">
        <v>63</v>
      </c>
      <c r="C63" s="13">
        <v>1646.0</v>
      </c>
      <c r="D63" s="574">
        <v>3.0</v>
      </c>
      <c r="E63" s="561" t="s">
        <v>326</v>
      </c>
      <c r="F63" s="55">
        <v>0.0</v>
      </c>
      <c r="G63" s="50">
        <v>40.0</v>
      </c>
      <c r="H63" s="174" t="s">
        <v>1469</v>
      </c>
      <c r="I63" s="47" t="s">
        <v>1470</v>
      </c>
      <c r="J63" s="575">
        <v>524.0</v>
      </c>
      <c r="K63" s="174" t="s">
        <v>1471</v>
      </c>
      <c r="L63" s="174" t="s">
        <v>1472</v>
      </c>
      <c r="O63" s="568" t="s">
        <v>1282</v>
      </c>
      <c r="P63" s="477" t="s">
        <v>1473</v>
      </c>
      <c r="Q63" s="467">
        <v>0.127</v>
      </c>
      <c r="S63" s="128" t="s">
        <v>1175</v>
      </c>
      <c r="T63" s="477" t="s">
        <v>1443</v>
      </c>
      <c r="U63" s="467" t="s">
        <v>1474</v>
      </c>
      <c r="V63" s="79"/>
    </row>
    <row r="64" ht="22.5" hidden="1" customHeight="1">
      <c r="A64" s="5" t="s">
        <v>383</v>
      </c>
      <c r="B64" s="5" t="s">
        <v>15</v>
      </c>
      <c r="C64" s="273">
        <v>178.0</v>
      </c>
      <c r="D64" s="273">
        <v>3.0</v>
      </c>
      <c r="E64" s="276">
        <v>0.016574585635359115</v>
      </c>
      <c r="F64" s="27">
        <v>0.0</v>
      </c>
      <c r="G64" s="275">
        <v>6.0</v>
      </c>
      <c r="H64" s="276">
        <v>0.03314917127071823</v>
      </c>
      <c r="I64" s="27">
        <v>0.0</v>
      </c>
      <c r="J64" s="275">
        <v>7.0</v>
      </c>
      <c r="K64" s="276">
        <v>0.04046242774566474</v>
      </c>
      <c r="L64" s="576">
        <v>0.941</v>
      </c>
      <c r="O64" s="128" t="s">
        <v>1216</v>
      </c>
      <c r="P64" s="477" t="s">
        <v>1475</v>
      </c>
      <c r="Q64" s="467">
        <v>0.054</v>
      </c>
      <c r="S64" s="567" t="s">
        <v>1224</v>
      </c>
      <c r="T64" s="477" t="s">
        <v>1476</v>
      </c>
      <c r="U64" s="467">
        <v>0.145</v>
      </c>
      <c r="V64" s="222"/>
    </row>
    <row r="65" ht="22.5" hidden="1" customHeight="1">
      <c r="A65" s="5" t="s">
        <v>383</v>
      </c>
      <c r="B65" s="5" t="s">
        <v>13</v>
      </c>
      <c r="C65" s="273">
        <v>1598.0</v>
      </c>
      <c r="D65" s="273">
        <v>9.0</v>
      </c>
      <c r="E65" s="279">
        <v>0.005600497822028625</v>
      </c>
      <c r="F65" s="27">
        <v>0.0</v>
      </c>
      <c r="G65" s="275">
        <v>51.0</v>
      </c>
      <c r="H65" s="276">
        <v>0.031736154324828875</v>
      </c>
      <c r="I65" s="27">
        <v>0.0</v>
      </c>
      <c r="J65" s="275">
        <v>85.0</v>
      </c>
      <c r="K65" s="577">
        <v>0.05434782608695652</v>
      </c>
      <c r="L65" s="578">
        <v>0.9825</v>
      </c>
      <c r="O65" s="567" t="s">
        <v>1224</v>
      </c>
      <c r="P65" s="477" t="s">
        <v>1476</v>
      </c>
      <c r="Q65" s="363">
        <v>0.145</v>
      </c>
      <c r="S65" s="568" t="s">
        <v>1282</v>
      </c>
      <c r="T65" s="477" t="s">
        <v>1473</v>
      </c>
      <c r="U65" s="467">
        <v>0.127</v>
      </c>
      <c r="V65" s="222"/>
    </row>
    <row r="66" ht="22.5" hidden="1" customHeight="1">
      <c r="A66" s="5" t="s">
        <v>383</v>
      </c>
      <c r="B66" s="5" t="s">
        <v>27</v>
      </c>
      <c r="C66" s="273">
        <v>369.0</v>
      </c>
      <c r="D66" s="273">
        <v>2.0</v>
      </c>
      <c r="E66" s="577">
        <v>0.005390835579514825</v>
      </c>
      <c r="F66" s="27">
        <v>0.0</v>
      </c>
      <c r="G66" s="275">
        <v>7.0</v>
      </c>
      <c r="H66" s="276">
        <v>0.018867924528301886</v>
      </c>
      <c r="I66" s="27">
        <v>0.0</v>
      </c>
      <c r="J66" s="275">
        <v>22.0</v>
      </c>
      <c r="K66" s="579">
        <v>0.06060606060606061</v>
      </c>
      <c r="L66" s="578">
        <v>0.9697</v>
      </c>
      <c r="O66" s="128" t="s">
        <v>1441</v>
      </c>
      <c r="P66" s="477" t="s">
        <v>1477</v>
      </c>
      <c r="Q66" s="467">
        <v>0.054</v>
      </c>
      <c r="S66" s="568" t="s">
        <v>1302</v>
      </c>
      <c r="T66" s="477" t="s">
        <v>1467</v>
      </c>
      <c r="U66" s="467">
        <v>0.089</v>
      </c>
      <c r="V66" s="222"/>
    </row>
    <row r="67" ht="22.5" hidden="1" customHeight="1">
      <c r="A67" s="5" t="s">
        <v>383</v>
      </c>
      <c r="B67" s="5" t="s">
        <v>33</v>
      </c>
      <c r="C67" s="273">
        <v>732.0</v>
      </c>
      <c r="D67" s="273">
        <v>2.0</v>
      </c>
      <c r="E67" s="580">
        <v>0.0027247956403269754</v>
      </c>
      <c r="F67" s="27">
        <v>0.0</v>
      </c>
      <c r="G67" s="275">
        <v>15.0</v>
      </c>
      <c r="H67" s="276">
        <v>0.020435967302452316</v>
      </c>
      <c r="I67" s="27">
        <v>0.0</v>
      </c>
      <c r="J67" s="275">
        <v>92.0</v>
      </c>
      <c r="K67" s="581">
        <v>0.12742382271468145</v>
      </c>
      <c r="L67" s="578">
        <v>0.9659</v>
      </c>
      <c r="N67" s="176"/>
      <c r="O67" s="526"/>
      <c r="P67" s="526"/>
      <c r="Q67" s="526"/>
      <c r="S67" s="179"/>
      <c r="T67" s="582"/>
      <c r="U67" s="526"/>
      <c r="V67" s="222"/>
    </row>
    <row r="68" ht="22.5" hidden="1" customHeight="1">
      <c r="A68" s="5" t="s">
        <v>383</v>
      </c>
      <c r="B68" s="5" t="s">
        <v>19</v>
      </c>
      <c r="C68" s="273">
        <v>1096.0</v>
      </c>
      <c r="D68" s="273">
        <v>6.0</v>
      </c>
      <c r="E68" s="577">
        <v>0.0054446460980036296</v>
      </c>
      <c r="F68" s="27">
        <v>0.0</v>
      </c>
      <c r="G68" s="275">
        <v>30.0</v>
      </c>
      <c r="H68" s="276">
        <v>0.02722323049001815</v>
      </c>
      <c r="I68" s="27">
        <v>0.0</v>
      </c>
      <c r="J68" s="275">
        <v>96.0</v>
      </c>
      <c r="K68" s="583">
        <v>0.08897126969416126</v>
      </c>
      <c r="L68" s="576">
        <v>0.9415</v>
      </c>
      <c r="N68" s="176"/>
      <c r="O68" s="584"/>
      <c r="P68" s="584"/>
      <c r="Q68" s="584"/>
      <c r="S68" s="179"/>
      <c r="T68" s="582"/>
      <c r="U68" s="582"/>
      <c r="V68" s="222"/>
    </row>
    <row r="69" ht="22.5" hidden="1" customHeight="1">
      <c r="A69" s="5" t="s">
        <v>383</v>
      </c>
      <c r="B69" s="5" t="s">
        <v>58</v>
      </c>
      <c r="C69" s="273">
        <v>571.0</v>
      </c>
      <c r="D69" s="273">
        <v>0.0</v>
      </c>
      <c r="E69" s="276">
        <v>0.0</v>
      </c>
      <c r="F69" s="27">
        <v>0.0</v>
      </c>
      <c r="G69" s="275">
        <v>35.0</v>
      </c>
      <c r="H69" s="296">
        <v>0.06329113924050633</v>
      </c>
      <c r="I69" s="27">
        <v>0.0</v>
      </c>
      <c r="J69" s="275">
        <v>35.0</v>
      </c>
      <c r="K69" s="296">
        <v>0.06329113924050633</v>
      </c>
      <c r="L69" s="585">
        <v>0.9975</v>
      </c>
      <c r="N69" s="176"/>
      <c r="O69" s="103"/>
      <c r="P69" s="248"/>
      <c r="Q69" s="249"/>
      <c r="S69" s="179"/>
      <c r="T69" s="586"/>
      <c r="U69" s="586"/>
      <c r="V69" s="79"/>
    </row>
    <row r="70" ht="22.5" hidden="1" customHeight="1">
      <c r="A70" s="5" t="s">
        <v>383</v>
      </c>
      <c r="B70" s="5" t="s">
        <v>77</v>
      </c>
      <c r="C70" s="273">
        <v>585.0</v>
      </c>
      <c r="D70" s="273">
        <v>15.0</v>
      </c>
      <c r="E70" s="587">
        <v>0.025</v>
      </c>
      <c r="F70" s="27">
        <v>0.0</v>
      </c>
      <c r="G70" s="275">
        <v>38.0</v>
      </c>
      <c r="H70" s="285">
        <v>0.06563039723661486</v>
      </c>
      <c r="I70" s="27">
        <v>0.0</v>
      </c>
      <c r="J70" s="275">
        <v>38.0</v>
      </c>
      <c r="K70" s="285">
        <v>0.06563039723661486</v>
      </c>
      <c r="L70" s="578">
        <v>0.958</v>
      </c>
      <c r="N70" s="176"/>
      <c r="O70" s="103"/>
      <c r="P70" s="588"/>
      <c r="Q70" s="249"/>
      <c r="S70" s="179"/>
      <c r="T70" s="586"/>
      <c r="U70" s="589"/>
      <c r="V70" s="79"/>
    </row>
    <row r="71" ht="22.5" hidden="1" customHeight="1">
      <c r="A71" s="5" t="s">
        <v>383</v>
      </c>
      <c r="B71" s="5" t="s">
        <v>82</v>
      </c>
      <c r="C71" s="273">
        <v>256.0</v>
      </c>
      <c r="D71" s="273">
        <v>5.0</v>
      </c>
      <c r="E71" s="304">
        <v>0.019157088122605363</v>
      </c>
      <c r="F71" s="27">
        <v>0.0</v>
      </c>
      <c r="G71" s="275">
        <v>6.0</v>
      </c>
      <c r="H71" s="590">
        <v>0.024096385542168676</v>
      </c>
      <c r="I71" s="27">
        <v>0.0</v>
      </c>
      <c r="J71" s="275">
        <v>6.0</v>
      </c>
      <c r="K71" s="590">
        <v>0.024096385542168676</v>
      </c>
      <c r="L71" s="578">
        <v>0.977</v>
      </c>
      <c r="N71" s="176"/>
      <c r="O71" s="103"/>
      <c r="P71" s="588"/>
      <c r="Q71" s="249"/>
      <c r="S71" s="179"/>
      <c r="T71" s="591"/>
      <c r="U71" s="592"/>
      <c r="V71" s="230"/>
    </row>
    <row r="72" ht="22.5" hidden="1" customHeight="1">
      <c r="A72" s="5" t="s">
        <v>383</v>
      </c>
      <c r="B72" s="5" t="s">
        <v>39</v>
      </c>
      <c r="C72" s="273">
        <v>177.0</v>
      </c>
      <c r="D72" s="273">
        <v>5.0</v>
      </c>
      <c r="E72" s="274">
        <v>0.027472527472527472</v>
      </c>
      <c r="F72" s="27">
        <v>0.0</v>
      </c>
      <c r="G72" s="593">
        <v>26.0</v>
      </c>
      <c r="H72" s="594">
        <v>0.15294117647058825</v>
      </c>
      <c r="I72" s="27">
        <v>0.0</v>
      </c>
      <c r="J72" s="275">
        <v>26.0</v>
      </c>
      <c r="K72" s="595">
        <v>0.15294117647058825</v>
      </c>
      <c r="L72" s="578">
        <v>0.9593</v>
      </c>
      <c r="N72" s="176"/>
      <c r="O72" s="103"/>
      <c r="P72" s="588"/>
      <c r="Q72" s="249"/>
      <c r="S72" s="179"/>
      <c r="T72" s="591"/>
      <c r="U72" s="592"/>
      <c r="V72" s="230"/>
    </row>
    <row r="73" ht="22.5" hidden="1" customHeight="1">
      <c r="A73" s="5" t="s">
        <v>383</v>
      </c>
      <c r="B73" s="5" t="s">
        <v>59</v>
      </c>
      <c r="C73" s="273">
        <v>231.0</v>
      </c>
      <c r="D73" s="273">
        <v>2.0</v>
      </c>
      <c r="E73" s="597">
        <v>0.008583690987124463</v>
      </c>
      <c r="F73" s="27">
        <v>0.0</v>
      </c>
      <c r="G73" s="275">
        <v>17.0</v>
      </c>
      <c r="H73" s="599">
        <v>0.07456140350877193</v>
      </c>
      <c r="I73" s="27">
        <v>0.0</v>
      </c>
      <c r="J73" s="275">
        <v>17.0</v>
      </c>
      <c r="K73" s="599">
        <v>0.07456140350877193</v>
      </c>
      <c r="L73" s="578">
        <v>0.9688</v>
      </c>
      <c r="N73" s="176"/>
      <c r="O73" s="103"/>
      <c r="P73" s="588"/>
      <c r="Q73" s="249"/>
      <c r="S73" s="179"/>
      <c r="T73" s="591"/>
      <c r="U73" s="592"/>
      <c r="V73" s="230"/>
    </row>
    <row r="74" ht="22.5" hidden="1" customHeight="1">
      <c r="A74" s="5" t="s">
        <v>383</v>
      </c>
      <c r="B74" s="5" t="s">
        <v>114</v>
      </c>
      <c r="C74" s="273">
        <v>559.0</v>
      </c>
      <c r="D74" s="273">
        <v>6.0</v>
      </c>
      <c r="E74" s="601">
        <v>0.010619469026548672</v>
      </c>
      <c r="F74" s="27">
        <v>0.0</v>
      </c>
      <c r="G74" s="275">
        <v>79.0</v>
      </c>
      <c r="H74" s="602">
        <v>0.1446886446886447</v>
      </c>
      <c r="I74" s="27">
        <v>0.0</v>
      </c>
      <c r="J74" s="275">
        <v>79.0</v>
      </c>
      <c r="K74" s="602">
        <v>0.1446886446886447</v>
      </c>
      <c r="L74" s="578">
        <v>0.9972</v>
      </c>
      <c r="N74" s="176"/>
      <c r="O74" s="526"/>
      <c r="P74" s="526"/>
      <c r="Q74" s="526"/>
      <c r="S74" s="179"/>
      <c r="T74" s="591"/>
      <c r="U74" s="592"/>
      <c r="V74" s="230"/>
    </row>
    <row r="75" ht="22.5" hidden="1" customHeight="1">
      <c r="A75" s="5" t="s">
        <v>383</v>
      </c>
      <c r="B75" s="5" t="s">
        <v>136</v>
      </c>
      <c r="C75" s="273">
        <v>324.0</v>
      </c>
      <c r="D75" s="273">
        <v>2.0</v>
      </c>
      <c r="E75" s="606">
        <v>0.006134969325153374</v>
      </c>
      <c r="F75" s="27">
        <v>0.0</v>
      </c>
      <c r="G75" s="275">
        <v>60.0</v>
      </c>
      <c r="H75" s="274">
        <v>0.1892744479495268</v>
      </c>
      <c r="I75" s="27">
        <v>0.0</v>
      </c>
      <c r="J75" s="275">
        <v>60.0</v>
      </c>
      <c r="K75" s="274">
        <v>0.1892744479495268</v>
      </c>
      <c r="L75" s="578">
        <v>0.9936</v>
      </c>
      <c r="N75" s="176"/>
      <c r="O75" s="584"/>
      <c r="P75" s="584"/>
      <c r="Q75" s="584"/>
      <c r="S75" s="179"/>
      <c r="T75" s="591"/>
      <c r="U75" s="592"/>
      <c r="V75" s="230"/>
    </row>
    <row r="76" ht="22.5" hidden="1" customHeight="1">
      <c r="A76" s="5" t="s">
        <v>383</v>
      </c>
      <c r="B76" s="5" t="s">
        <v>85</v>
      </c>
      <c r="C76" s="273">
        <v>387.0</v>
      </c>
      <c r="D76" s="273">
        <v>1.0</v>
      </c>
      <c r="E76" s="580">
        <v>0.002577319587628866</v>
      </c>
      <c r="F76" s="27">
        <v>0.0</v>
      </c>
      <c r="G76" s="275">
        <v>29.0</v>
      </c>
      <c r="H76" s="609">
        <v>0.07591623036649214</v>
      </c>
      <c r="I76" s="27">
        <v>0.0</v>
      </c>
      <c r="J76" s="275">
        <v>29.0</v>
      </c>
      <c r="K76" s="609">
        <v>0.07591623036649214</v>
      </c>
      <c r="L76" s="578">
        <v>0.9859</v>
      </c>
      <c r="N76" s="176"/>
      <c r="O76" s="103"/>
      <c r="P76" s="588"/>
      <c r="Q76" s="249"/>
      <c r="S76" s="179"/>
      <c r="T76" s="586"/>
      <c r="U76" s="586"/>
      <c r="V76" s="79"/>
    </row>
    <row r="77" ht="22.5" hidden="1" customHeight="1">
      <c r="A77" s="5" t="s">
        <v>383</v>
      </c>
      <c r="B77" s="35" t="s">
        <v>79</v>
      </c>
      <c r="C77" s="273">
        <v>695.0</v>
      </c>
      <c r="D77" s="273">
        <v>1.0</v>
      </c>
      <c r="E77" s="610">
        <v>0.0014367816091954023</v>
      </c>
      <c r="F77" s="27">
        <v>0.0</v>
      </c>
      <c r="G77" s="275">
        <v>23.0</v>
      </c>
      <c r="H77" s="612">
        <v>0.033527696793002916</v>
      </c>
      <c r="I77" s="27">
        <v>0.0</v>
      </c>
      <c r="J77" s="275">
        <v>23.0</v>
      </c>
      <c r="K77" s="612">
        <v>0.033527696793002916</v>
      </c>
      <c r="L77" s="578">
        <v>0.9875</v>
      </c>
      <c r="N77" s="176"/>
      <c r="O77" s="103"/>
      <c r="P77" s="588"/>
      <c r="Q77" s="249"/>
      <c r="S77" s="179"/>
      <c r="T77" s="586"/>
      <c r="U77" s="586"/>
      <c r="V77" s="79"/>
    </row>
    <row r="78" ht="22.5" hidden="1" customHeight="1">
      <c r="A78" s="5" t="s">
        <v>383</v>
      </c>
      <c r="B78" s="5" t="s">
        <v>45</v>
      </c>
      <c r="C78" s="273">
        <v>490.0</v>
      </c>
      <c r="D78" s="273">
        <v>1.0</v>
      </c>
      <c r="E78" s="612">
        <v>0.002036659877800407</v>
      </c>
      <c r="F78" s="27">
        <v>0.0</v>
      </c>
      <c r="G78" s="275">
        <v>31.0</v>
      </c>
      <c r="H78" s="285">
        <v>0.06540084388185655</v>
      </c>
      <c r="I78" s="27">
        <v>0.0</v>
      </c>
      <c r="J78" s="275">
        <v>31.0</v>
      </c>
      <c r="K78" s="285">
        <v>0.06540084388185655</v>
      </c>
      <c r="L78" s="578">
        <v>0.9647</v>
      </c>
      <c r="N78" s="176"/>
      <c r="O78" s="103"/>
      <c r="P78" s="588"/>
      <c r="Q78" s="249"/>
      <c r="S78" s="179"/>
      <c r="T78" s="586"/>
      <c r="U78" s="589"/>
      <c r="V78" s="79"/>
    </row>
    <row r="79" ht="22.5" customHeight="1">
      <c r="A79" s="5" t="s">
        <v>185</v>
      </c>
      <c r="B79" s="5" t="s">
        <v>123</v>
      </c>
      <c r="C79" s="62">
        <v>68.0</v>
      </c>
      <c r="D79" s="614">
        <v>0.0</v>
      </c>
      <c r="E79" s="561" t="s">
        <v>258</v>
      </c>
      <c r="F79" s="27">
        <v>0.0</v>
      </c>
      <c r="G79" s="64">
        <v>7.0</v>
      </c>
      <c r="H79" s="174" t="s">
        <v>1485</v>
      </c>
      <c r="I79" s="47" t="s">
        <v>1486</v>
      </c>
      <c r="J79" s="616">
        <v>31.0</v>
      </c>
      <c r="K79" s="174" t="s">
        <v>1488</v>
      </c>
      <c r="L79" s="174" t="s">
        <v>1489</v>
      </c>
      <c r="N79" s="176"/>
      <c r="O79" s="103"/>
      <c r="P79" s="588"/>
      <c r="Q79" s="249"/>
      <c r="S79" s="179"/>
      <c r="T79" s="591"/>
      <c r="U79" s="592"/>
      <c r="V79" s="231"/>
    </row>
    <row r="80" ht="22.5" hidden="1" customHeight="1">
      <c r="A80" s="5" t="s">
        <v>383</v>
      </c>
      <c r="B80" s="5" t="s">
        <v>123</v>
      </c>
      <c r="C80" s="273">
        <v>320.0</v>
      </c>
      <c r="D80" s="273">
        <v>0.0</v>
      </c>
      <c r="E80" s="276">
        <v>0.0</v>
      </c>
      <c r="F80" s="27">
        <v>0.0</v>
      </c>
      <c r="G80" s="275">
        <v>17.0</v>
      </c>
      <c r="H80" s="279">
        <v>0.05537459283387622</v>
      </c>
      <c r="I80" s="27">
        <v>0.0</v>
      </c>
      <c r="J80" s="275">
        <v>17.0</v>
      </c>
      <c r="K80" s="279">
        <v>0.05537459283387622</v>
      </c>
      <c r="L80" s="578">
        <v>0.991</v>
      </c>
      <c r="N80" s="176"/>
      <c r="O80" s="103"/>
      <c r="P80" s="588"/>
      <c r="Q80" s="249"/>
      <c r="S80" s="179"/>
      <c r="T80" s="591"/>
      <c r="U80" s="592"/>
      <c r="V80" s="231"/>
    </row>
    <row r="81" ht="22.5" hidden="1" customHeight="1">
      <c r="A81" s="5" t="s">
        <v>383</v>
      </c>
      <c r="B81" s="5" t="s">
        <v>153</v>
      </c>
      <c r="C81" s="273">
        <v>254.0</v>
      </c>
      <c r="D81" s="273">
        <v>2.0</v>
      </c>
      <c r="E81" s="621">
        <v>0.0078125</v>
      </c>
      <c r="F81" s="27">
        <v>0.0</v>
      </c>
      <c r="G81" s="275">
        <v>17.0</v>
      </c>
      <c r="H81" s="622">
        <v>0.06772908366533864</v>
      </c>
      <c r="I81" s="27">
        <v>0.0</v>
      </c>
      <c r="J81" s="275">
        <v>17.0</v>
      </c>
      <c r="K81" s="622">
        <v>0.06772908366533864</v>
      </c>
      <c r="L81" s="578">
        <v>0.9944</v>
      </c>
      <c r="T81" s="591"/>
      <c r="U81" s="592"/>
      <c r="V81" s="231"/>
    </row>
    <row r="82" ht="22.5" hidden="1" customHeight="1">
      <c r="A82" s="5" t="s">
        <v>383</v>
      </c>
      <c r="B82" s="5" t="s">
        <v>159</v>
      </c>
      <c r="C82" s="273">
        <v>192.0</v>
      </c>
      <c r="D82" s="273">
        <v>0.0</v>
      </c>
      <c r="E82" s="276">
        <v>0.0</v>
      </c>
      <c r="F82" s="27">
        <v>0.0</v>
      </c>
      <c r="G82" s="275">
        <v>4.0</v>
      </c>
      <c r="H82" s="276">
        <v>0.021505376344086023</v>
      </c>
      <c r="I82" s="27">
        <v>0.0</v>
      </c>
      <c r="J82" s="275">
        <v>4.0</v>
      </c>
      <c r="K82" s="276">
        <v>0.021505376344086023</v>
      </c>
      <c r="L82" s="578">
        <v>0.998</v>
      </c>
      <c r="T82" s="591"/>
      <c r="U82" s="592"/>
      <c r="V82" s="231"/>
    </row>
    <row r="83" ht="22.5" hidden="1" customHeight="1">
      <c r="A83" s="5" t="s">
        <v>383</v>
      </c>
      <c r="B83" s="5" t="s">
        <v>26</v>
      </c>
      <c r="C83" s="273">
        <v>1267.0</v>
      </c>
      <c r="D83" s="273">
        <v>8.0</v>
      </c>
      <c r="E83" s="606">
        <v>0.006274509803921568</v>
      </c>
      <c r="F83" s="27">
        <v>0.0</v>
      </c>
      <c r="G83" s="275">
        <v>33.0</v>
      </c>
      <c r="H83" s="629">
        <v>0.02652733118971061</v>
      </c>
      <c r="I83" s="27">
        <v>0.0</v>
      </c>
      <c r="J83" s="275">
        <v>33.0</v>
      </c>
      <c r="K83" s="629">
        <v>0.02652733118971061</v>
      </c>
      <c r="L83" s="578">
        <v>0.9592</v>
      </c>
      <c r="T83" s="591"/>
      <c r="U83" s="592"/>
      <c r="V83" s="231"/>
    </row>
    <row r="84" ht="22.5" hidden="1" customHeight="1">
      <c r="A84" s="5" t="s">
        <v>383</v>
      </c>
      <c r="B84" s="5" t="s">
        <v>23</v>
      </c>
      <c r="C84" s="273">
        <v>839.0</v>
      </c>
      <c r="D84" s="273">
        <v>6.0</v>
      </c>
      <c r="E84" s="631">
        <v>0.007100591715976331</v>
      </c>
      <c r="F84" s="27">
        <v>0.0</v>
      </c>
      <c r="G84" s="275">
        <v>71.0</v>
      </c>
      <c r="H84" s="633">
        <v>0.08595641646489104</v>
      </c>
      <c r="I84" s="27">
        <v>0.0</v>
      </c>
      <c r="J84" s="275">
        <v>71.0</v>
      </c>
      <c r="K84" s="633">
        <v>0.08595641646489104</v>
      </c>
      <c r="L84" s="585">
        <v>0.989</v>
      </c>
      <c r="O84" s="241"/>
      <c r="P84" s="40"/>
      <c r="Q84" s="40"/>
      <c r="T84" s="586"/>
      <c r="U84" s="586"/>
    </row>
    <row r="85" ht="22.5" hidden="1" customHeight="1">
      <c r="A85" s="5" t="s">
        <v>383</v>
      </c>
      <c r="B85" s="5" t="s">
        <v>63</v>
      </c>
      <c r="C85" s="273">
        <f>536+46</f>
        <v>582</v>
      </c>
      <c r="D85" s="273">
        <v>2.0</v>
      </c>
      <c r="E85" s="636">
        <v>0.0037174721189591076</v>
      </c>
      <c r="F85" s="27">
        <v>0.0</v>
      </c>
      <c r="G85" s="64">
        <v>17.0</v>
      </c>
      <c r="H85" s="73">
        <v>0.02973977695167286</v>
      </c>
      <c r="I85" s="27">
        <v>0.0</v>
      </c>
      <c r="J85" s="308">
        <v>41.0</v>
      </c>
      <c r="K85" s="599">
        <v>0.07518796992481203</v>
      </c>
      <c r="L85" s="585">
        <v>0.9701</v>
      </c>
      <c r="O85" s="103"/>
      <c r="P85" s="40"/>
      <c r="Q85" s="40"/>
      <c r="T85" s="586"/>
      <c r="U85" s="586"/>
    </row>
    <row r="86" ht="22.5" hidden="1" customHeight="1">
      <c r="A86" s="233"/>
      <c r="B86" s="234"/>
      <c r="C86" s="235"/>
      <c r="D86" s="235"/>
      <c r="E86" s="638"/>
      <c r="F86" s="237"/>
      <c r="G86" s="238"/>
      <c r="H86" s="239"/>
      <c r="I86" s="237"/>
      <c r="J86" s="238"/>
      <c r="K86" s="239"/>
      <c r="L86" s="240"/>
      <c r="O86" s="103"/>
      <c r="P86" s="40"/>
      <c r="Q86" s="40"/>
      <c r="T86" s="586"/>
      <c r="U86" s="586"/>
    </row>
    <row r="87" ht="22.5" hidden="1" customHeight="1">
      <c r="A87" s="233"/>
      <c r="B87" s="234"/>
      <c r="C87" s="235"/>
      <c r="D87" s="235"/>
      <c r="E87" s="640"/>
      <c r="F87" s="237"/>
      <c r="G87" s="238"/>
      <c r="H87" s="239"/>
      <c r="I87" s="237"/>
      <c r="J87" s="238"/>
      <c r="K87" s="239"/>
      <c r="L87" s="240"/>
      <c r="O87" s="103"/>
      <c r="P87" s="40"/>
      <c r="Q87" s="40"/>
      <c r="T87" s="586"/>
      <c r="U87" s="586"/>
    </row>
    <row r="88" ht="22.5" hidden="1" customHeight="1">
      <c r="A88" s="233"/>
      <c r="B88" s="234"/>
      <c r="C88" s="235"/>
      <c r="D88" s="235"/>
      <c r="E88" s="638"/>
      <c r="F88" s="237"/>
      <c r="G88" s="238"/>
      <c r="H88" s="239"/>
      <c r="I88" s="237"/>
      <c r="J88" s="238"/>
      <c r="K88" s="239"/>
      <c r="L88" s="240"/>
      <c r="T88" s="586"/>
      <c r="U88" s="586"/>
    </row>
    <row r="89" ht="22.5" hidden="1" customHeight="1">
      <c r="A89" s="233"/>
      <c r="B89" s="234"/>
      <c r="C89" s="235"/>
      <c r="D89" s="235"/>
      <c r="E89" s="638"/>
      <c r="F89" s="237"/>
      <c r="G89" s="238"/>
      <c r="H89" s="239"/>
      <c r="I89" s="237"/>
      <c r="J89" s="238"/>
      <c r="K89" s="239"/>
      <c r="L89" s="240"/>
      <c r="T89" s="586"/>
      <c r="U89" s="586"/>
    </row>
    <row r="90" ht="22.5" hidden="1" customHeight="1">
      <c r="A90" s="233"/>
      <c r="B90" s="234"/>
      <c r="C90" s="235"/>
      <c r="D90" s="235"/>
      <c r="E90" s="640"/>
      <c r="F90" s="237"/>
      <c r="G90" s="238"/>
      <c r="H90" s="239"/>
      <c r="I90" s="237"/>
      <c r="J90" s="238"/>
      <c r="K90" s="239"/>
      <c r="L90" s="240"/>
      <c r="O90" s="103"/>
      <c r="P90" s="248"/>
      <c r="Q90" s="249"/>
      <c r="T90" s="170"/>
      <c r="U90" s="170"/>
    </row>
    <row r="91" ht="22.5" hidden="1" customHeight="1">
      <c r="A91" s="233"/>
      <c r="B91" s="234"/>
      <c r="C91" s="235"/>
      <c r="D91" s="235"/>
      <c r="E91" s="638"/>
      <c r="F91" s="237"/>
      <c r="G91" s="238"/>
      <c r="H91" s="239"/>
      <c r="I91" s="237"/>
      <c r="J91" s="238"/>
      <c r="K91" s="239"/>
      <c r="L91" s="240"/>
      <c r="O91" s="103"/>
      <c r="P91" s="250"/>
      <c r="Q91" s="40"/>
      <c r="T91" s="170"/>
      <c r="U91" s="170"/>
    </row>
    <row r="92" ht="22.5" hidden="1" customHeight="1">
      <c r="A92" s="233"/>
      <c r="B92" s="234"/>
      <c r="C92" s="235"/>
      <c r="D92" s="235"/>
      <c r="E92" s="638"/>
      <c r="F92" s="237"/>
      <c r="G92" s="238"/>
      <c r="H92" s="239"/>
      <c r="I92" s="237"/>
      <c r="J92" s="238"/>
      <c r="K92" s="239"/>
      <c r="L92" s="240"/>
      <c r="O92" s="103"/>
      <c r="P92" s="250"/>
      <c r="Q92" s="40"/>
      <c r="T92" s="170"/>
      <c r="U92" s="170"/>
    </row>
    <row r="93" ht="22.5" hidden="1" customHeight="1">
      <c r="A93" s="233"/>
      <c r="B93" s="234"/>
      <c r="C93" s="235"/>
      <c r="D93" s="235"/>
      <c r="E93" s="640"/>
      <c r="F93" s="237"/>
      <c r="G93" s="238"/>
      <c r="H93" s="239"/>
      <c r="I93" s="237"/>
      <c r="J93" s="238"/>
      <c r="K93" s="239"/>
      <c r="L93" s="240"/>
      <c r="O93" s="103"/>
      <c r="P93" s="250"/>
      <c r="Q93" s="40"/>
      <c r="T93" s="170"/>
      <c r="U93" s="170"/>
    </row>
    <row r="94" ht="22.5" hidden="1" customHeight="1">
      <c r="A94" s="233"/>
      <c r="B94" s="234"/>
      <c r="C94" s="235"/>
      <c r="D94" s="235"/>
      <c r="E94" s="640"/>
      <c r="F94" s="237"/>
      <c r="G94" s="238"/>
      <c r="H94" s="239"/>
      <c r="I94" s="237"/>
      <c r="J94" s="238"/>
      <c r="K94" s="239"/>
      <c r="L94" s="240"/>
      <c r="O94" s="103"/>
      <c r="P94" s="250"/>
      <c r="Q94" s="40"/>
      <c r="T94" s="170"/>
      <c r="U94" s="170"/>
    </row>
    <row r="95" ht="22.5" hidden="1" customHeight="1">
      <c r="A95" s="233"/>
      <c r="B95" s="234"/>
      <c r="C95" s="235"/>
      <c r="D95" s="235"/>
      <c r="E95" s="638"/>
      <c r="F95" s="237"/>
      <c r="G95" s="238"/>
      <c r="H95" s="239"/>
      <c r="I95" s="237"/>
      <c r="J95" s="238"/>
      <c r="K95" s="239"/>
      <c r="L95" s="240"/>
    </row>
    <row r="96" ht="22.5" hidden="1" customHeight="1">
      <c r="A96" s="233"/>
      <c r="B96" s="234"/>
      <c r="C96" s="235"/>
      <c r="D96" s="235"/>
      <c r="E96" s="638"/>
      <c r="F96" s="237"/>
      <c r="G96" s="238"/>
      <c r="H96" s="239"/>
      <c r="I96" s="237"/>
      <c r="J96" s="238"/>
      <c r="K96" s="239"/>
      <c r="L96" s="240"/>
    </row>
    <row r="97" ht="22.5" hidden="1" customHeight="1">
      <c r="A97" s="233"/>
      <c r="B97" s="234"/>
      <c r="C97" s="235"/>
      <c r="D97" s="235"/>
      <c r="E97" s="638"/>
      <c r="F97" s="237"/>
      <c r="G97" s="238"/>
      <c r="H97" s="239"/>
      <c r="I97" s="237"/>
      <c r="J97" s="238"/>
      <c r="K97" s="239"/>
      <c r="L97" s="240"/>
      <c r="O97" s="103"/>
      <c r="P97" s="250"/>
      <c r="Q97" s="40"/>
    </row>
    <row r="98" ht="22.5" hidden="1" customHeight="1">
      <c r="A98" s="233"/>
      <c r="B98" s="234"/>
      <c r="C98" s="235"/>
      <c r="D98" s="235"/>
      <c r="E98" s="638"/>
      <c r="F98" s="237"/>
      <c r="G98" s="238"/>
      <c r="H98" s="239"/>
      <c r="I98" s="237"/>
      <c r="J98" s="238"/>
      <c r="K98" s="239"/>
      <c r="L98" s="240"/>
      <c r="O98" s="103"/>
      <c r="P98" s="250"/>
      <c r="Q98" s="40"/>
    </row>
    <row r="99" ht="22.5" hidden="1" customHeight="1">
      <c r="A99" s="233"/>
      <c r="B99" s="234"/>
      <c r="C99" s="235"/>
      <c r="D99" s="235"/>
      <c r="E99" s="638"/>
      <c r="F99" s="237"/>
      <c r="G99" s="238"/>
      <c r="H99" s="239"/>
      <c r="I99" s="237"/>
      <c r="J99" s="238"/>
      <c r="K99" s="239"/>
      <c r="L99" s="240"/>
      <c r="O99" s="103"/>
      <c r="P99" s="250"/>
      <c r="Q99" s="40"/>
    </row>
    <row r="100" ht="22.5" hidden="1" customHeight="1">
      <c r="A100" s="233"/>
      <c r="B100" s="234"/>
      <c r="C100" s="235"/>
      <c r="D100" s="235"/>
      <c r="E100" s="638"/>
      <c r="F100" s="237"/>
      <c r="G100" s="238"/>
      <c r="H100" s="239"/>
      <c r="I100" s="237"/>
      <c r="J100" s="238"/>
      <c r="K100" s="239"/>
      <c r="L100" s="240"/>
      <c r="O100" s="103"/>
      <c r="P100" s="250"/>
      <c r="Q100" s="40"/>
    </row>
    <row r="101" ht="22.5" hidden="1" customHeight="1">
      <c r="A101" s="233"/>
      <c r="B101" s="234"/>
      <c r="C101" s="235"/>
      <c r="D101" s="235"/>
      <c r="E101" s="640"/>
      <c r="F101" s="237"/>
      <c r="G101" s="238"/>
      <c r="H101" s="239"/>
      <c r="I101" s="237"/>
      <c r="J101" s="238"/>
      <c r="K101" s="239"/>
      <c r="L101" s="240"/>
      <c r="O101" s="103"/>
      <c r="P101" s="250"/>
      <c r="Q101" s="40"/>
    </row>
    <row r="102" ht="22.5" hidden="1" customHeight="1">
      <c r="A102" s="233"/>
      <c r="B102" s="234"/>
      <c r="C102" s="235"/>
      <c r="D102" s="235"/>
      <c r="E102" s="638"/>
      <c r="F102" s="237"/>
      <c r="G102" s="238"/>
      <c r="H102" s="239"/>
      <c r="I102" s="237"/>
      <c r="J102" s="238"/>
      <c r="K102" s="239"/>
      <c r="L102" s="240"/>
    </row>
    <row r="103" ht="22.5" hidden="1" customHeight="1">
      <c r="A103" s="233"/>
      <c r="B103" s="234"/>
      <c r="C103" s="235"/>
      <c r="D103" s="235"/>
      <c r="E103" s="661"/>
      <c r="F103" s="237"/>
      <c r="G103" s="238"/>
      <c r="H103" s="239"/>
      <c r="I103" s="237"/>
      <c r="J103" s="238"/>
      <c r="K103" s="239"/>
      <c r="L103" s="240"/>
    </row>
    <row r="104" ht="22.5" hidden="1" customHeight="1">
      <c r="A104" s="233"/>
      <c r="B104" s="234"/>
      <c r="C104" s="235"/>
      <c r="D104" s="235"/>
      <c r="E104" s="661"/>
      <c r="F104" s="237"/>
      <c r="G104" s="238"/>
      <c r="H104" s="239"/>
      <c r="I104" s="237"/>
      <c r="J104" s="238"/>
      <c r="K104" s="239"/>
      <c r="L104" s="240"/>
    </row>
    <row r="105" ht="22.5" hidden="1" customHeight="1">
      <c r="A105" s="233"/>
      <c r="B105" s="234"/>
      <c r="C105" s="235"/>
      <c r="D105" s="235"/>
      <c r="E105" s="661"/>
      <c r="F105" s="237"/>
      <c r="G105" s="238"/>
      <c r="H105" s="239"/>
      <c r="I105" s="237"/>
      <c r="J105" s="238"/>
      <c r="K105" s="239"/>
      <c r="L105" s="240"/>
    </row>
    <row r="106" ht="22.5" hidden="1" customHeight="1">
      <c r="A106" s="233"/>
      <c r="B106" s="234"/>
      <c r="C106" s="235"/>
      <c r="D106" s="235"/>
      <c r="E106" s="638"/>
      <c r="F106" s="237"/>
      <c r="G106" s="238"/>
      <c r="H106" s="239"/>
      <c r="I106" s="237"/>
      <c r="J106" s="238"/>
      <c r="K106" s="239"/>
      <c r="L106" s="240"/>
    </row>
    <row r="107" ht="22.5" hidden="1" customHeight="1">
      <c r="A107" s="233"/>
      <c r="B107" s="234"/>
      <c r="C107" s="235"/>
      <c r="D107" s="235"/>
      <c r="E107" s="638"/>
      <c r="F107" s="237"/>
      <c r="G107" s="238"/>
      <c r="H107" s="239"/>
      <c r="I107" s="237"/>
      <c r="J107" s="238"/>
      <c r="K107" s="239"/>
      <c r="L107" s="240"/>
      <c r="U107" s="79"/>
      <c r="V107" s="79"/>
    </row>
    <row r="108" ht="22.5" hidden="1" customHeight="1">
      <c r="A108" s="233"/>
      <c r="B108" s="234"/>
      <c r="C108" s="235"/>
      <c r="D108" s="235"/>
      <c r="E108" s="640"/>
      <c r="F108" s="237"/>
      <c r="G108" s="238"/>
      <c r="H108" s="239"/>
      <c r="I108" s="237"/>
      <c r="J108" s="238"/>
      <c r="K108" s="239"/>
      <c r="L108" s="240"/>
      <c r="U108" s="79"/>
      <c r="V108" s="79"/>
    </row>
    <row r="109"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U109" s="251"/>
      <c r="V109" s="79"/>
    </row>
    <row r="110"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U110" s="252"/>
      <c r="V110" s="253"/>
    </row>
    <row r="111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U111" s="252"/>
      <c r="V111" s="253"/>
    </row>
    <row r="112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U112" s="252"/>
      <c r="V112" s="253"/>
    </row>
    <row r="113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U113" s="252"/>
      <c r="V113" s="253"/>
    </row>
    <row r="114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U114" s="252"/>
      <c r="V114" s="253"/>
    </row>
    <row r="115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</row>
    <row r="116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</row>
    <row r="117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U117" s="254"/>
      <c r="V117" s="255"/>
    </row>
    <row r="118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U118" s="254"/>
      <c r="V118" s="255"/>
    </row>
    <row r="119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U119" s="254"/>
      <c r="V119" s="255"/>
    </row>
    <row r="120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U120" s="254"/>
      <c r="V120" s="255"/>
    </row>
    <row r="121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U121" s="254"/>
      <c r="V121" s="255"/>
    </row>
    <row r="12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U125" s="254"/>
      <c r="V125" s="255"/>
    </row>
    <row r="126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U126" s="254"/>
      <c r="V126" s="255"/>
    </row>
    <row r="127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U127" s="254"/>
      <c r="V127" s="255"/>
    </row>
    <row r="128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U128" s="254"/>
      <c r="V128" s="255"/>
    </row>
    <row r="129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U129" s="254"/>
      <c r="V129" s="255"/>
    </row>
    <row r="130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</row>
    <row r="137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</row>
    <row r="138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</row>
    <row r="139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</row>
    <row r="140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</row>
    <row r="141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</row>
    <row r="143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</row>
    <row r="144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</row>
    <row r="145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</row>
    <row r="146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</row>
    <row r="147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</row>
    <row r="148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</row>
    <row r="149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</row>
    <row r="151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</row>
    <row r="15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</row>
    <row r="153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</row>
    <row r="154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</row>
    <row r="155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</row>
    <row r="156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</row>
    <row r="157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</row>
    <row r="158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  <row r="159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</row>
    <row r="160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</row>
    <row r="161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</row>
    <row r="16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</row>
    <row r="163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</row>
    <row r="164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</row>
    <row r="166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</row>
    <row r="167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</row>
    <row r="168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</row>
    <row r="169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</row>
    <row r="170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</row>
    <row r="171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</row>
    <row r="17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  <row r="925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</row>
    <row r="926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</row>
    <row r="927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</row>
    <row r="928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</row>
    <row r="929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</row>
    <row r="930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</row>
    <row r="931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</row>
    <row r="93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</row>
    <row r="933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</row>
    <row r="934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</row>
    <row r="935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</row>
    <row r="936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</row>
    <row r="938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</row>
    <row r="939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</row>
    <row r="940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</row>
    <row r="941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</row>
    <row r="94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</row>
    <row r="943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</row>
    <row r="944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</row>
    <row r="945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</row>
    <row r="946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</row>
    <row r="947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</row>
    <row r="948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</row>
    <row r="949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</row>
    <row r="950"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</row>
    <row r="951"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</row>
  </sheetData>
  <mergeCells count="3">
    <mergeCell ref="N1:N23"/>
    <mergeCell ref="N26:N45"/>
    <mergeCell ref="N47:N66"/>
  </mergeCells>
  <dataValidations>
    <dataValidation allowBlank="1" showDropDown="1" sqref="E2:E108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56" t="s">
        <v>7</v>
      </c>
      <c r="J1" s="1" t="s">
        <v>8</v>
      </c>
      <c r="K1" s="264" t="s">
        <v>9</v>
      </c>
      <c r="L1" s="147" t="s">
        <v>10</v>
      </c>
    </row>
    <row r="2" ht="22.5" hidden="1" customHeight="1">
      <c r="A2" s="5" t="s">
        <v>11</v>
      </c>
      <c r="B2" s="5" t="s">
        <v>15</v>
      </c>
      <c r="C2" s="351">
        <v>400.0</v>
      </c>
      <c r="D2" s="506">
        <v>2.0</v>
      </c>
      <c r="E2" s="596">
        <v>0.005</v>
      </c>
      <c r="F2" s="354" t="s">
        <v>1478</v>
      </c>
      <c r="G2" s="418">
        <v>8.0</v>
      </c>
      <c r="H2" s="598">
        <v>0.02</v>
      </c>
      <c r="I2" s="357" t="s">
        <v>1479</v>
      </c>
      <c r="J2" s="388">
        <v>30.0</v>
      </c>
      <c r="K2" s="600">
        <v>0.0822</v>
      </c>
      <c r="L2" s="127">
        <f>100-7.63</f>
        <v>92.37</v>
      </c>
    </row>
    <row r="3" ht="22.5" hidden="1" customHeight="1">
      <c r="A3" s="5" t="s">
        <v>11</v>
      </c>
      <c r="B3" s="5" t="s">
        <v>13</v>
      </c>
      <c r="C3" s="351">
        <v>1239.0</v>
      </c>
      <c r="D3" s="351" t="s">
        <v>17</v>
      </c>
      <c r="E3" s="603" t="s">
        <v>17</v>
      </c>
      <c r="F3" s="354" t="s">
        <v>17</v>
      </c>
      <c r="G3" s="365">
        <v>23.0</v>
      </c>
      <c r="H3" s="604">
        <v>0.0186</v>
      </c>
      <c r="I3" s="357" t="s">
        <v>1480</v>
      </c>
      <c r="J3" s="605">
        <v>100.0</v>
      </c>
      <c r="K3" s="412">
        <v>0.0872</v>
      </c>
      <c r="L3" s="127">
        <f>100-2.89</f>
        <v>97.11</v>
      </c>
    </row>
    <row r="4" ht="22.5" hidden="1" customHeight="1">
      <c r="A4" s="5" t="s">
        <v>11</v>
      </c>
      <c r="B4" s="5" t="s">
        <v>27</v>
      </c>
      <c r="C4" s="351">
        <v>602.0</v>
      </c>
      <c r="D4" s="351" t="s">
        <v>17</v>
      </c>
      <c r="E4" s="603" t="s">
        <v>17</v>
      </c>
      <c r="F4" s="354" t="s">
        <v>17</v>
      </c>
      <c r="G4" s="498">
        <v>7.0</v>
      </c>
      <c r="H4" s="604">
        <v>0.0116</v>
      </c>
      <c r="I4" s="357" t="s">
        <v>1481</v>
      </c>
      <c r="J4" s="607">
        <v>52.0</v>
      </c>
      <c r="K4" s="608">
        <v>0.0934</v>
      </c>
      <c r="L4" s="13">
        <f>100-1.57</f>
        <v>98.43</v>
      </c>
    </row>
    <row r="5" ht="22.5" hidden="1" customHeight="1">
      <c r="A5" s="5" t="s">
        <v>11</v>
      </c>
      <c r="B5" s="5" t="s">
        <v>33</v>
      </c>
      <c r="C5" s="351">
        <v>709.0</v>
      </c>
      <c r="D5" s="351" t="s">
        <v>17</v>
      </c>
      <c r="E5" s="603" t="s">
        <v>17</v>
      </c>
      <c r="F5" s="354" t="s">
        <v>17</v>
      </c>
      <c r="G5" s="394">
        <v>12.0</v>
      </c>
      <c r="H5" s="604">
        <v>0.0169</v>
      </c>
      <c r="I5" s="357" t="s">
        <v>1482</v>
      </c>
      <c r="J5" s="429">
        <v>65.0</v>
      </c>
      <c r="K5" s="611">
        <v>0.1017</v>
      </c>
      <c r="L5" s="127">
        <f>100-2.81</f>
        <v>97.19</v>
      </c>
    </row>
    <row r="6" ht="22.5" hidden="1" customHeight="1">
      <c r="A6" s="5" t="s">
        <v>11</v>
      </c>
      <c r="B6" s="5" t="s">
        <v>918</v>
      </c>
      <c r="C6" s="351">
        <v>165.0</v>
      </c>
      <c r="D6" s="351" t="s">
        <v>17</v>
      </c>
      <c r="E6" s="603" t="s">
        <v>17</v>
      </c>
      <c r="F6" s="354" t="s">
        <v>17</v>
      </c>
      <c r="G6" s="494">
        <v>4.0</v>
      </c>
      <c r="H6" s="425">
        <v>0.0242</v>
      </c>
      <c r="I6" s="357" t="s">
        <v>1483</v>
      </c>
      <c r="J6" s="613">
        <v>3.0</v>
      </c>
      <c r="K6" s="604">
        <v>0.0189</v>
      </c>
      <c r="L6" s="64">
        <v>100.0</v>
      </c>
    </row>
    <row r="7" ht="22.5" hidden="1" customHeight="1">
      <c r="A7" s="5" t="s">
        <v>11</v>
      </c>
      <c r="B7" s="5" t="s">
        <v>19</v>
      </c>
      <c r="C7" s="351">
        <v>1100.0</v>
      </c>
      <c r="D7" s="506">
        <v>2.0</v>
      </c>
      <c r="E7" s="23">
        <v>0.0018</v>
      </c>
      <c r="F7" s="354" t="s">
        <v>1484</v>
      </c>
      <c r="G7" s="615">
        <v>14.0</v>
      </c>
      <c r="H7" s="604">
        <v>0.0127</v>
      </c>
      <c r="I7" s="357" t="s">
        <v>1487</v>
      </c>
      <c r="J7" s="365">
        <v>111.0</v>
      </c>
      <c r="K7" s="617">
        <v>0.1065</v>
      </c>
      <c r="L7" s="127">
        <f>100-4.82</f>
        <v>95.18</v>
      </c>
    </row>
    <row r="8" ht="22.5" hidden="1" customHeight="1">
      <c r="A8" s="5" t="s">
        <v>11</v>
      </c>
      <c r="B8" s="5" t="s">
        <v>46</v>
      </c>
      <c r="C8" s="351">
        <v>70.0</v>
      </c>
      <c r="D8" s="351" t="s">
        <v>17</v>
      </c>
      <c r="E8" s="603" t="s">
        <v>17</v>
      </c>
      <c r="F8" s="354" t="s">
        <v>17</v>
      </c>
      <c r="G8" s="380">
        <v>2.0</v>
      </c>
      <c r="H8" s="618">
        <v>0.0286</v>
      </c>
      <c r="I8" s="357" t="s">
        <v>1490</v>
      </c>
      <c r="J8" s="619">
        <v>7.0</v>
      </c>
      <c r="K8" s="419">
        <v>0.1094</v>
      </c>
      <c r="L8" s="13">
        <f>100-30.33</f>
        <v>69.67</v>
      </c>
    </row>
    <row r="9" ht="22.5" hidden="1" customHeight="1">
      <c r="A9" s="5" t="s">
        <v>11</v>
      </c>
      <c r="B9" s="5" t="s">
        <v>50</v>
      </c>
      <c r="C9" s="351">
        <v>442.0</v>
      </c>
      <c r="D9" s="22">
        <v>1.0</v>
      </c>
      <c r="E9" s="620">
        <v>0.0023</v>
      </c>
      <c r="F9" s="354" t="s">
        <v>1491</v>
      </c>
      <c r="G9" s="418">
        <v>8.0</v>
      </c>
      <c r="H9" s="604">
        <v>0.0181</v>
      </c>
      <c r="I9" s="357" t="s">
        <v>1492</v>
      </c>
      <c r="J9" s="513">
        <v>29.0</v>
      </c>
      <c r="K9" s="532">
        <v>0.0786</v>
      </c>
      <c r="L9" s="13">
        <f>100-2.43</f>
        <v>97.57</v>
      </c>
    </row>
    <row r="10" ht="22.5" hidden="1" customHeight="1">
      <c r="A10" s="5" t="s">
        <v>11</v>
      </c>
      <c r="B10" s="5" t="s">
        <v>58</v>
      </c>
      <c r="C10" s="351">
        <v>529.0</v>
      </c>
      <c r="D10" s="351" t="s">
        <v>17</v>
      </c>
      <c r="E10" s="351" t="s">
        <v>17</v>
      </c>
      <c r="F10" s="354" t="s">
        <v>17</v>
      </c>
      <c r="G10" s="623">
        <v>15.0</v>
      </c>
      <c r="H10" s="624">
        <v>0.0284</v>
      </c>
      <c r="I10" s="357" t="s">
        <v>1493</v>
      </c>
      <c r="J10" s="625">
        <v>22.0</v>
      </c>
      <c r="K10" s="626">
        <v>0.0431</v>
      </c>
      <c r="L10" s="13">
        <f>100-1.44</f>
        <v>98.56</v>
      </c>
    </row>
    <row r="11" ht="22.5" hidden="1" customHeight="1">
      <c r="A11" s="5" t="s">
        <v>11</v>
      </c>
      <c r="B11" s="5" t="s">
        <v>64</v>
      </c>
      <c r="C11" s="351">
        <v>361.0</v>
      </c>
      <c r="D11" s="22">
        <v>1.0</v>
      </c>
      <c r="E11" s="627">
        <v>0.0028</v>
      </c>
      <c r="F11" s="354" t="s">
        <v>915</v>
      </c>
      <c r="G11" s="613">
        <v>2.0</v>
      </c>
      <c r="H11" s="604">
        <v>0.0055</v>
      </c>
      <c r="I11" s="357" t="s">
        <v>1494</v>
      </c>
      <c r="J11" s="628">
        <v>19.0</v>
      </c>
      <c r="K11" s="630">
        <v>0.0564</v>
      </c>
      <c r="L11" s="13">
        <f>100</f>
        <v>100</v>
      </c>
    </row>
    <row r="12" ht="22.5" hidden="1" customHeight="1">
      <c r="A12" s="5" t="s">
        <v>11</v>
      </c>
      <c r="B12" s="5" t="s">
        <v>71</v>
      </c>
      <c r="C12" s="351">
        <v>335.0</v>
      </c>
      <c r="D12" s="351" t="s">
        <v>17</v>
      </c>
      <c r="E12" s="603" t="s">
        <v>17</v>
      </c>
      <c r="F12" s="354" t="s">
        <v>17</v>
      </c>
      <c r="G12" s="498">
        <v>7.0</v>
      </c>
      <c r="H12" s="632">
        <v>0.0209</v>
      </c>
      <c r="I12" s="357" t="s">
        <v>1495</v>
      </c>
      <c r="J12" s="634">
        <v>71.0</v>
      </c>
      <c r="K12" s="474">
        <v>0.2313</v>
      </c>
      <c r="L12" s="127">
        <f>100-0.73</f>
        <v>99.27</v>
      </c>
    </row>
    <row r="13" ht="22.5" hidden="1" customHeight="1">
      <c r="A13" s="5" t="s">
        <v>11</v>
      </c>
      <c r="B13" s="5" t="s">
        <v>77</v>
      </c>
      <c r="C13" s="351">
        <v>407.0</v>
      </c>
      <c r="D13" s="506">
        <v>2.0</v>
      </c>
      <c r="E13" s="635">
        <v>0.0049</v>
      </c>
      <c r="F13" s="354" t="s">
        <v>1496</v>
      </c>
      <c r="G13" s="613">
        <v>7.0</v>
      </c>
      <c r="H13" s="604">
        <v>0.0172</v>
      </c>
      <c r="I13" s="357" t="s">
        <v>1497</v>
      </c>
      <c r="J13" s="383">
        <v>34.0</v>
      </c>
      <c r="K13" s="517">
        <v>0.0888</v>
      </c>
      <c r="L13" s="127">
        <f>100-5.12</f>
        <v>94.88</v>
      </c>
    </row>
    <row r="14" ht="22.5" hidden="1" customHeight="1">
      <c r="A14" s="5" t="s">
        <v>11</v>
      </c>
      <c r="B14" s="5" t="s">
        <v>82</v>
      </c>
      <c r="C14" s="351">
        <v>399.0</v>
      </c>
      <c r="D14" s="351" t="s">
        <v>17</v>
      </c>
      <c r="E14" s="603" t="s">
        <v>17</v>
      </c>
      <c r="F14" s="354" t="s">
        <v>17</v>
      </c>
      <c r="G14" s="613">
        <v>4.0</v>
      </c>
      <c r="H14" s="604">
        <v>0.01</v>
      </c>
      <c r="I14" s="357" t="s">
        <v>1498</v>
      </c>
      <c r="J14" s="628">
        <v>19.0</v>
      </c>
      <c r="K14" s="637">
        <v>0.0511</v>
      </c>
      <c r="L14" s="127">
        <f>100-3.31</f>
        <v>96.69</v>
      </c>
    </row>
    <row r="15" ht="22.5" hidden="1" customHeight="1">
      <c r="A15" s="5" t="s">
        <v>11</v>
      </c>
      <c r="B15" s="5" t="s">
        <v>90</v>
      </c>
      <c r="C15" s="351">
        <v>436.0</v>
      </c>
      <c r="D15" s="351" t="s">
        <v>17</v>
      </c>
      <c r="E15" s="603" t="s">
        <v>17</v>
      </c>
      <c r="F15" s="354" t="s">
        <v>17</v>
      </c>
      <c r="G15" s="613">
        <v>4.0</v>
      </c>
      <c r="H15" s="604">
        <v>0.0092</v>
      </c>
      <c r="I15" s="357" t="s">
        <v>1499</v>
      </c>
      <c r="J15" s="639">
        <v>25.0</v>
      </c>
      <c r="K15" s="482">
        <v>0.0607</v>
      </c>
      <c r="L15" s="127">
        <f>100-1.74</f>
        <v>98.26</v>
      </c>
    </row>
    <row r="16" ht="22.5" hidden="1" customHeight="1">
      <c r="A16" s="5" t="s">
        <v>11</v>
      </c>
      <c r="B16" s="5" t="s">
        <v>94</v>
      </c>
      <c r="C16" s="351">
        <v>368.0</v>
      </c>
      <c r="D16" s="351" t="s">
        <v>17</v>
      </c>
      <c r="E16" s="603" t="s">
        <v>17</v>
      </c>
      <c r="F16" s="354" t="s">
        <v>17</v>
      </c>
      <c r="G16" s="498">
        <v>7.0</v>
      </c>
      <c r="H16" s="403">
        <v>0.0217</v>
      </c>
      <c r="I16" s="357" t="s">
        <v>1500</v>
      </c>
      <c r="J16" s="410">
        <v>16.0</v>
      </c>
      <c r="K16" s="379">
        <v>0.0485</v>
      </c>
      <c r="L16" s="13">
        <v>100.0</v>
      </c>
    </row>
    <row r="17" ht="22.5" hidden="1" customHeight="1">
      <c r="A17" s="5" t="s">
        <v>11</v>
      </c>
      <c r="B17" s="5" t="s">
        <v>39</v>
      </c>
      <c r="C17" s="351">
        <v>816.0</v>
      </c>
      <c r="D17" s="351" t="s">
        <v>17</v>
      </c>
      <c r="E17" s="603" t="s">
        <v>17</v>
      </c>
      <c r="F17" s="354" t="s">
        <v>17</v>
      </c>
      <c r="G17" s="641">
        <v>19.0</v>
      </c>
      <c r="H17" s="642">
        <v>0.0233</v>
      </c>
      <c r="I17" s="357" t="s">
        <v>1501</v>
      </c>
      <c r="J17" s="643">
        <v>78.0</v>
      </c>
      <c r="K17" s="530">
        <v>0.1057</v>
      </c>
      <c r="L17" s="13">
        <f>100-5.36</f>
        <v>94.64</v>
      </c>
    </row>
    <row r="18" ht="22.5" hidden="1" customHeight="1">
      <c r="A18" s="5" t="s">
        <v>11</v>
      </c>
      <c r="B18" s="5" t="s">
        <v>104</v>
      </c>
      <c r="C18" s="340">
        <v>161.0</v>
      </c>
      <c r="D18" s="341">
        <v>1.0</v>
      </c>
      <c r="E18" s="644">
        <v>0.0062</v>
      </c>
      <c r="F18" s="553" t="s">
        <v>663</v>
      </c>
      <c r="G18" s="645">
        <v>1.0</v>
      </c>
      <c r="H18" s="646">
        <v>0.0062</v>
      </c>
      <c r="I18" s="556" t="s">
        <v>1502</v>
      </c>
      <c r="J18" s="647">
        <v>0.0</v>
      </c>
      <c r="K18" s="647">
        <v>0.0</v>
      </c>
      <c r="L18" s="13">
        <v>100.0</v>
      </c>
    </row>
    <row r="19" ht="22.5" hidden="1" customHeight="1">
      <c r="A19" s="5" t="s">
        <v>11</v>
      </c>
      <c r="B19" s="5" t="s">
        <v>59</v>
      </c>
      <c r="C19" s="351">
        <v>692.0</v>
      </c>
      <c r="D19" s="351" t="s">
        <v>17</v>
      </c>
      <c r="E19" s="603" t="s">
        <v>17</v>
      </c>
      <c r="F19" s="354" t="s">
        <v>17</v>
      </c>
      <c r="G19" s="623">
        <v>15.0</v>
      </c>
      <c r="H19" s="648">
        <v>0.0231</v>
      </c>
      <c r="I19" s="357" t="s">
        <v>1503</v>
      </c>
      <c r="J19" s="649">
        <v>32.0</v>
      </c>
      <c r="K19" s="379">
        <v>0.049</v>
      </c>
      <c r="L19" s="13">
        <f>100-2.4</f>
        <v>97.6</v>
      </c>
    </row>
    <row r="20" ht="22.5" hidden="1" customHeight="1">
      <c r="A20" s="5" t="s">
        <v>11</v>
      </c>
      <c r="B20" s="5" t="s">
        <v>114</v>
      </c>
      <c r="C20" s="351">
        <v>366.0</v>
      </c>
      <c r="D20" s="351" t="s">
        <v>17</v>
      </c>
      <c r="E20" s="351" t="s">
        <v>17</v>
      </c>
      <c r="F20" s="354" t="s">
        <v>17</v>
      </c>
      <c r="G20" s="613">
        <v>6.0</v>
      </c>
      <c r="H20" s="604">
        <v>0.0164</v>
      </c>
      <c r="I20" s="357" t="s">
        <v>1504</v>
      </c>
      <c r="J20" s="650">
        <v>45.0</v>
      </c>
      <c r="K20" s="651">
        <v>0.1324</v>
      </c>
      <c r="L20" s="127">
        <f>100-3.66</f>
        <v>96.34</v>
      </c>
    </row>
    <row r="21" ht="22.5" hidden="1" customHeight="1">
      <c r="A21" s="5" t="s">
        <v>11</v>
      </c>
      <c r="B21" s="5" t="s">
        <v>119</v>
      </c>
      <c r="C21" s="351">
        <v>303.0</v>
      </c>
      <c r="D21" s="351" t="s">
        <v>17</v>
      </c>
      <c r="E21" s="351" t="s">
        <v>17</v>
      </c>
      <c r="F21" s="354" t="s">
        <v>17</v>
      </c>
      <c r="G21" s="613">
        <v>4.0</v>
      </c>
      <c r="H21" s="604">
        <v>0.0132</v>
      </c>
      <c r="I21" s="357" t="s">
        <v>1505</v>
      </c>
      <c r="J21" s="628">
        <v>19.0</v>
      </c>
      <c r="K21" s="510">
        <v>0.0655</v>
      </c>
      <c r="L21" s="127">
        <f>100-4.59</f>
        <v>95.41</v>
      </c>
    </row>
    <row r="22" ht="22.5" hidden="1" customHeight="1">
      <c r="A22" s="5" t="s">
        <v>11</v>
      </c>
      <c r="B22" s="5" t="s">
        <v>126</v>
      </c>
      <c r="C22" s="351">
        <v>288.0</v>
      </c>
      <c r="D22" s="22">
        <v>1.0</v>
      </c>
      <c r="E22" s="412">
        <v>0.0035</v>
      </c>
      <c r="F22" s="354" t="s">
        <v>915</v>
      </c>
      <c r="G22" s="652">
        <v>13.0</v>
      </c>
      <c r="H22" s="653">
        <v>0.0451</v>
      </c>
      <c r="I22" s="357" t="s">
        <v>1506</v>
      </c>
      <c r="J22" s="431">
        <v>27.0</v>
      </c>
      <c r="K22" s="654">
        <v>0.1023</v>
      </c>
      <c r="L22" s="127">
        <f>100-4.15</f>
        <v>95.85</v>
      </c>
    </row>
    <row r="23" ht="22.5" hidden="1" customHeight="1">
      <c r="A23" s="5" t="s">
        <v>11</v>
      </c>
      <c r="B23" s="5" t="s">
        <v>136</v>
      </c>
      <c r="C23" s="351">
        <v>395.0</v>
      </c>
      <c r="D23" s="351" t="s">
        <v>17</v>
      </c>
      <c r="E23" s="603" t="s">
        <v>17</v>
      </c>
      <c r="F23" s="354" t="s">
        <v>17</v>
      </c>
      <c r="G23" s="613">
        <v>3.0</v>
      </c>
      <c r="H23" s="604">
        <v>0.0076</v>
      </c>
      <c r="I23" s="357" t="s">
        <v>1507</v>
      </c>
      <c r="J23" s="383">
        <v>34.0</v>
      </c>
      <c r="K23" s="655">
        <v>0.0909</v>
      </c>
      <c r="L23" s="127">
        <f>100-2.5</f>
        <v>97.5</v>
      </c>
    </row>
    <row r="24" ht="22.5" hidden="1" customHeight="1">
      <c r="A24" s="5" t="s">
        <v>11</v>
      </c>
      <c r="B24" s="5" t="s">
        <v>72</v>
      </c>
      <c r="C24" s="351">
        <v>331.0</v>
      </c>
      <c r="D24" s="351" t="s">
        <v>17</v>
      </c>
      <c r="E24" s="603" t="s">
        <v>17</v>
      </c>
      <c r="F24" s="354" t="s">
        <v>17</v>
      </c>
      <c r="G24" s="613">
        <v>1.0</v>
      </c>
      <c r="H24" s="604">
        <v>0.003</v>
      </c>
      <c r="I24" s="357" t="s">
        <v>1508</v>
      </c>
      <c r="J24" s="656">
        <v>12.0</v>
      </c>
      <c r="K24" s="657">
        <v>0.0382</v>
      </c>
      <c r="L24" s="13">
        <v>100.0</v>
      </c>
    </row>
    <row r="25" ht="22.5" hidden="1" customHeight="1">
      <c r="A25" s="5" t="s">
        <v>11</v>
      </c>
      <c r="B25" s="5" t="s">
        <v>145</v>
      </c>
      <c r="C25" s="351">
        <v>286.0</v>
      </c>
      <c r="D25" s="506">
        <v>2.0</v>
      </c>
      <c r="E25" s="474">
        <v>0.0069</v>
      </c>
      <c r="F25" s="354" t="s">
        <v>1509</v>
      </c>
      <c r="G25" s="498">
        <v>7.0</v>
      </c>
      <c r="H25" s="524">
        <v>0.0245</v>
      </c>
      <c r="I25" s="357" t="s">
        <v>1510</v>
      </c>
      <c r="J25" s="513">
        <v>29.0</v>
      </c>
      <c r="K25" s="419">
        <v>0.1094</v>
      </c>
      <c r="L25" s="127">
        <f>100-6.88</f>
        <v>93.12</v>
      </c>
    </row>
    <row r="26" ht="22.5" hidden="1" customHeight="1">
      <c r="A26" s="5" t="s">
        <v>11</v>
      </c>
      <c r="B26" s="5" t="s">
        <v>85</v>
      </c>
      <c r="C26" s="351">
        <v>416.0</v>
      </c>
      <c r="D26" s="351" t="s">
        <v>17</v>
      </c>
      <c r="E26" s="603" t="s">
        <v>17</v>
      </c>
      <c r="F26" s="354" t="s">
        <v>17</v>
      </c>
      <c r="G26" s="498">
        <v>7.0</v>
      </c>
      <c r="H26" s="604">
        <v>0.0168</v>
      </c>
      <c r="I26" s="357" t="s">
        <v>1511</v>
      </c>
      <c r="J26" s="658">
        <v>40.0</v>
      </c>
      <c r="K26" s="659">
        <v>0.1008</v>
      </c>
      <c r="L26" s="127">
        <f>100-1.91</f>
        <v>98.09</v>
      </c>
    </row>
    <row r="27" ht="22.5" hidden="1" customHeight="1">
      <c r="A27" s="5" t="s">
        <v>11</v>
      </c>
      <c r="B27" s="35" t="s">
        <v>79</v>
      </c>
      <c r="C27" s="351">
        <v>527.0</v>
      </c>
      <c r="D27" s="351" t="s">
        <v>17</v>
      </c>
      <c r="E27" s="603" t="s">
        <v>17</v>
      </c>
      <c r="F27" s="354" t="s">
        <v>17</v>
      </c>
      <c r="G27" s="418">
        <v>8.0</v>
      </c>
      <c r="H27" s="604">
        <v>0.0152</v>
      </c>
      <c r="I27" s="357" t="s">
        <v>1512</v>
      </c>
      <c r="J27" s="660">
        <v>50.0</v>
      </c>
      <c r="K27" s="662">
        <v>0.0971</v>
      </c>
      <c r="L27" s="127">
        <f>100-2.94</f>
        <v>97.06</v>
      </c>
    </row>
    <row r="28" ht="22.5" hidden="1" customHeight="1">
      <c r="A28" s="5" t="s">
        <v>11</v>
      </c>
      <c r="B28" s="5" t="s">
        <v>109</v>
      </c>
      <c r="C28" s="351">
        <v>457.0</v>
      </c>
      <c r="D28" s="351" t="s">
        <v>17</v>
      </c>
      <c r="E28" s="603" t="s">
        <v>17</v>
      </c>
      <c r="F28" s="354" t="s">
        <v>17</v>
      </c>
      <c r="G28" s="494">
        <v>4.0</v>
      </c>
      <c r="H28" s="604">
        <v>0.0088</v>
      </c>
      <c r="I28" s="357" t="s">
        <v>1513</v>
      </c>
      <c r="J28" s="663">
        <v>15.0</v>
      </c>
      <c r="K28" s="664">
        <v>0.0347</v>
      </c>
      <c r="L28" s="127">
        <f>100-0.75</f>
        <v>99.25</v>
      </c>
    </row>
    <row r="29" ht="22.5" hidden="1" customHeight="1">
      <c r="A29" s="5" t="s">
        <v>11</v>
      </c>
      <c r="B29" s="5" t="s">
        <v>49</v>
      </c>
      <c r="C29" s="351">
        <v>576.0</v>
      </c>
      <c r="D29" s="351" t="s">
        <v>17</v>
      </c>
      <c r="E29" s="603" t="s">
        <v>17</v>
      </c>
      <c r="F29" s="354" t="s">
        <v>17</v>
      </c>
      <c r="G29" s="607">
        <v>11.0</v>
      </c>
      <c r="H29" s="604">
        <v>0.0191</v>
      </c>
      <c r="I29" s="357" t="s">
        <v>1514</v>
      </c>
      <c r="J29" s="513">
        <v>29.0</v>
      </c>
      <c r="K29" s="432">
        <v>0.0527</v>
      </c>
      <c r="L29" s="13">
        <f>100</f>
        <v>100</v>
      </c>
    </row>
    <row r="30" ht="22.5" hidden="1" customHeight="1">
      <c r="A30" s="5" t="s">
        <v>11</v>
      </c>
      <c r="B30" s="5" t="s">
        <v>115</v>
      </c>
      <c r="C30" s="351">
        <v>444.0</v>
      </c>
      <c r="D30" s="351" t="s">
        <v>17</v>
      </c>
      <c r="E30" s="351" t="s">
        <v>17</v>
      </c>
      <c r="F30" s="354" t="s">
        <v>17</v>
      </c>
      <c r="G30" s="494">
        <v>4.0</v>
      </c>
      <c r="H30" s="604">
        <v>0.009</v>
      </c>
      <c r="I30" s="357" t="s">
        <v>1515</v>
      </c>
      <c r="J30" s="639">
        <v>25.0</v>
      </c>
      <c r="K30" s="482">
        <v>0.0608</v>
      </c>
      <c r="L30" s="127">
        <f>100-0.7</f>
        <v>99.3</v>
      </c>
    </row>
    <row r="31" ht="22.5" hidden="1" customHeight="1">
      <c r="A31" s="5" t="s">
        <v>11</v>
      </c>
      <c r="B31" s="5" t="s">
        <v>45</v>
      </c>
      <c r="C31" s="351">
        <v>739.0</v>
      </c>
      <c r="D31" s="351" t="s">
        <v>17</v>
      </c>
      <c r="E31" s="351" t="s">
        <v>17</v>
      </c>
      <c r="F31" s="354" t="s">
        <v>17</v>
      </c>
      <c r="G31" s="471">
        <v>10.0</v>
      </c>
      <c r="H31" s="604">
        <v>0.0135</v>
      </c>
      <c r="I31" s="357" t="s">
        <v>1516</v>
      </c>
      <c r="J31" s="665">
        <v>31.0</v>
      </c>
      <c r="K31" s="666">
        <v>0.0447</v>
      </c>
      <c r="L31" s="13">
        <f>100-2.69</f>
        <v>97.31</v>
      </c>
    </row>
    <row r="32" ht="22.5" hidden="1" customHeight="1">
      <c r="A32" s="5" t="s">
        <v>11</v>
      </c>
      <c r="B32" s="5" t="s">
        <v>170</v>
      </c>
      <c r="C32" s="351">
        <v>310.0</v>
      </c>
      <c r="D32" s="351" t="s">
        <v>17</v>
      </c>
      <c r="E32" s="351" t="s">
        <v>17</v>
      </c>
      <c r="F32" s="354" t="s">
        <v>17</v>
      </c>
      <c r="G32" s="667">
        <v>5.0</v>
      </c>
      <c r="H32" s="604">
        <v>0.0161</v>
      </c>
      <c r="I32" s="357" t="s">
        <v>1517</v>
      </c>
      <c r="J32" s="650">
        <v>45.0</v>
      </c>
      <c r="K32" s="668">
        <v>0.1536</v>
      </c>
      <c r="L32" s="127">
        <f>100-2.19</f>
        <v>97.81</v>
      </c>
    </row>
    <row r="33" ht="22.5" hidden="1" customHeight="1">
      <c r="A33" s="5" t="s">
        <v>11</v>
      </c>
      <c r="B33" s="5" t="s">
        <v>123</v>
      </c>
      <c r="C33" s="351">
        <v>430.0</v>
      </c>
      <c r="D33" s="351" t="s">
        <v>17</v>
      </c>
      <c r="E33" s="603" t="s">
        <v>17</v>
      </c>
      <c r="F33" s="354" t="s">
        <v>17</v>
      </c>
      <c r="G33" s="641">
        <v>19.0</v>
      </c>
      <c r="H33" s="669">
        <v>0.0442</v>
      </c>
      <c r="I33" s="357" t="s">
        <v>1518</v>
      </c>
      <c r="J33" s="439">
        <v>35.0</v>
      </c>
      <c r="K33" s="670">
        <v>0.0877</v>
      </c>
      <c r="L33" s="13">
        <f>100-4.9</f>
        <v>95.1</v>
      </c>
    </row>
    <row r="34" ht="22.5" hidden="1" customHeight="1">
      <c r="A34" s="5" t="s">
        <v>11</v>
      </c>
      <c r="B34" s="5" t="s">
        <v>96</v>
      </c>
      <c r="C34" s="351">
        <v>421.0</v>
      </c>
      <c r="D34" s="351" t="s">
        <v>17</v>
      </c>
      <c r="E34" s="603" t="s">
        <v>17</v>
      </c>
      <c r="F34" s="354" t="s">
        <v>17</v>
      </c>
      <c r="G34" s="411">
        <v>6.0</v>
      </c>
      <c r="H34" s="604">
        <v>0.0143</v>
      </c>
      <c r="I34" s="357" t="s">
        <v>1519</v>
      </c>
      <c r="J34" s="656">
        <v>12.0</v>
      </c>
      <c r="K34" s="671">
        <v>0.031</v>
      </c>
      <c r="L34" s="13">
        <v>100.0</v>
      </c>
    </row>
    <row r="35" ht="22.5" hidden="1" customHeight="1">
      <c r="A35" s="5" t="s">
        <v>11</v>
      </c>
      <c r="B35" s="5" t="s">
        <v>156</v>
      </c>
      <c r="C35" s="351">
        <v>415.0</v>
      </c>
      <c r="D35" s="351" t="s">
        <v>17</v>
      </c>
      <c r="E35" s="603" t="s">
        <v>17</v>
      </c>
      <c r="F35" s="354" t="s">
        <v>17</v>
      </c>
      <c r="G35" s="498">
        <v>7.0</v>
      </c>
      <c r="H35" s="604">
        <v>0.0169</v>
      </c>
      <c r="I35" s="357" t="s">
        <v>1520</v>
      </c>
      <c r="J35" s="639">
        <v>25.0</v>
      </c>
      <c r="K35" s="672">
        <v>0.0648</v>
      </c>
      <c r="L35" s="13">
        <f>100-0.44</f>
        <v>99.56</v>
      </c>
    </row>
    <row r="36" ht="22.5" hidden="1" customHeight="1">
      <c r="A36" s="5" t="s">
        <v>11</v>
      </c>
      <c r="B36" s="5" t="s">
        <v>153</v>
      </c>
      <c r="C36" s="351">
        <v>323.0</v>
      </c>
      <c r="D36" s="351" t="s">
        <v>17</v>
      </c>
      <c r="E36" s="603" t="s">
        <v>17</v>
      </c>
      <c r="F36" s="354" t="s">
        <v>17</v>
      </c>
      <c r="G36" s="494">
        <v>4.0</v>
      </c>
      <c r="H36" s="604">
        <v>0.0124</v>
      </c>
      <c r="I36" s="357" t="s">
        <v>1521</v>
      </c>
      <c r="J36" s="665">
        <v>31.0</v>
      </c>
      <c r="K36" s="598">
        <v>0.1044</v>
      </c>
      <c r="L36" s="13">
        <f>100-1.18</f>
        <v>98.82</v>
      </c>
    </row>
    <row r="37" ht="22.5" hidden="1" customHeight="1">
      <c r="A37" s="5" t="s">
        <v>11</v>
      </c>
      <c r="B37" s="5" t="s">
        <v>159</v>
      </c>
      <c r="C37" s="351">
        <v>286.0</v>
      </c>
      <c r="D37" s="351" t="s">
        <v>17</v>
      </c>
      <c r="E37" s="603" t="s">
        <v>17</v>
      </c>
      <c r="F37" s="354" t="s">
        <v>17</v>
      </c>
      <c r="G37" s="673">
        <v>3.0</v>
      </c>
      <c r="H37" s="604">
        <v>0.0105</v>
      </c>
      <c r="I37" s="357" t="s">
        <v>1522</v>
      </c>
      <c r="J37" s="674">
        <v>20.0</v>
      </c>
      <c r="K37" s="675">
        <v>0.0752</v>
      </c>
      <c r="L37" s="127">
        <f>100-1.97</f>
        <v>98.03</v>
      </c>
    </row>
    <row r="38" ht="22.5" hidden="1" customHeight="1">
      <c r="A38" s="5" t="s">
        <v>11</v>
      </c>
      <c r="B38" s="5" t="s">
        <v>26</v>
      </c>
      <c r="C38" s="351">
        <v>832.0</v>
      </c>
      <c r="D38" s="365">
        <v>4.0</v>
      </c>
      <c r="E38" s="676">
        <v>0.0048</v>
      </c>
      <c r="F38" s="354" t="s">
        <v>1523</v>
      </c>
      <c r="G38" s="677">
        <v>17.0</v>
      </c>
      <c r="H38" s="617">
        <v>0.0204</v>
      </c>
      <c r="I38" s="357" t="s">
        <v>1524</v>
      </c>
      <c r="J38" s="429">
        <v>65.0</v>
      </c>
      <c r="K38" s="678">
        <v>0.0837</v>
      </c>
      <c r="L38" s="13">
        <f>100-4.78</f>
        <v>95.22</v>
      </c>
    </row>
    <row r="39" ht="22.5" hidden="1" customHeight="1">
      <c r="A39" s="5" t="s">
        <v>11</v>
      </c>
      <c r="B39" s="5" t="s">
        <v>23</v>
      </c>
      <c r="C39" s="351">
        <v>712.0</v>
      </c>
      <c r="D39" s="351" t="s">
        <v>17</v>
      </c>
      <c r="E39" s="603" t="s">
        <v>17</v>
      </c>
      <c r="F39" s="354" t="s">
        <v>17</v>
      </c>
      <c r="G39" s="623">
        <v>15.0</v>
      </c>
      <c r="H39" s="419">
        <v>0.0211</v>
      </c>
      <c r="I39" s="357" t="s">
        <v>1525</v>
      </c>
      <c r="J39" s="679">
        <v>69.0</v>
      </c>
      <c r="K39" s="659">
        <v>0.1004</v>
      </c>
      <c r="L39" s="127">
        <f>100-3.91</f>
        <v>96.09</v>
      </c>
    </row>
    <row r="40" ht="22.5" hidden="1" customHeight="1">
      <c r="A40" s="5" t="s">
        <v>11</v>
      </c>
      <c r="B40" s="5" t="s">
        <v>63</v>
      </c>
      <c r="C40" s="351">
        <v>581.0</v>
      </c>
      <c r="D40" s="365">
        <v>4.0</v>
      </c>
      <c r="E40" s="680">
        <v>0.0068</v>
      </c>
      <c r="F40" s="354" t="s">
        <v>1526</v>
      </c>
      <c r="G40" s="494">
        <v>4.0</v>
      </c>
      <c r="H40" s="604">
        <v>0.0069</v>
      </c>
      <c r="I40" s="357" t="s">
        <v>1527</v>
      </c>
      <c r="J40" s="479">
        <v>26.0</v>
      </c>
      <c r="K40" s="681">
        <v>0.0477</v>
      </c>
      <c r="L40" s="13">
        <f>100-24.91</f>
        <v>75.09</v>
      </c>
    </row>
    <row r="41" ht="22.5" customHeight="1">
      <c r="A41" s="5" t="s">
        <v>185</v>
      </c>
      <c r="B41" s="5" t="s">
        <v>15</v>
      </c>
      <c r="C41" s="55">
        <v>39.0</v>
      </c>
      <c r="D41" s="174">
        <v>0.0</v>
      </c>
      <c r="E41" s="174" t="s">
        <v>258</v>
      </c>
      <c r="F41" s="28">
        <v>0.0</v>
      </c>
      <c r="G41" s="174">
        <v>2.0</v>
      </c>
      <c r="H41" s="682" t="s">
        <v>841</v>
      </c>
      <c r="I41" s="270" t="s">
        <v>1528</v>
      </c>
      <c r="J41" s="658">
        <v>5.0</v>
      </c>
      <c r="K41" s="659" t="s">
        <v>1529</v>
      </c>
      <c r="L41" s="174" t="s">
        <v>1530</v>
      </c>
    </row>
    <row r="42" ht="22.5" customHeight="1">
      <c r="A42" s="5" t="s">
        <v>185</v>
      </c>
      <c r="B42" s="5" t="s">
        <v>13</v>
      </c>
      <c r="C42" s="55">
        <v>537.0</v>
      </c>
      <c r="D42" s="174">
        <v>0.0</v>
      </c>
      <c r="E42" s="174" t="s">
        <v>258</v>
      </c>
      <c r="F42" s="28">
        <v>0.0</v>
      </c>
      <c r="G42" s="174">
        <v>28.0</v>
      </c>
      <c r="H42" s="682" t="s">
        <v>803</v>
      </c>
      <c r="I42" s="174" t="s">
        <v>1531</v>
      </c>
      <c r="J42" s="683">
        <v>95.0</v>
      </c>
      <c r="K42" s="174" t="s">
        <v>1532</v>
      </c>
      <c r="L42" s="174" t="s">
        <v>1461</v>
      </c>
    </row>
    <row r="43" ht="22.5" customHeight="1">
      <c r="A43" s="5" t="s">
        <v>185</v>
      </c>
      <c r="B43" s="5" t="s">
        <v>27</v>
      </c>
      <c r="C43" s="55">
        <v>224.0</v>
      </c>
      <c r="D43" s="174">
        <v>0.0</v>
      </c>
      <c r="E43" s="174" t="s">
        <v>258</v>
      </c>
      <c r="F43" s="28">
        <v>0.0</v>
      </c>
      <c r="G43" s="174">
        <v>4.0</v>
      </c>
      <c r="H43" s="684" t="s">
        <v>1533</v>
      </c>
      <c r="I43" s="174" t="s">
        <v>1534</v>
      </c>
      <c r="J43" s="685">
        <v>33.0</v>
      </c>
      <c r="K43" s="174" t="s">
        <v>1535</v>
      </c>
      <c r="L43" s="174" t="s">
        <v>201</v>
      </c>
    </row>
    <row r="44" ht="22.5" customHeight="1">
      <c r="A44" s="5" t="s">
        <v>185</v>
      </c>
      <c r="B44" s="5" t="s">
        <v>33</v>
      </c>
      <c r="C44" s="55">
        <v>336.0</v>
      </c>
      <c r="D44" s="174">
        <v>0.0</v>
      </c>
      <c r="E44" s="174" t="s">
        <v>258</v>
      </c>
      <c r="F44" s="28">
        <v>0.0</v>
      </c>
      <c r="G44" s="174">
        <v>17.0</v>
      </c>
      <c r="H44" s="682" t="s">
        <v>1437</v>
      </c>
      <c r="I44" s="174" t="s">
        <v>1536</v>
      </c>
      <c r="J44" s="686">
        <v>72.0</v>
      </c>
      <c r="K44" s="174" t="s">
        <v>1537</v>
      </c>
      <c r="L44" s="174" t="s">
        <v>298</v>
      </c>
    </row>
    <row r="45" ht="22.5" customHeight="1">
      <c r="A45" s="5" t="s">
        <v>185</v>
      </c>
      <c r="B45" s="5" t="s">
        <v>19</v>
      </c>
      <c r="C45" s="55">
        <v>384.0</v>
      </c>
      <c r="D45" s="174">
        <v>0.0</v>
      </c>
      <c r="E45" s="174" t="s">
        <v>258</v>
      </c>
      <c r="F45" s="28">
        <v>0.0</v>
      </c>
      <c r="G45" s="174">
        <v>16.0</v>
      </c>
      <c r="H45" s="687" t="s">
        <v>1538</v>
      </c>
      <c r="I45" s="174" t="s">
        <v>1539</v>
      </c>
      <c r="J45" s="683">
        <v>99.0</v>
      </c>
      <c r="K45" s="174" t="s">
        <v>1540</v>
      </c>
      <c r="L45" s="174" t="s">
        <v>1541</v>
      </c>
    </row>
    <row r="46" ht="22.5" customHeight="1">
      <c r="A46" s="5" t="s">
        <v>185</v>
      </c>
      <c r="B46" s="5" t="s">
        <v>58</v>
      </c>
      <c r="C46" s="55">
        <v>195.0</v>
      </c>
      <c r="D46" s="688">
        <v>2.0</v>
      </c>
      <c r="E46" s="689" t="s">
        <v>1270</v>
      </c>
      <c r="F46" s="28">
        <v>0.0</v>
      </c>
      <c r="G46" s="174">
        <v>12.0</v>
      </c>
      <c r="H46" s="682" t="s">
        <v>1303</v>
      </c>
      <c r="I46" s="174" t="s">
        <v>1542</v>
      </c>
      <c r="J46" s="685">
        <v>43.0</v>
      </c>
      <c r="K46" s="174" t="s">
        <v>1543</v>
      </c>
      <c r="L46" s="174" t="s">
        <v>1544</v>
      </c>
    </row>
    <row r="47" ht="22.5" customHeight="1">
      <c r="A47" s="5" t="s">
        <v>185</v>
      </c>
      <c r="B47" s="5" t="s">
        <v>77</v>
      </c>
      <c r="C47" s="55">
        <v>107.0</v>
      </c>
      <c r="D47" s="688">
        <v>1.0</v>
      </c>
      <c r="E47" s="689" t="s">
        <v>1545</v>
      </c>
      <c r="F47" s="28">
        <v>0.0</v>
      </c>
      <c r="G47" s="174">
        <v>2.0</v>
      </c>
      <c r="H47" s="684" t="s">
        <v>1077</v>
      </c>
      <c r="I47" s="174">
        <v>12828.0</v>
      </c>
      <c r="J47" s="57">
        <v>8.0</v>
      </c>
      <c r="K47" s="174" t="s">
        <v>1546</v>
      </c>
      <c r="L47" s="174" t="s">
        <v>1547</v>
      </c>
    </row>
    <row r="48" ht="22.5" customHeight="1">
      <c r="A48" s="5" t="s">
        <v>185</v>
      </c>
      <c r="B48" s="5" t="s">
        <v>82</v>
      </c>
      <c r="C48" s="55">
        <v>138.0</v>
      </c>
      <c r="D48" s="174">
        <v>0.0</v>
      </c>
      <c r="E48" s="174" t="s">
        <v>258</v>
      </c>
      <c r="F48" s="28">
        <v>0.0</v>
      </c>
      <c r="G48" s="174">
        <v>9.0</v>
      </c>
      <c r="H48" s="682" t="s">
        <v>1037</v>
      </c>
      <c r="I48" s="174" t="s">
        <v>1548</v>
      </c>
      <c r="J48" s="57">
        <v>6.0</v>
      </c>
      <c r="K48" s="174" t="s">
        <v>322</v>
      </c>
      <c r="L48" s="174" t="s">
        <v>298</v>
      </c>
    </row>
    <row r="49" ht="22.5" customHeight="1">
      <c r="A49" s="5" t="s">
        <v>185</v>
      </c>
      <c r="B49" s="50" t="s">
        <v>94</v>
      </c>
      <c r="C49" s="55">
        <v>3.0</v>
      </c>
      <c r="D49" s="174">
        <v>0.0</v>
      </c>
      <c r="E49" s="174" t="s">
        <v>258</v>
      </c>
      <c r="F49" s="28">
        <v>0.0</v>
      </c>
      <c r="G49" s="174">
        <v>0.0</v>
      </c>
      <c r="H49" s="684" t="s">
        <v>258</v>
      </c>
      <c r="I49" s="203">
        <v>0.0</v>
      </c>
      <c r="J49" s="57">
        <v>0.0</v>
      </c>
      <c r="K49" s="174" t="s">
        <v>837</v>
      </c>
      <c r="L49" s="174" t="s">
        <v>298</v>
      </c>
    </row>
    <row r="50" ht="22.5" customHeight="1">
      <c r="A50" s="5" t="s">
        <v>185</v>
      </c>
      <c r="B50" s="5" t="s">
        <v>90</v>
      </c>
      <c r="C50" s="55">
        <v>9.0</v>
      </c>
      <c r="D50" s="174">
        <v>0.0</v>
      </c>
      <c r="E50" s="174" t="s">
        <v>258</v>
      </c>
      <c r="F50" s="28">
        <v>0.0</v>
      </c>
      <c r="G50" s="174">
        <v>0.0</v>
      </c>
      <c r="H50" s="684" t="s">
        <v>258</v>
      </c>
      <c r="I50" s="203">
        <v>0.0</v>
      </c>
      <c r="J50" s="57">
        <v>9.0</v>
      </c>
      <c r="K50" s="174" t="s">
        <v>298</v>
      </c>
      <c r="L50" s="174" t="s">
        <v>298</v>
      </c>
    </row>
    <row r="51" ht="22.5" customHeight="1">
      <c r="A51" s="5" t="s">
        <v>185</v>
      </c>
      <c r="B51" s="5" t="s">
        <v>39</v>
      </c>
      <c r="C51" s="55">
        <v>39.0</v>
      </c>
      <c r="D51" s="174">
        <v>0.0</v>
      </c>
      <c r="E51" s="174" t="s">
        <v>258</v>
      </c>
      <c r="F51" s="28">
        <v>0.0</v>
      </c>
      <c r="G51" s="174">
        <v>5.0</v>
      </c>
      <c r="H51" s="682" t="s">
        <v>1529</v>
      </c>
      <c r="I51" s="174" t="s">
        <v>1549</v>
      </c>
      <c r="J51" s="690">
        <v>16.0</v>
      </c>
      <c r="K51" s="174" t="s">
        <v>1550</v>
      </c>
      <c r="L51" s="174" t="s">
        <v>298</v>
      </c>
    </row>
    <row r="52" ht="22.5" customHeight="1">
      <c r="A52" s="5" t="s">
        <v>185</v>
      </c>
      <c r="B52" s="5" t="s">
        <v>59</v>
      </c>
      <c r="C52" s="13">
        <v>85.0</v>
      </c>
      <c r="D52" s="688">
        <v>1.0</v>
      </c>
      <c r="E52" s="682" t="s">
        <v>393</v>
      </c>
      <c r="F52" s="28">
        <v>0.0</v>
      </c>
      <c r="G52" s="174">
        <v>7.0</v>
      </c>
      <c r="H52" s="682" t="s">
        <v>1551</v>
      </c>
      <c r="I52" s="174" t="s">
        <v>1552</v>
      </c>
      <c r="J52" s="691">
        <v>20.0</v>
      </c>
      <c r="K52" s="174" t="s">
        <v>1553</v>
      </c>
      <c r="L52" s="174" t="s">
        <v>298</v>
      </c>
    </row>
    <row r="53" ht="22.5" customHeight="1">
      <c r="A53" s="5" t="s">
        <v>185</v>
      </c>
      <c r="B53" s="5" t="s">
        <v>114</v>
      </c>
      <c r="C53" s="13">
        <v>142.0</v>
      </c>
      <c r="D53" s="174">
        <v>0.0</v>
      </c>
      <c r="E53" s="174" t="s">
        <v>258</v>
      </c>
      <c r="F53" s="28">
        <v>0.0</v>
      </c>
      <c r="G53" s="174">
        <v>8.0</v>
      </c>
      <c r="H53" s="682" t="s">
        <v>272</v>
      </c>
      <c r="I53" s="174" t="s">
        <v>1554</v>
      </c>
      <c r="J53" s="692">
        <v>53.0</v>
      </c>
      <c r="K53" s="174" t="s">
        <v>1555</v>
      </c>
      <c r="L53" s="174" t="s">
        <v>298</v>
      </c>
    </row>
    <row r="54" ht="22.5" customHeight="1">
      <c r="A54" s="5" t="s">
        <v>185</v>
      </c>
      <c r="B54" s="5" t="s">
        <v>136</v>
      </c>
      <c r="C54" s="13">
        <v>50.0</v>
      </c>
      <c r="D54" s="174">
        <v>0.0</v>
      </c>
      <c r="E54" s="174" t="s">
        <v>258</v>
      </c>
      <c r="F54" s="28">
        <v>0.0</v>
      </c>
      <c r="G54" s="174">
        <v>3.0</v>
      </c>
      <c r="H54" s="682" t="s">
        <v>1119</v>
      </c>
      <c r="I54" s="174">
        <v>0.0</v>
      </c>
      <c r="J54" s="693">
        <v>10.0</v>
      </c>
      <c r="K54" s="174" t="s">
        <v>1556</v>
      </c>
      <c r="L54" s="174" t="s">
        <v>298</v>
      </c>
    </row>
    <row r="55" ht="22.5" customHeight="1">
      <c r="A55" s="5" t="s">
        <v>185</v>
      </c>
      <c r="B55" s="5" t="s">
        <v>85</v>
      </c>
      <c r="C55" s="13">
        <v>287.0</v>
      </c>
      <c r="D55" s="174">
        <v>0.0</v>
      </c>
      <c r="E55" s="174" t="s">
        <v>258</v>
      </c>
      <c r="F55" s="28">
        <v>0.0</v>
      </c>
      <c r="G55" s="174">
        <v>10.0</v>
      </c>
      <c r="H55" s="689" t="s">
        <v>1557</v>
      </c>
      <c r="I55" s="174" t="s">
        <v>1558</v>
      </c>
      <c r="J55" s="692">
        <v>57.0</v>
      </c>
      <c r="K55" s="174" t="s">
        <v>1559</v>
      </c>
      <c r="L55" s="174" t="s">
        <v>298</v>
      </c>
    </row>
    <row r="56" ht="22.5" customHeight="1">
      <c r="A56" s="5" t="s">
        <v>185</v>
      </c>
      <c r="B56" s="35" t="s">
        <v>79</v>
      </c>
      <c r="C56" s="13">
        <v>191.0</v>
      </c>
      <c r="D56" s="174">
        <v>0.0</v>
      </c>
      <c r="E56" s="174" t="s">
        <v>258</v>
      </c>
      <c r="F56" s="28">
        <v>0.0</v>
      </c>
      <c r="G56" s="174">
        <v>11.0</v>
      </c>
      <c r="H56" s="682" t="s">
        <v>1560</v>
      </c>
      <c r="I56" s="174" t="s">
        <v>1561</v>
      </c>
      <c r="J56" s="685">
        <v>39.0</v>
      </c>
      <c r="K56" s="174" t="s">
        <v>1562</v>
      </c>
      <c r="L56" s="174" t="s">
        <v>298</v>
      </c>
    </row>
    <row r="57" ht="22.5" customHeight="1">
      <c r="A57" s="5" t="s">
        <v>185</v>
      </c>
      <c r="B57" s="5" t="s">
        <v>45</v>
      </c>
      <c r="C57" s="13">
        <v>213.0</v>
      </c>
      <c r="D57" s="174">
        <v>0.0</v>
      </c>
      <c r="E57" s="174" t="s">
        <v>258</v>
      </c>
      <c r="F57" s="28">
        <v>0.0</v>
      </c>
      <c r="G57" s="174">
        <v>12.0</v>
      </c>
      <c r="H57" s="682" t="s">
        <v>1563</v>
      </c>
      <c r="I57" s="174" t="s">
        <v>1564</v>
      </c>
      <c r="J57" s="694">
        <v>14.0</v>
      </c>
      <c r="K57" s="174" t="s">
        <v>1565</v>
      </c>
      <c r="L57" s="174" t="s">
        <v>298</v>
      </c>
    </row>
    <row r="58" ht="22.5" customHeight="1">
      <c r="A58" s="5" t="s">
        <v>185</v>
      </c>
      <c r="B58" s="5" t="s">
        <v>170</v>
      </c>
      <c r="C58" s="13">
        <v>100.0</v>
      </c>
      <c r="D58" s="174">
        <v>0.0</v>
      </c>
      <c r="E58" s="174" t="s">
        <v>258</v>
      </c>
      <c r="F58" s="28">
        <v>0.0</v>
      </c>
      <c r="G58" s="174">
        <v>5.0</v>
      </c>
      <c r="H58" s="682" t="s">
        <v>1566</v>
      </c>
      <c r="I58" s="174" t="s">
        <v>1567</v>
      </c>
      <c r="J58" s="694">
        <v>15.0</v>
      </c>
      <c r="K58" s="174" t="s">
        <v>1568</v>
      </c>
      <c r="L58" s="174" t="s">
        <v>1569</v>
      </c>
    </row>
    <row r="59" ht="22.5" customHeight="1">
      <c r="A59" s="5" t="s">
        <v>185</v>
      </c>
      <c r="B59" s="5" t="s">
        <v>153</v>
      </c>
      <c r="C59" s="13">
        <v>142.0</v>
      </c>
      <c r="D59" s="174">
        <v>0.0</v>
      </c>
      <c r="E59" s="174" t="s">
        <v>258</v>
      </c>
      <c r="F59" s="28">
        <v>0.0</v>
      </c>
      <c r="G59" s="174">
        <v>9.0</v>
      </c>
      <c r="H59" s="682" t="s">
        <v>1570</v>
      </c>
      <c r="I59" s="174">
        <v>51230.0</v>
      </c>
      <c r="J59" s="695">
        <v>25.0</v>
      </c>
      <c r="K59" s="174" t="s">
        <v>1571</v>
      </c>
      <c r="L59" s="174" t="s">
        <v>298</v>
      </c>
    </row>
    <row r="60" ht="22.5" customHeight="1">
      <c r="A60" s="5" t="s">
        <v>185</v>
      </c>
      <c r="B60" s="5" t="s">
        <v>26</v>
      </c>
      <c r="C60" s="13">
        <v>537.0</v>
      </c>
      <c r="D60" s="696">
        <v>1.0</v>
      </c>
      <c r="E60" s="697" t="s">
        <v>326</v>
      </c>
      <c r="F60" s="28">
        <v>0.0</v>
      </c>
      <c r="G60" s="174">
        <v>23.0</v>
      </c>
      <c r="H60" s="689" t="s">
        <v>1572</v>
      </c>
      <c r="I60" s="174" t="s">
        <v>1573</v>
      </c>
      <c r="J60" s="685">
        <v>39.0</v>
      </c>
      <c r="K60" s="174" t="s">
        <v>1574</v>
      </c>
      <c r="L60" s="174" t="s">
        <v>1575</v>
      </c>
    </row>
    <row r="61" ht="22.5" customHeight="1">
      <c r="A61" s="5" t="s">
        <v>185</v>
      </c>
      <c r="B61" s="5" t="s">
        <v>23</v>
      </c>
      <c r="C61" s="13">
        <v>257.0</v>
      </c>
      <c r="D61" s="696">
        <v>1.0</v>
      </c>
      <c r="E61" s="698" t="s">
        <v>348</v>
      </c>
      <c r="F61" s="28">
        <v>0.0</v>
      </c>
      <c r="G61" s="174">
        <v>13.0</v>
      </c>
      <c r="H61" s="682" t="s">
        <v>1576</v>
      </c>
      <c r="I61" s="174" t="s">
        <v>1577</v>
      </c>
      <c r="J61" s="686">
        <v>70.0</v>
      </c>
      <c r="K61" s="174" t="s">
        <v>1578</v>
      </c>
      <c r="L61" s="174" t="s">
        <v>298</v>
      </c>
    </row>
    <row r="62" ht="22.5" customHeight="1">
      <c r="A62" s="5" t="s">
        <v>185</v>
      </c>
      <c r="B62" s="5" t="s">
        <v>159</v>
      </c>
      <c r="C62" s="13">
        <v>41.0</v>
      </c>
      <c r="D62" s="174">
        <v>0.0</v>
      </c>
      <c r="E62" s="174" t="s">
        <v>258</v>
      </c>
      <c r="F62" s="28">
        <v>0.0</v>
      </c>
      <c r="G62" s="174">
        <v>3.0</v>
      </c>
      <c r="H62" s="682" t="s">
        <v>290</v>
      </c>
      <c r="I62" s="174" t="s">
        <v>1579</v>
      </c>
      <c r="J62" s="694">
        <v>12.0</v>
      </c>
      <c r="K62" s="174" t="s">
        <v>1580</v>
      </c>
      <c r="L62" s="174" t="s">
        <v>298</v>
      </c>
    </row>
    <row r="63" ht="22.5" customHeight="1">
      <c r="A63" s="5" t="s">
        <v>185</v>
      </c>
      <c r="B63" s="5" t="s">
        <v>63</v>
      </c>
      <c r="C63" s="13">
        <v>261.0</v>
      </c>
      <c r="D63" s="174">
        <v>0.0</v>
      </c>
      <c r="E63" s="174" t="s">
        <v>258</v>
      </c>
      <c r="F63" s="28">
        <v>0.0</v>
      </c>
      <c r="G63" s="174">
        <v>8.0</v>
      </c>
      <c r="H63" s="689" t="s">
        <v>1581</v>
      </c>
      <c r="I63" s="174" t="s">
        <v>1582</v>
      </c>
      <c r="J63" s="686">
        <v>75.0</v>
      </c>
      <c r="K63" s="174" t="s">
        <v>1583</v>
      </c>
      <c r="L63" s="174" t="s">
        <v>1584</v>
      </c>
    </row>
    <row r="64" ht="22.5" customHeight="1">
      <c r="A64" s="5" t="s">
        <v>185</v>
      </c>
      <c r="B64" s="5" t="s">
        <v>123</v>
      </c>
      <c r="C64" s="13">
        <v>58.0</v>
      </c>
      <c r="D64" s="174">
        <v>0.0</v>
      </c>
      <c r="E64" s="174" t="s">
        <v>258</v>
      </c>
      <c r="F64" s="28">
        <v>0.0</v>
      </c>
      <c r="G64" s="174">
        <v>4.0</v>
      </c>
      <c r="H64" s="682" t="s">
        <v>1585</v>
      </c>
      <c r="I64" s="174" t="s">
        <v>1586</v>
      </c>
      <c r="J64" s="57">
        <v>3.0</v>
      </c>
      <c r="K64" s="174" t="s">
        <v>1043</v>
      </c>
      <c r="L64" s="174" t="s">
        <v>1587</v>
      </c>
    </row>
    <row r="65" ht="22.5" hidden="1" customHeight="1">
      <c r="A65" s="5" t="s">
        <v>383</v>
      </c>
      <c r="B65" s="5" t="s">
        <v>15</v>
      </c>
      <c r="C65" s="699">
        <v>70.0</v>
      </c>
      <c r="D65" s="700">
        <v>2.0</v>
      </c>
      <c r="E65" s="701">
        <v>0.027777777777777776</v>
      </c>
      <c r="F65" s="28">
        <v>0.0</v>
      </c>
      <c r="G65" s="511">
        <v>2.0</v>
      </c>
      <c r="H65" s="702">
        <v>0.027777777777777776</v>
      </c>
      <c r="I65" s="28">
        <v>0.0</v>
      </c>
      <c r="J65" s="96" t="s">
        <v>1588</v>
      </c>
      <c r="K65" s="703">
        <v>0.05970149253731343</v>
      </c>
      <c r="L65" s="704">
        <v>0.8975</v>
      </c>
    </row>
    <row r="66" ht="22.5" hidden="1" customHeight="1">
      <c r="A66" s="5" t="s">
        <v>383</v>
      </c>
      <c r="B66" s="5" t="s">
        <v>13</v>
      </c>
      <c r="C66" s="699">
        <v>433.0</v>
      </c>
      <c r="D66" s="699">
        <v>1.0</v>
      </c>
      <c r="E66" s="705">
        <v>0.002304147465437788</v>
      </c>
      <c r="F66" s="28">
        <v>0.0</v>
      </c>
      <c r="G66" s="275">
        <v>13.0</v>
      </c>
      <c r="H66" s="706">
        <v>0.029953917050691243</v>
      </c>
      <c r="I66" s="28">
        <v>0.0</v>
      </c>
      <c r="J66" s="96" t="s">
        <v>1589</v>
      </c>
      <c r="K66" s="707">
        <v>0.021176470588235293</v>
      </c>
      <c r="L66" s="281">
        <v>0.992</v>
      </c>
    </row>
    <row r="67" ht="22.5" hidden="1" customHeight="1">
      <c r="A67" s="5" t="s">
        <v>383</v>
      </c>
      <c r="B67" s="5" t="s">
        <v>27</v>
      </c>
      <c r="C67" s="699">
        <v>119.0</v>
      </c>
      <c r="D67" s="699">
        <v>1.0</v>
      </c>
      <c r="E67" s="708">
        <v>0.008333333333333333</v>
      </c>
      <c r="F67" s="28">
        <v>0.0</v>
      </c>
      <c r="G67" s="275">
        <v>1.0</v>
      </c>
      <c r="H67" s="709">
        <v>0.008333333333333333</v>
      </c>
      <c r="I67" s="28">
        <v>0.0</v>
      </c>
      <c r="J67" s="96" t="s">
        <v>707</v>
      </c>
      <c r="K67" s="301">
        <v>0.00847457627118644</v>
      </c>
      <c r="L67" s="281">
        <v>0.992</v>
      </c>
    </row>
    <row r="68" ht="22.5" hidden="1" customHeight="1">
      <c r="A68" s="5" t="s">
        <v>383</v>
      </c>
      <c r="B68" s="5" t="s">
        <v>33</v>
      </c>
      <c r="C68" s="699">
        <v>175.0</v>
      </c>
      <c r="D68" s="699">
        <v>1.0</v>
      </c>
      <c r="E68" s="710">
        <v>0.005681818181818182</v>
      </c>
      <c r="F68" s="28">
        <v>0.0</v>
      </c>
      <c r="G68" s="275">
        <v>2.0</v>
      </c>
      <c r="H68" s="709">
        <v>0.011363636363636364</v>
      </c>
      <c r="I68" s="28">
        <v>0.0</v>
      </c>
      <c r="J68" s="96" t="s">
        <v>1337</v>
      </c>
      <c r="K68" s="711">
        <v>0.04597701149425287</v>
      </c>
      <c r="L68" s="281">
        <v>0.9905</v>
      </c>
    </row>
    <row r="69" ht="22.5" hidden="1" customHeight="1">
      <c r="A69" s="5" t="s">
        <v>383</v>
      </c>
      <c r="B69" s="5" t="s">
        <v>19</v>
      </c>
      <c r="C69" s="699">
        <v>281.0</v>
      </c>
      <c r="D69" s="699">
        <v>1.0</v>
      </c>
      <c r="E69" s="712">
        <v>0.0035460992907801418</v>
      </c>
      <c r="F69" s="28">
        <v>0.0</v>
      </c>
      <c r="G69" s="275">
        <v>9.0</v>
      </c>
      <c r="H69" s="706">
        <v>0.031914893617021274</v>
      </c>
      <c r="I69" s="28">
        <v>0.0</v>
      </c>
      <c r="J69" s="96" t="s">
        <v>1590</v>
      </c>
      <c r="K69" s="713">
        <v>0.0695970695970696</v>
      </c>
      <c r="L69" s="281">
        <v>0.953</v>
      </c>
    </row>
    <row r="70" ht="22.5" hidden="1" customHeight="1">
      <c r="A70" s="5" t="s">
        <v>383</v>
      </c>
      <c r="B70" s="5" t="s">
        <v>63</v>
      </c>
      <c r="C70" s="699">
        <f>45+79</f>
        <v>124</v>
      </c>
      <c r="D70" s="699">
        <v>0.0</v>
      </c>
      <c r="E70" s="714">
        <v>0.0</v>
      </c>
      <c r="F70" s="28">
        <v>0.0</v>
      </c>
      <c r="G70" s="275">
        <v>1.0</v>
      </c>
      <c r="H70" s="709">
        <v>0.012658227848101266</v>
      </c>
      <c r="I70" s="28">
        <v>0.0</v>
      </c>
      <c r="J70" s="96" t="s">
        <v>733</v>
      </c>
      <c r="K70" s="276">
        <v>0.045454545454545456</v>
      </c>
      <c r="L70" s="281">
        <v>0.9962</v>
      </c>
    </row>
    <row r="71" ht="22.5" hidden="1" customHeight="1">
      <c r="A71" s="5" t="s">
        <v>383</v>
      </c>
      <c r="B71" s="5" t="s">
        <v>58</v>
      </c>
      <c r="C71" s="699">
        <v>122.0</v>
      </c>
      <c r="D71" s="699">
        <v>0.0</v>
      </c>
      <c r="E71" s="714">
        <v>0.0</v>
      </c>
      <c r="F71" s="28">
        <v>0.0</v>
      </c>
      <c r="G71" s="275">
        <v>14.0</v>
      </c>
      <c r="H71" s="715">
        <v>0.11475409836065574</v>
      </c>
      <c r="I71" s="28">
        <v>0.0</v>
      </c>
      <c r="J71" s="96" t="s">
        <v>733</v>
      </c>
      <c r="K71" s="309">
        <v>0.01652892561983471</v>
      </c>
      <c r="L71" s="289">
        <v>0.9973</v>
      </c>
    </row>
    <row r="72" ht="22.5" hidden="1" customHeight="1">
      <c r="A72" s="5" t="s">
        <v>383</v>
      </c>
      <c r="B72" s="5" t="s">
        <v>77</v>
      </c>
      <c r="C72" s="699">
        <v>139.0</v>
      </c>
      <c r="D72" s="716">
        <v>6.0</v>
      </c>
      <c r="E72" s="717">
        <v>0.041379310344827586</v>
      </c>
      <c r="F72" s="28">
        <v>0.0</v>
      </c>
      <c r="G72" s="275">
        <v>3.0</v>
      </c>
      <c r="H72" s="702">
        <v>0.020689655172413793</v>
      </c>
      <c r="I72" s="28">
        <v>0.0</v>
      </c>
      <c r="J72" s="96" t="s">
        <v>733</v>
      </c>
      <c r="K72" s="718">
        <v>0.014705882352941176</v>
      </c>
      <c r="L72" s="281">
        <v>0.9923</v>
      </c>
    </row>
    <row r="73" ht="22.5" hidden="1" customHeight="1">
      <c r="A73" s="5" t="s">
        <v>383</v>
      </c>
      <c r="B73" s="5" t="s">
        <v>82</v>
      </c>
      <c r="C73" s="699">
        <v>66.0</v>
      </c>
      <c r="D73" s="699">
        <v>0.0</v>
      </c>
      <c r="E73" s="714">
        <v>0.0</v>
      </c>
      <c r="F73" s="28">
        <v>0.0</v>
      </c>
      <c r="G73" s="275">
        <v>2.0</v>
      </c>
      <c r="H73" s="706">
        <v>0.030303030303030304</v>
      </c>
      <c r="I73" s="28">
        <v>0.0</v>
      </c>
      <c r="J73" s="96" t="s">
        <v>718</v>
      </c>
      <c r="K73" s="276">
        <v>0.0</v>
      </c>
      <c r="L73" s="281">
        <v>0.9511</v>
      </c>
    </row>
    <row r="74" ht="22.5" hidden="1" customHeight="1">
      <c r="A74" s="5" t="s">
        <v>383</v>
      </c>
      <c r="B74" s="5" t="s">
        <v>39</v>
      </c>
      <c r="C74" s="699">
        <v>31.0</v>
      </c>
      <c r="D74" s="699">
        <v>0.0</v>
      </c>
      <c r="E74" s="714">
        <v>0.0</v>
      </c>
      <c r="F74" s="28">
        <v>0.0</v>
      </c>
      <c r="G74" s="275">
        <v>1.0</v>
      </c>
      <c r="H74" s="706">
        <v>0.03225806451612903</v>
      </c>
      <c r="I74" s="28">
        <v>0.0</v>
      </c>
      <c r="J74" s="96" t="s">
        <v>1591</v>
      </c>
      <c r="K74" s="276">
        <v>0.1935483870967742</v>
      </c>
      <c r="L74" s="281">
        <v>1.0</v>
      </c>
    </row>
    <row r="75" ht="22.5" hidden="1" customHeight="1">
      <c r="A75" s="5" t="s">
        <v>383</v>
      </c>
      <c r="B75" s="5" t="s">
        <v>59</v>
      </c>
      <c r="C75" s="699">
        <v>48.0</v>
      </c>
      <c r="D75" s="699">
        <v>0.0</v>
      </c>
      <c r="E75" s="714">
        <v>0.0</v>
      </c>
      <c r="F75" s="28">
        <v>0.0</v>
      </c>
      <c r="G75" s="275">
        <v>2.0</v>
      </c>
      <c r="H75" s="719">
        <v>0.041666666666666664</v>
      </c>
      <c r="I75" s="28">
        <v>0.0</v>
      </c>
      <c r="J75" s="96" t="s">
        <v>718</v>
      </c>
      <c r="K75" s="276">
        <v>0.0</v>
      </c>
      <c r="L75" s="281">
        <v>0.9675</v>
      </c>
    </row>
    <row r="76" ht="22.5" hidden="1" customHeight="1">
      <c r="A76" s="5" t="s">
        <v>383</v>
      </c>
      <c r="B76" s="5" t="s">
        <v>114</v>
      </c>
      <c r="C76" s="699">
        <v>130.0</v>
      </c>
      <c r="D76" s="720">
        <v>1.0</v>
      </c>
      <c r="E76" s="721">
        <v>0.007633587786259542</v>
      </c>
      <c r="F76" s="28">
        <v>0.0</v>
      </c>
      <c r="G76" s="275">
        <v>6.0</v>
      </c>
      <c r="H76" s="719">
        <v>0.04580152671755725</v>
      </c>
      <c r="I76" s="28">
        <v>0.0</v>
      </c>
      <c r="J76" s="96" t="s">
        <v>733</v>
      </c>
      <c r="K76" s="722">
        <v>0.015384615384615385</v>
      </c>
      <c r="L76" s="281">
        <v>1.0</v>
      </c>
    </row>
    <row r="77" ht="22.5" hidden="1" customHeight="1">
      <c r="A77" s="5" t="s">
        <v>383</v>
      </c>
      <c r="B77" s="5" t="s">
        <v>136</v>
      </c>
      <c r="C77" s="699">
        <v>75.0</v>
      </c>
      <c r="D77" s="720">
        <v>1.0</v>
      </c>
      <c r="E77" s="723">
        <v>0.013157894736842105</v>
      </c>
      <c r="F77" s="28">
        <v>0.0</v>
      </c>
      <c r="G77" s="275">
        <v>0.0</v>
      </c>
      <c r="H77" s="709">
        <v>0.0</v>
      </c>
      <c r="I77" s="28">
        <v>0.0</v>
      </c>
      <c r="J77" s="96" t="s">
        <v>724</v>
      </c>
      <c r="K77" s="724">
        <v>0.06666666666666667</v>
      </c>
      <c r="L77" s="281">
        <v>0.9968</v>
      </c>
    </row>
    <row r="78" ht="22.5" hidden="1" customHeight="1">
      <c r="A78" s="5" t="s">
        <v>383</v>
      </c>
      <c r="B78" s="96" t="s">
        <v>501</v>
      </c>
      <c r="C78" s="699">
        <v>120.0</v>
      </c>
      <c r="D78" s="699">
        <v>0.0</v>
      </c>
      <c r="E78" s="714">
        <v>0.0</v>
      </c>
      <c r="F78" s="28">
        <v>0.0</v>
      </c>
      <c r="G78" s="275">
        <v>1.0</v>
      </c>
      <c r="H78" s="709">
        <v>0.008333333333333333</v>
      </c>
      <c r="I78" s="28">
        <v>0.0</v>
      </c>
      <c r="J78" s="96" t="s">
        <v>1588</v>
      </c>
      <c r="K78" s="298">
        <v>0.03361344537815126</v>
      </c>
      <c r="L78" s="281">
        <v>0.9927</v>
      </c>
    </row>
    <row r="79" ht="22.5" hidden="1" customHeight="1">
      <c r="A79" s="5" t="s">
        <v>383</v>
      </c>
      <c r="B79" s="35" t="s">
        <v>79</v>
      </c>
      <c r="C79" s="699">
        <v>165.0</v>
      </c>
      <c r="D79" s="725">
        <v>1.0</v>
      </c>
      <c r="E79" s="726">
        <v>0.006024096385542169</v>
      </c>
      <c r="F79" s="28">
        <v>0.0</v>
      </c>
      <c r="G79" s="275">
        <v>4.0</v>
      </c>
      <c r="H79" s="702">
        <v>0.024096385542168676</v>
      </c>
      <c r="I79" s="28">
        <v>0.0</v>
      </c>
      <c r="J79" s="96" t="s">
        <v>707</v>
      </c>
      <c r="K79" s="727">
        <v>0.006060606060606061</v>
      </c>
      <c r="L79" s="281">
        <v>0.9967</v>
      </c>
    </row>
    <row r="80" ht="22.5" hidden="1" customHeight="1">
      <c r="A80" s="5" t="s">
        <v>383</v>
      </c>
      <c r="B80" s="5" t="s">
        <v>45</v>
      </c>
      <c r="C80" s="699">
        <v>111.0</v>
      </c>
      <c r="D80" s="699">
        <v>0.0</v>
      </c>
      <c r="E80" s="714">
        <v>0.0</v>
      </c>
      <c r="F80" s="28">
        <v>0.0</v>
      </c>
      <c r="G80" s="275">
        <v>2.0</v>
      </c>
      <c r="H80" s="709">
        <v>0.018018018018018018</v>
      </c>
      <c r="I80" s="28">
        <v>0.0</v>
      </c>
      <c r="J80" s="96" t="s">
        <v>724</v>
      </c>
      <c r="K80" s="711">
        <v>0.045871559633027525</v>
      </c>
      <c r="L80" s="281">
        <v>0.9989</v>
      </c>
    </row>
    <row r="81" ht="22.5" hidden="1" customHeight="1">
      <c r="A81" s="5" t="s">
        <v>383</v>
      </c>
      <c r="B81" s="5" t="s">
        <v>123</v>
      </c>
      <c r="C81" s="699">
        <v>82.0</v>
      </c>
      <c r="D81" s="720">
        <v>2.0</v>
      </c>
      <c r="E81" s="728">
        <v>0.023809523809523808</v>
      </c>
      <c r="F81" s="28">
        <v>0.0</v>
      </c>
      <c r="G81" s="275">
        <v>3.0</v>
      </c>
      <c r="H81" s="706">
        <v>0.03571428571428571</v>
      </c>
      <c r="I81" s="28">
        <v>0.0</v>
      </c>
      <c r="J81" s="96" t="s">
        <v>1592</v>
      </c>
      <c r="K81" s="297">
        <v>0.08536585365853659</v>
      </c>
      <c r="L81" s="281">
        <v>0.9832</v>
      </c>
    </row>
    <row r="82" ht="22.5" hidden="1" customHeight="1">
      <c r="A82" s="5" t="s">
        <v>383</v>
      </c>
      <c r="B82" s="5" t="s">
        <v>153</v>
      </c>
      <c r="C82" s="699">
        <v>47.0</v>
      </c>
      <c r="D82" s="699">
        <v>0.0</v>
      </c>
      <c r="E82" s="714">
        <v>0.0</v>
      </c>
      <c r="F82" s="28">
        <v>0.0</v>
      </c>
      <c r="G82" s="275">
        <v>3.0</v>
      </c>
      <c r="H82" s="719">
        <v>0.06382978723404255</v>
      </c>
      <c r="I82" s="28">
        <v>0.0</v>
      </c>
      <c r="J82" s="96" t="s">
        <v>1593</v>
      </c>
      <c r="K82" s="729">
        <v>0.06382978723404255</v>
      </c>
      <c r="L82" s="281">
        <v>0.9991</v>
      </c>
    </row>
    <row r="83" ht="22.5" hidden="1" customHeight="1">
      <c r="A83" s="5" t="s">
        <v>383</v>
      </c>
      <c r="B83" s="5" t="s">
        <v>159</v>
      </c>
      <c r="C83" s="699">
        <v>57.0</v>
      </c>
      <c r="D83" s="720">
        <v>1.0</v>
      </c>
      <c r="E83" s="730">
        <v>0.017241379310344827</v>
      </c>
      <c r="F83" s="28">
        <v>0.0</v>
      </c>
      <c r="G83" s="275">
        <v>2.0</v>
      </c>
      <c r="H83" s="706">
        <v>0.034482758620689655</v>
      </c>
      <c r="I83" s="28">
        <v>0.0</v>
      </c>
      <c r="J83" s="96" t="s">
        <v>733</v>
      </c>
      <c r="K83" s="731">
        <v>0.03636363636363636</v>
      </c>
      <c r="L83" s="281">
        <v>1.0</v>
      </c>
    </row>
    <row r="84" ht="22.5" hidden="1" customHeight="1">
      <c r="A84" s="5" t="s">
        <v>383</v>
      </c>
      <c r="B84" s="5" t="s">
        <v>26</v>
      </c>
      <c r="C84" s="699">
        <v>302.0</v>
      </c>
      <c r="D84" s="720">
        <v>1.0</v>
      </c>
      <c r="E84" s="732">
        <v>0.0033003300330033004</v>
      </c>
      <c r="F84" s="28">
        <v>0.0</v>
      </c>
      <c r="G84" s="275">
        <v>13.0</v>
      </c>
      <c r="H84" s="733">
        <v>0.0429042904290429</v>
      </c>
      <c r="I84" s="28">
        <v>0.0</v>
      </c>
      <c r="J84" s="96" t="s">
        <v>1337</v>
      </c>
      <c r="K84" s="734">
        <v>0.02702702702702703</v>
      </c>
      <c r="L84" s="278">
        <v>0.9104</v>
      </c>
    </row>
    <row r="85" ht="22.5" hidden="1" customHeight="1">
      <c r="A85" s="5" t="s">
        <v>383</v>
      </c>
      <c r="B85" s="5" t="s">
        <v>23</v>
      </c>
      <c r="C85" s="699">
        <v>202.0</v>
      </c>
      <c r="D85" s="720">
        <v>1.0</v>
      </c>
      <c r="E85" s="735">
        <v>0.0049261083743842365</v>
      </c>
      <c r="F85" s="28">
        <v>0.0</v>
      </c>
      <c r="G85" s="275">
        <v>5.0</v>
      </c>
      <c r="H85" s="702">
        <v>0.024630541871921183</v>
      </c>
      <c r="I85" s="28">
        <v>0.0</v>
      </c>
      <c r="J85" s="96" t="s">
        <v>1594</v>
      </c>
      <c r="K85" s="736">
        <v>0.05025125628140704</v>
      </c>
      <c r="L85" s="289">
        <v>1.0</v>
      </c>
    </row>
    <row r="86" ht="22.5" hidden="1" customHeight="1">
      <c r="A86" s="233"/>
      <c r="B86" s="234"/>
      <c r="C86" s="340"/>
      <c r="D86" s="341"/>
      <c r="E86" s="342"/>
      <c r="F86" s="343"/>
      <c r="G86" s="341"/>
      <c r="H86" s="342"/>
      <c r="I86" s="344"/>
      <c r="J86" s="341"/>
      <c r="K86" s="342"/>
      <c r="L86" s="339"/>
    </row>
    <row r="87" ht="22.5" hidden="1" customHeight="1">
      <c r="A87" s="233"/>
      <c r="B87" s="234"/>
      <c r="C87" s="546"/>
      <c r="D87" s="737"/>
      <c r="E87" s="738"/>
      <c r="F87" s="549"/>
      <c r="G87" s="547"/>
      <c r="H87" s="548"/>
      <c r="I87" s="550"/>
      <c r="J87" s="547"/>
      <c r="K87" s="548"/>
      <c r="L87" s="244"/>
    </row>
    <row r="88">
      <c r="C88" s="79"/>
      <c r="D88" s="79"/>
      <c r="E88" s="79"/>
      <c r="F88" s="79"/>
      <c r="G88" s="79"/>
      <c r="H88" s="79"/>
      <c r="I88" s="314"/>
      <c r="J88" s="79"/>
      <c r="K88" s="79"/>
      <c r="L88" s="79"/>
    </row>
    <row r="89">
      <c r="C89" s="79"/>
      <c r="D89" s="79"/>
      <c r="E89" s="79"/>
      <c r="F89" s="79"/>
      <c r="G89" s="79"/>
      <c r="H89" s="79"/>
      <c r="I89" s="314"/>
      <c r="J89" s="79"/>
      <c r="K89" s="79"/>
      <c r="L89" s="79"/>
    </row>
    <row r="90">
      <c r="C90" s="79"/>
      <c r="D90" s="79"/>
      <c r="E90" s="79"/>
      <c r="F90" s="79"/>
      <c r="G90" s="79"/>
      <c r="H90" s="79"/>
      <c r="I90" s="314"/>
      <c r="J90" s="79"/>
      <c r="K90" s="79"/>
      <c r="L90" s="79"/>
    </row>
    <row r="91">
      <c r="C91" s="79"/>
      <c r="D91" s="79"/>
      <c r="E91" s="79"/>
      <c r="F91" s="79"/>
      <c r="G91" s="79"/>
      <c r="H91" s="79"/>
      <c r="I91" s="314"/>
      <c r="J91" s="79"/>
      <c r="K91" s="79"/>
      <c r="L91" s="79"/>
    </row>
    <row r="92">
      <c r="C92" s="79"/>
      <c r="D92" s="79"/>
      <c r="E92" s="79"/>
      <c r="F92" s="79"/>
      <c r="G92" s="79"/>
      <c r="H92" s="79"/>
      <c r="I92" s="314"/>
      <c r="J92" s="79"/>
      <c r="K92" s="79"/>
      <c r="L92" s="79"/>
    </row>
    <row r="93">
      <c r="C93" s="79"/>
      <c r="D93" s="79"/>
      <c r="E93" s="79"/>
      <c r="F93" s="245"/>
      <c r="G93" s="245"/>
      <c r="H93" s="79"/>
      <c r="I93" s="314"/>
      <c r="J93" s="79"/>
      <c r="K93" s="79"/>
      <c r="L93" s="79"/>
    </row>
    <row r="94">
      <c r="C94" s="79"/>
      <c r="D94" s="79"/>
      <c r="E94" s="79"/>
      <c r="H94" s="79"/>
      <c r="I94" s="314"/>
      <c r="J94" s="79"/>
      <c r="K94" s="79"/>
      <c r="L94" s="79"/>
    </row>
    <row r="95">
      <c r="C95" s="79"/>
      <c r="D95" s="79"/>
      <c r="E95" s="79"/>
      <c r="H95" s="79"/>
      <c r="I95" s="314"/>
      <c r="J95" s="79"/>
      <c r="K95" s="79"/>
      <c r="L95" s="79"/>
    </row>
    <row r="96">
      <c r="C96" s="79"/>
      <c r="D96" s="79"/>
      <c r="E96" s="79"/>
      <c r="H96" s="79"/>
      <c r="I96" s="314"/>
      <c r="J96" s="79"/>
      <c r="K96" s="79"/>
      <c r="L96" s="79"/>
    </row>
    <row r="97">
      <c r="C97" s="79"/>
      <c r="D97" s="79"/>
      <c r="E97" s="79"/>
      <c r="H97" s="79"/>
      <c r="I97" s="314"/>
      <c r="J97" s="79"/>
      <c r="K97" s="79"/>
      <c r="L97" s="79"/>
    </row>
    <row r="98">
      <c r="C98" s="79"/>
      <c r="D98" s="79"/>
      <c r="E98" s="79"/>
      <c r="H98" s="79"/>
      <c r="I98" s="314"/>
      <c r="J98" s="79"/>
      <c r="K98" s="79"/>
      <c r="L98" s="79"/>
    </row>
    <row r="99">
      <c r="C99" s="79"/>
      <c r="D99" s="79"/>
      <c r="E99" s="79"/>
      <c r="H99" s="79"/>
      <c r="I99" s="314"/>
      <c r="J99" s="79"/>
      <c r="K99" s="79"/>
      <c r="L99" s="79"/>
    </row>
    <row r="100">
      <c r="C100" s="79"/>
      <c r="D100" s="79"/>
      <c r="E100" s="79"/>
      <c r="H100" s="79"/>
      <c r="I100" s="314"/>
      <c r="J100" s="79"/>
      <c r="K100" s="79"/>
      <c r="L100" s="79"/>
    </row>
    <row r="101">
      <c r="C101" s="79"/>
      <c r="D101" s="79"/>
      <c r="E101" s="79"/>
      <c r="H101" s="79"/>
      <c r="I101" s="314"/>
      <c r="J101" s="79"/>
      <c r="K101" s="79"/>
      <c r="L101" s="79"/>
    </row>
    <row r="102">
      <c r="C102" s="79"/>
      <c r="D102" s="79"/>
      <c r="E102" s="79"/>
      <c r="H102" s="79"/>
      <c r="I102" s="314"/>
      <c r="J102" s="79"/>
      <c r="K102" s="79"/>
      <c r="L102" s="79"/>
    </row>
    <row r="103">
      <c r="C103" s="79"/>
      <c r="D103" s="79"/>
      <c r="E103" s="79"/>
      <c r="H103" s="79"/>
      <c r="I103" s="314"/>
      <c r="J103" s="79"/>
      <c r="K103" s="79"/>
      <c r="L103" s="79"/>
    </row>
    <row r="104">
      <c r="C104" s="79"/>
      <c r="D104" s="79"/>
      <c r="E104" s="79"/>
      <c r="H104" s="79"/>
      <c r="I104" s="314"/>
      <c r="J104" s="79"/>
      <c r="K104" s="79"/>
      <c r="L104" s="79"/>
    </row>
    <row r="105">
      <c r="C105" s="79"/>
      <c r="D105" s="79"/>
      <c r="E105" s="79"/>
      <c r="H105" s="79"/>
      <c r="I105" s="314"/>
      <c r="J105" s="79"/>
      <c r="K105" s="79"/>
      <c r="L105" s="79"/>
    </row>
    <row r="106">
      <c r="C106" s="79"/>
      <c r="D106" s="79"/>
      <c r="E106" s="79"/>
      <c r="H106" s="79"/>
      <c r="I106" s="314"/>
      <c r="J106" s="79"/>
      <c r="K106" s="79"/>
      <c r="L106" s="79"/>
    </row>
    <row r="107">
      <c r="C107" s="79"/>
      <c r="D107" s="79"/>
      <c r="E107" s="79"/>
      <c r="H107" s="79"/>
      <c r="I107" s="314"/>
      <c r="J107" s="79"/>
      <c r="K107" s="79"/>
      <c r="L107" s="79"/>
    </row>
    <row r="108">
      <c r="C108" s="79"/>
      <c r="D108" s="79"/>
      <c r="E108" s="79"/>
      <c r="H108" s="79"/>
      <c r="I108" s="314"/>
      <c r="J108" s="79"/>
      <c r="K108" s="79"/>
      <c r="L108" s="79"/>
    </row>
    <row r="109">
      <c r="C109" s="79"/>
      <c r="D109" s="79"/>
      <c r="E109" s="79"/>
      <c r="H109" s="79"/>
      <c r="I109" s="314"/>
      <c r="J109" s="79"/>
      <c r="K109" s="79"/>
      <c r="L109" s="79"/>
    </row>
    <row r="110">
      <c r="C110" s="79"/>
      <c r="D110" s="79"/>
      <c r="E110" s="79"/>
      <c r="H110" s="79"/>
      <c r="I110" s="314"/>
      <c r="J110" s="79"/>
      <c r="K110" s="79"/>
      <c r="L110" s="79"/>
    </row>
    <row r="111">
      <c r="C111" s="79"/>
      <c r="D111" s="79"/>
      <c r="E111" s="79"/>
      <c r="H111" s="79"/>
      <c r="I111" s="314"/>
      <c r="J111" s="79"/>
      <c r="K111" s="79"/>
      <c r="L111" s="79"/>
    </row>
    <row r="112">
      <c r="C112" s="79"/>
      <c r="D112" s="79"/>
      <c r="E112" s="79"/>
      <c r="H112" s="79"/>
      <c r="I112" s="314"/>
      <c r="J112" s="79"/>
      <c r="K112" s="79"/>
      <c r="L112" s="79"/>
    </row>
    <row r="113">
      <c r="C113" s="79"/>
      <c r="D113" s="79"/>
      <c r="E113" s="79"/>
      <c r="H113" s="79"/>
      <c r="I113" s="314"/>
      <c r="J113" s="79"/>
      <c r="K113" s="79"/>
      <c r="L113" s="79"/>
    </row>
    <row r="114">
      <c r="C114" s="79"/>
      <c r="D114" s="79"/>
      <c r="E114" s="79"/>
      <c r="H114" s="79"/>
      <c r="I114" s="314"/>
      <c r="J114" s="79"/>
      <c r="K114" s="79"/>
      <c r="L114" s="79"/>
    </row>
    <row r="115">
      <c r="C115" s="79"/>
      <c r="D115" s="79"/>
      <c r="E115" s="79"/>
      <c r="H115" s="79"/>
      <c r="I115" s="314"/>
      <c r="J115" s="79"/>
      <c r="K115" s="79"/>
      <c r="L115" s="79"/>
    </row>
    <row r="116">
      <c r="C116" s="79"/>
      <c r="D116" s="79"/>
      <c r="E116" s="79"/>
      <c r="H116" s="79"/>
      <c r="I116" s="314"/>
      <c r="J116" s="79"/>
      <c r="K116" s="79"/>
      <c r="L116" s="79"/>
    </row>
    <row r="117">
      <c r="C117" s="79"/>
      <c r="D117" s="79"/>
      <c r="E117" s="79"/>
      <c r="H117" s="79"/>
      <c r="I117" s="314"/>
      <c r="J117" s="79"/>
      <c r="K117" s="79"/>
      <c r="L117" s="79"/>
    </row>
    <row r="118">
      <c r="C118" s="79"/>
      <c r="D118" s="79"/>
      <c r="E118" s="79"/>
      <c r="F118" s="79"/>
      <c r="G118" s="79"/>
      <c r="H118" s="79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314"/>
      <c r="J738" s="79"/>
      <c r="K738" s="79"/>
      <c r="L738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20.25"/>
    <col customWidth="1" min="10" max="10" width="20.13"/>
    <col customWidth="1" min="11" max="11" width="24.0"/>
    <col customWidth="1" min="12" max="1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12</v>
      </c>
      <c r="G1" s="1" t="s">
        <v>5</v>
      </c>
      <c r="H1" s="1" t="s">
        <v>6</v>
      </c>
      <c r="I1" s="256" t="s">
        <v>7</v>
      </c>
      <c r="J1" s="1" t="s">
        <v>8</v>
      </c>
      <c r="K1" s="264" t="s">
        <v>9</v>
      </c>
      <c r="L1" s="147" t="s">
        <v>10</v>
      </c>
    </row>
    <row r="2" ht="22.5" hidden="1" customHeight="1">
      <c r="A2" s="5" t="s">
        <v>11</v>
      </c>
      <c r="B2" s="5" t="s">
        <v>15</v>
      </c>
      <c r="C2" s="351">
        <v>363.0</v>
      </c>
      <c r="D2" s="351" t="s">
        <v>17</v>
      </c>
      <c r="E2" s="603" t="s">
        <v>17</v>
      </c>
      <c r="F2" s="354" t="s">
        <v>17</v>
      </c>
      <c r="G2" s="498">
        <v>7.0</v>
      </c>
      <c r="H2" s="434">
        <v>0.0193</v>
      </c>
      <c r="I2" s="357" t="s">
        <v>1595</v>
      </c>
      <c r="J2" s="739">
        <v>38.0</v>
      </c>
      <c r="K2" s="545">
        <v>0.1206</v>
      </c>
      <c r="L2" s="740">
        <f>100-6.26</f>
        <v>93.74</v>
      </c>
    </row>
    <row r="3" ht="22.5" hidden="1" customHeight="1">
      <c r="A3" s="5" t="s">
        <v>11</v>
      </c>
      <c r="B3" s="5" t="s">
        <v>13</v>
      </c>
      <c r="C3" s="351">
        <v>1289.0</v>
      </c>
      <c r="D3" s="351" t="s">
        <v>17</v>
      </c>
      <c r="E3" s="603" t="s">
        <v>17</v>
      </c>
      <c r="F3" s="354" t="s">
        <v>17</v>
      </c>
      <c r="G3" s="741">
        <v>20.0</v>
      </c>
      <c r="H3" s="672">
        <v>0.0155</v>
      </c>
      <c r="I3" s="357" t="s">
        <v>1596</v>
      </c>
      <c r="J3" s="742">
        <v>88.0</v>
      </c>
      <c r="K3" s="743">
        <v>0.0745</v>
      </c>
      <c r="L3" s="744">
        <f>100-2.47</f>
        <v>97.53</v>
      </c>
    </row>
    <row r="4" ht="22.5" hidden="1" customHeight="1">
      <c r="A4" s="5" t="s">
        <v>11</v>
      </c>
      <c r="B4" s="5" t="s">
        <v>27</v>
      </c>
      <c r="C4" s="351">
        <v>630.0</v>
      </c>
      <c r="D4" s="351" t="s">
        <v>17</v>
      </c>
      <c r="E4" s="603" t="s">
        <v>17</v>
      </c>
      <c r="F4" s="354" t="s">
        <v>17</v>
      </c>
      <c r="G4" s="418">
        <v>8.0</v>
      </c>
      <c r="H4" s="499">
        <v>0.0127</v>
      </c>
      <c r="I4" s="357" t="s">
        <v>1597</v>
      </c>
      <c r="J4" s="615">
        <v>67.0</v>
      </c>
      <c r="K4" s="745">
        <v>0.1165</v>
      </c>
      <c r="L4" s="746">
        <f>100-2.34</f>
        <v>97.66</v>
      </c>
    </row>
    <row r="5" ht="22.5" hidden="1" customHeight="1">
      <c r="A5" s="5" t="s">
        <v>11</v>
      </c>
      <c r="B5" s="5" t="s">
        <v>33</v>
      </c>
      <c r="C5" s="351">
        <v>738.0</v>
      </c>
      <c r="D5" s="351" t="s">
        <v>17</v>
      </c>
      <c r="E5" s="603" t="s">
        <v>17</v>
      </c>
      <c r="F5" s="354" t="s">
        <v>17</v>
      </c>
      <c r="G5" s="747">
        <v>16.0</v>
      </c>
      <c r="H5" s="655">
        <v>0.0217</v>
      </c>
      <c r="I5" s="357" t="s">
        <v>1598</v>
      </c>
      <c r="J5" s="748">
        <v>83.0</v>
      </c>
      <c r="K5" s="669">
        <v>0.1279</v>
      </c>
      <c r="L5" s="744">
        <f>100-3.23</f>
        <v>96.77</v>
      </c>
    </row>
    <row r="6" ht="22.5" hidden="1" customHeight="1">
      <c r="A6" s="5" t="s">
        <v>11</v>
      </c>
      <c r="B6" s="5" t="s">
        <v>918</v>
      </c>
      <c r="C6" s="351">
        <v>161.0</v>
      </c>
      <c r="D6" s="351" t="s">
        <v>17</v>
      </c>
      <c r="E6" s="603" t="s">
        <v>17</v>
      </c>
      <c r="F6" s="354" t="s">
        <v>17</v>
      </c>
      <c r="G6" s="613">
        <v>1.0</v>
      </c>
      <c r="H6" s="749">
        <v>0.0061</v>
      </c>
      <c r="I6" s="357" t="s">
        <v>1599</v>
      </c>
      <c r="J6" s="22">
        <v>2.0</v>
      </c>
      <c r="K6" s="23">
        <v>0.0132</v>
      </c>
      <c r="L6" s="750">
        <v>1.0</v>
      </c>
    </row>
    <row r="7" ht="22.5" hidden="1" customHeight="1">
      <c r="A7" s="5" t="s">
        <v>11</v>
      </c>
      <c r="B7" s="5" t="s">
        <v>19</v>
      </c>
      <c r="C7" s="351">
        <v>1102.0</v>
      </c>
      <c r="D7" s="22">
        <v>1.0</v>
      </c>
      <c r="E7" s="23">
        <v>9.0E-4</v>
      </c>
      <c r="F7" s="354" t="s">
        <v>1167</v>
      </c>
      <c r="G7" s="365">
        <v>23.0</v>
      </c>
      <c r="H7" s="751">
        <v>0.0218</v>
      </c>
      <c r="I7" s="357" t="s">
        <v>1600</v>
      </c>
      <c r="J7" s="365">
        <v>112.0</v>
      </c>
      <c r="K7" s="405">
        <v>0.11</v>
      </c>
      <c r="L7" s="752">
        <v>95.81</v>
      </c>
    </row>
    <row r="8" ht="22.5" hidden="1" customHeight="1">
      <c r="A8" s="5" t="s">
        <v>11</v>
      </c>
      <c r="B8" s="5" t="s">
        <v>46</v>
      </c>
      <c r="C8" s="351">
        <v>89.0</v>
      </c>
      <c r="D8" s="351" t="s">
        <v>17</v>
      </c>
      <c r="E8" s="603" t="s">
        <v>17</v>
      </c>
      <c r="F8" s="354" t="s">
        <v>17</v>
      </c>
      <c r="G8" s="673">
        <v>2.0</v>
      </c>
      <c r="H8" s="753">
        <v>0.0225</v>
      </c>
      <c r="I8" s="357" t="s">
        <v>1490</v>
      </c>
      <c r="J8" s="371">
        <v>6.0</v>
      </c>
      <c r="K8" s="598">
        <v>0.0723</v>
      </c>
      <c r="L8" s="746">
        <f>100-2.21</f>
        <v>97.79</v>
      </c>
    </row>
    <row r="9" ht="22.5" hidden="1" customHeight="1">
      <c r="A9" s="5" t="s">
        <v>11</v>
      </c>
      <c r="B9" s="5" t="s">
        <v>50</v>
      </c>
      <c r="C9" s="351">
        <v>373.0</v>
      </c>
      <c r="D9" s="22">
        <v>1.0</v>
      </c>
      <c r="E9" s="754">
        <v>0.0027</v>
      </c>
      <c r="F9" s="354" t="s">
        <v>911</v>
      </c>
      <c r="G9" s="613">
        <v>5.0</v>
      </c>
      <c r="H9" s="604">
        <v>0.0134</v>
      </c>
      <c r="I9" s="357" t="s">
        <v>1601</v>
      </c>
      <c r="J9" s="755">
        <v>30.0</v>
      </c>
      <c r="K9" s="756">
        <v>0.0901</v>
      </c>
      <c r="L9" s="746">
        <f>100-2.52</f>
        <v>97.48</v>
      </c>
    </row>
    <row r="10" ht="22.5" hidden="1" customHeight="1">
      <c r="A10" s="5" t="s">
        <v>11</v>
      </c>
      <c r="B10" s="5" t="s">
        <v>58</v>
      </c>
      <c r="C10" s="351">
        <v>502.0</v>
      </c>
      <c r="D10" s="22">
        <v>1.0</v>
      </c>
      <c r="E10" s="620">
        <v>0.002</v>
      </c>
      <c r="F10" s="354" t="s">
        <v>1602</v>
      </c>
      <c r="G10" s="613">
        <v>9.0</v>
      </c>
      <c r="H10" s="604">
        <v>0.0179</v>
      </c>
      <c r="I10" s="357" t="s">
        <v>1603</v>
      </c>
      <c r="J10" s="757">
        <v>24.0</v>
      </c>
      <c r="K10" s="464">
        <v>0.0514</v>
      </c>
      <c r="L10" s="752">
        <f>100-4.17</f>
        <v>95.83</v>
      </c>
    </row>
    <row r="11" ht="22.5" hidden="1" customHeight="1">
      <c r="A11" s="5" t="s">
        <v>11</v>
      </c>
      <c r="B11" s="5" t="s">
        <v>64</v>
      </c>
      <c r="C11" s="351">
        <v>337.0</v>
      </c>
      <c r="D11" s="351" t="s">
        <v>17</v>
      </c>
      <c r="E11" s="603" t="s">
        <v>17</v>
      </c>
      <c r="F11" s="354" t="s">
        <v>17</v>
      </c>
      <c r="G11" s="613">
        <v>3.0</v>
      </c>
      <c r="H11" s="604">
        <v>0.0089</v>
      </c>
      <c r="I11" s="357" t="s">
        <v>1604</v>
      </c>
      <c r="J11" s="758">
        <v>13.0</v>
      </c>
      <c r="K11" s="482">
        <v>0.0421</v>
      </c>
      <c r="L11" s="750">
        <v>1.0</v>
      </c>
    </row>
    <row r="12" ht="22.5" hidden="1" customHeight="1">
      <c r="A12" s="5" t="s">
        <v>11</v>
      </c>
      <c r="B12" s="5" t="s">
        <v>71</v>
      </c>
      <c r="C12" s="351">
        <v>390.0</v>
      </c>
      <c r="D12" s="351" t="s">
        <v>17</v>
      </c>
      <c r="E12" s="603" t="s">
        <v>17</v>
      </c>
      <c r="F12" s="354" t="s">
        <v>17</v>
      </c>
      <c r="G12" s="759">
        <v>9.0</v>
      </c>
      <c r="H12" s="662">
        <v>0.0231</v>
      </c>
      <c r="I12" s="357" t="s">
        <v>1605</v>
      </c>
      <c r="J12" s="760">
        <v>43.0</v>
      </c>
      <c r="K12" s="761">
        <v>0.1246</v>
      </c>
      <c r="L12" s="750">
        <v>1.0</v>
      </c>
    </row>
    <row r="13" ht="22.5" hidden="1" customHeight="1">
      <c r="A13" s="5" t="s">
        <v>11</v>
      </c>
      <c r="B13" s="5" t="s">
        <v>77</v>
      </c>
      <c r="C13" s="351">
        <v>398.0</v>
      </c>
      <c r="D13" s="22">
        <v>1.0</v>
      </c>
      <c r="E13" s="514">
        <v>0.0025</v>
      </c>
      <c r="F13" s="354" t="s">
        <v>41</v>
      </c>
      <c r="G13" s="411">
        <v>6.0</v>
      </c>
      <c r="H13" s="604">
        <v>0.0151</v>
      </c>
      <c r="I13" s="357" t="s">
        <v>1606</v>
      </c>
      <c r="J13" s="762">
        <v>35.0</v>
      </c>
      <c r="K13" s="447">
        <v>0.0959</v>
      </c>
      <c r="L13" s="744">
        <f>100-3.11</f>
        <v>96.89</v>
      </c>
    </row>
    <row r="14" ht="22.5" hidden="1" customHeight="1">
      <c r="A14" s="5" t="s">
        <v>11</v>
      </c>
      <c r="B14" s="5" t="s">
        <v>82</v>
      </c>
      <c r="C14" s="351">
        <v>387.0</v>
      </c>
      <c r="D14" s="22">
        <v>1.0</v>
      </c>
      <c r="E14" s="681">
        <v>0.0026</v>
      </c>
      <c r="F14" s="354" t="s">
        <v>1607</v>
      </c>
      <c r="G14" s="411">
        <v>6.0</v>
      </c>
      <c r="H14" s="604">
        <v>0.0155</v>
      </c>
      <c r="I14" s="357" t="s">
        <v>1608</v>
      </c>
      <c r="J14" s="628">
        <v>18.0</v>
      </c>
      <c r="K14" s="763">
        <v>0.0496</v>
      </c>
      <c r="L14" s="744">
        <f>100-2.76</f>
        <v>97.24</v>
      </c>
    </row>
    <row r="15" ht="22.5" hidden="1" customHeight="1">
      <c r="A15" s="5" t="s">
        <v>11</v>
      </c>
      <c r="B15" s="5" t="s">
        <v>90</v>
      </c>
      <c r="C15" s="351">
        <v>408.0</v>
      </c>
      <c r="D15" s="351" t="s">
        <v>17</v>
      </c>
      <c r="E15" s="603" t="s">
        <v>17</v>
      </c>
      <c r="F15" s="354" t="s">
        <v>17</v>
      </c>
      <c r="G15" s="494">
        <v>4.0</v>
      </c>
      <c r="H15" s="604">
        <v>0.0098</v>
      </c>
      <c r="I15" s="357" t="s">
        <v>1609</v>
      </c>
      <c r="J15" s="355">
        <v>33.0</v>
      </c>
      <c r="K15" s="764">
        <v>0.088</v>
      </c>
      <c r="L15" s="765">
        <f>100-0.93</f>
        <v>99.07</v>
      </c>
    </row>
    <row r="16" ht="22.5" hidden="1" customHeight="1">
      <c r="A16" s="5" t="s">
        <v>11</v>
      </c>
      <c r="B16" s="5" t="s">
        <v>94</v>
      </c>
      <c r="C16" s="351">
        <v>325.0</v>
      </c>
      <c r="D16" s="351" t="s">
        <v>17</v>
      </c>
      <c r="E16" s="603" t="s">
        <v>17</v>
      </c>
      <c r="F16" s="354" t="s">
        <v>17</v>
      </c>
      <c r="G16" s="667">
        <v>5.0</v>
      </c>
      <c r="H16" s="604">
        <v>0.0154</v>
      </c>
      <c r="I16" s="357" t="s">
        <v>1610</v>
      </c>
      <c r="J16" s="755">
        <v>30.0</v>
      </c>
      <c r="K16" s="766">
        <v>0.1111</v>
      </c>
      <c r="L16" s="765">
        <f>100-0.37</f>
        <v>99.63</v>
      </c>
    </row>
    <row r="17" ht="22.5" hidden="1" customHeight="1">
      <c r="A17" s="5" t="s">
        <v>11</v>
      </c>
      <c r="B17" s="5" t="s">
        <v>39</v>
      </c>
      <c r="C17" s="351">
        <v>739.0</v>
      </c>
      <c r="D17" s="22">
        <v>1.0</v>
      </c>
      <c r="E17" s="767">
        <v>0.0014</v>
      </c>
      <c r="F17" s="354" t="s">
        <v>915</v>
      </c>
      <c r="G17" s="747">
        <v>16.0</v>
      </c>
      <c r="H17" s="655">
        <v>0.0217</v>
      </c>
      <c r="I17" s="357" t="s">
        <v>1611</v>
      </c>
      <c r="J17" s="768">
        <v>103.0</v>
      </c>
      <c r="K17" s="769">
        <v>0.1575</v>
      </c>
      <c r="L17" s="770">
        <f>100-5.17</f>
        <v>94.83</v>
      </c>
    </row>
    <row r="18" ht="22.5" hidden="1" customHeight="1">
      <c r="A18" s="5" t="s">
        <v>11</v>
      </c>
      <c r="B18" s="5" t="s">
        <v>104</v>
      </c>
      <c r="C18" s="351">
        <v>150.0</v>
      </c>
      <c r="D18" s="394">
        <v>2.0</v>
      </c>
      <c r="E18" s="474">
        <v>0.0132</v>
      </c>
      <c r="F18" s="354" t="s">
        <v>1612</v>
      </c>
      <c r="G18" s="380">
        <v>2.0</v>
      </c>
      <c r="H18" s="604">
        <v>0.0133</v>
      </c>
      <c r="I18" s="357" t="s">
        <v>1613</v>
      </c>
      <c r="J18" s="22">
        <v>0.0</v>
      </c>
      <c r="K18" s="771">
        <v>0.0</v>
      </c>
      <c r="L18" s="750">
        <v>1.0</v>
      </c>
    </row>
    <row r="19" ht="22.5" hidden="1" customHeight="1">
      <c r="A19" s="5" t="s">
        <v>11</v>
      </c>
      <c r="B19" s="5" t="s">
        <v>59</v>
      </c>
      <c r="C19" s="351">
        <v>693.0</v>
      </c>
      <c r="D19" s="394">
        <v>2.0</v>
      </c>
      <c r="E19" s="772">
        <v>0.0029</v>
      </c>
      <c r="F19" s="354" t="s">
        <v>1614</v>
      </c>
      <c r="G19" s="411">
        <v>6.0</v>
      </c>
      <c r="H19" s="604">
        <v>0.0087</v>
      </c>
      <c r="I19" s="357" t="s">
        <v>1615</v>
      </c>
      <c r="J19" s="543">
        <v>61.0</v>
      </c>
      <c r="K19" s="773">
        <v>0.0955</v>
      </c>
      <c r="L19" s="770">
        <f>100-5.83</f>
        <v>94.17</v>
      </c>
    </row>
    <row r="20" ht="22.5" hidden="1" customHeight="1">
      <c r="A20" s="5" t="s">
        <v>11</v>
      </c>
      <c r="B20" s="5" t="s">
        <v>114</v>
      </c>
      <c r="C20" s="351">
        <v>336.0</v>
      </c>
      <c r="D20" s="351" t="s">
        <v>17</v>
      </c>
      <c r="E20" s="351" t="s">
        <v>17</v>
      </c>
      <c r="F20" s="354" t="s">
        <v>17</v>
      </c>
      <c r="G20" s="759">
        <v>9.0</v>
      </c>
      <c r="H20" s="403">
        <v>0.0268</v>
      </c>
      <c r="I20" s="357" t="s">
        <v>1616</v>
      </c>
      <c r="J20" s="446">
        <v>36.0</v>
      </c>
      <c r="K20" s="774">
        <v>0.1204</v>
      </c>
      <c r="L20" s="744">
        <f>100-2.29</f>
        <v>97.71</v>
      </c>
    </row>
    <row r="21" ht="22.5" hidden="1" customHeight="1">
      <c r="A21" s="5" t="s">
        <v>11</v>
      </c>
      <c r="B21" s="5" t="s">
        <v>119</v>
      </c>
      <c r="C21" s="351">
        <v>279.0</v>
      </c>
      <c r="D21" s="394">
        <v>2.0</v>
      </c>
      <c r="E21" s="524">
        <v>0.0071</v>
      </c>
      <c r="F21" s="354" t="s">
        <v>1617</v>
      </c>
      <c r="G21" s="411">
        <v>6.0</v>
      </c>
      <c r="H21" s="775">
        <v>0.0215</v>
      </c>
      <c r="I21" s="357" t="s">
        <v>1618</v>
      </c>
      <c r="J21" s="776">
        <v>20.0</v>
      </c>
      <c r="K21" s="777">
        <v>0.076</v>
      </c>
      <c r="L21" s="752">
        <f>100-4.24</f>
        <v>95.76</v>
      </c>
    </row>
    <row r="22" ht="22.5" hidden="1" customHeight="1">
      <c r="A22" s="5" t="s">
        <v>11</v>
      </c>
      <c r="B22" s="5" t="s">
        <v>126</v>
      </c>
      <c r="C22" s="351">
        <v>260.0</v>
      </c>
      <c r="D22" s="351" t="s">
        <v>17</v>
      </c>
      <c r="E22" s="603" t="s">
        <v>17</v>
      </c>
      <c r="F22" s="354" t="s">
        <v>17</v>
      </c>
      <c r="G22" s="494">
        <v>4.0</v>
      </c>
      <c r="H22" s="604">
        <v>0.0154</v>
      </c>
      <c r="I22" s="357" t="s">
        <v>1619</v>
      </c>
      <c r="J22" s="628">
        <v>18.0</v>
      </c>
      <c r="K22" s="632">
        <v>0.075</v>
      </c>
      <c r="L22" s="744">
        <f>100-2.87</f>
        <v>97.13</v>
      </c>
    </row>
    <row r="23" ht="22.5" hidden="1" customHeight="1">
      <c r="A23" s="5" t="s">
        <v>11</v>
      </c>
      <c r="B23" s="5" t="s">
        <v>136</v>
      </c>
      <c r="C23" s="351">
        <v>411.0</v>
      </c>
      <c r="D23" s="351" t="s">
        <v>17</v>
      </c>
      <c r="E23" s="603" t="s">
        <v>17</v>
      </c>
      <c r="F23" s="354" t="s">
        <v>17</v>
      </c>
      <c r="G23" s="380">
        <v>2.0</v>
      </c>
      <c r="H23" s="604">
        <v>0.0049</v>
      </c>
      <c r="I23" s="357" t="s">
        <v>1620</v>
      </c>
      <c r="J23" s="760">
        <v>43.0</v>
      </c>
      <c r="K23" s="455">
        <v>0.1144</v>
      </c>
      <c r="L23" s="778">
        <f>100-1.92</f>
        <v>98.08</v>
      </c>
    </row>
    <row r="24" ht="22.5" hidden="1" customHeight="1">
      <c r="A24" s="5" t="s">
        <v>11</v>
      </c>
      <c r="B24" s="5" t="s">
        <v>72</v>
      </c>
      <c r="C24" s="351">
        <v>349.0</v>
      </c>
      <c r="D24" s="351" t="s">
        <v>17</v>
      </c>
      <c r="E24" s="603" t="s">
        <v>17</v>
      </c>
      <c r="F24" s="354" t="s">
        <v>17</v>
      </c>
      <c r="G24" s="380">
        <v>2.0</v>
      </c>
      <c r="H24" s="604">
        <v>0.0057</v>
      </c>
      <c r="I24" s="357" t="s">
        <v>1621</v>
      </c>
      <c r="J24" s="674">
        <v>19.0</v>
      </c>
      <c r="K24" s="408">
        <v>0.0597</v>
      </c>
      <c r="L24" s="750">
        <v>1.0</v>
      </c>
    </row>
    <row r="25" ht="22.5" hidden="1" customHeight="1">
      <c r="A25" s="5" t="s">
        <v>11</v>
      </c>
      <c r="B25" s="5" t="s">
        <v>145</v>
      </c>
      <c r="C25" s="351">
        <v>294.0</v>
      </c>
      <c r="D25" s="22">
        <v>1.0</v>
      </c>
      <c r="E25" s="786">
        <v>0.0034</v>
      </c>
      <c r="F25" s="354" t="s">
        <v>277</v>
      </c>
      <c r="G25" s="747">
        <v>16.0</v>
      </c>
      <c r="H25" s="474">
        <v>0.0544</v>
      </c>
      <c r="I25" s="357" t="s">
        <v>1623</v>
      </c>
      <c r="J25" s="759">
        <v>42.0</v>
      </c>
      <c r="K25" s="474">
        <v>0.1597</v>
      </c>
      <c r="L25" s="770">
        <f>100-5.98</f>
        <v>94.02</v>
      </c>
    </row>
    <row r="26" ht="22.5" hidden="1" customHeight="1">
      <c r="A26" s="5" t="s">
        <v>11</v>
      </c>
      <c r="B26" s="5" t="s">
        <v>85</v>
      </c>
      <c r="C26" s="351">
        <v>449.0</v>
      </c>
      <c r="D26" s="351" t="s">
        <v>17</v>
      </c>
      <c r="E26" s="603" t="s">
        <v>17</v>
      </c>
      <c r="F26" s="354" t="s">
        <v>17</v>
      </c>
      <c r="G26" s="498">
        <v>7.0</v>
      </c>
      <c r="H26" s="604">
        <v>0.0156</v>
      </c>
      <c r="I26" s="357" t="s">
        <v>1626</v>
      </c>
      <c r="J26" s="792">
        <v>46.0</v>
      </c>
      <c r="K26" s="405">
        <v>0.11</v>
      </c>
      <c r="L26" s="744">
        <f>100-3.8</f>
        <v>96.2</v>
      </c>
    </row>
    <row r="27" ht="22.5" hidden="1" customHeight="1">
      <c r="A27" s="5" t="s">
        <v>11</v>
      </c>
      <c r="B27" s="35" t="s">
        <v>79</v>
      </c>
      <c r="C27" s="351">
        <v>530.0</v>
      </c>
      <c r="D27" s="351" t="s">
        <v>17</v>
      </c>
      <c r="E27" s="603" t="s">
        <v>17</v>
      </c>
      <c r="F27" s="354" t="s">
        <v>17</v>
      </c>
      <c r="G27" s="759">
        <v>9.0</v>
      </c>
      <c r="H27" s="604">
        <v>0.017</v>
      </c>
      <c r="I27" s="357" t="s">
        <v>1627</v>
      </c>
      <c r="J27" s="418">
        <v>37.0</v>
      </c>
      <c r="K27" s="530">
        <v>0.073</v>
      </c>
      <c r="L27" s="765">
        <f>100-0.85</f>
        <v>99.15</v>
      </c>
    </row>
    <row r="28" ht="22.5" hidden="1" customHeight="1">
      <c r="A28" s="5" t="s">
        <v>11</v>
      </c>
      <c r="B28" s="5" t="s">
        <v>109</v>
      </c>
      <c r="C28" s="351">
        <v>433.0</v>
      </c>
      <c r="D28" s="351" t="s">
        <v>17</v>
      </c>
      <c r="E28" s="603" t="s">
        <v>17</v>
      </c>
      <c r="F28" s="354" t="s">
        <v>17</v>
      </c>
      <c r="G28" s="498">
        <v>7.0</v>
      </c>
      <c r="H28" s="604">
        <v>0.0162</v>
      </c>
      <c r="I28" s="357" t="s">
        <v>1629</v>
      </c>
      <c r="J28" s="527">
        <v>10.0</v>
      </c>
      <c r="K28" s="664">
        <v>0.0244</v>
      </c>
      <c r="L28" s="765">
        <f>100-0.41</f>
        <v>99.59</v>
      </c>
    </row>
    <row r="29" ht="22.5" hidden="1" customHeight="1">
      <c r="A29" s="5" t="s">
        <v>11</v>
      </c>
      <c r="B29" s="5" t="s">
        <v>49</v>
      </c>
      <c r="C29" s="351">
        <v>632.0</v>
      </c>
      <c r="D29" s="394">
        <v>2.0</v>
      </c>
      <c r="E29" s="627">
        <v>0.0032</v>
      </c>
      <c r="F29" s="354" t="s">
        <v>1624</v>
      </c>
      <c r="G29" s="418">
        <v>8.0</v>
      </c>
      <c r="H29" s="604">
        <v>0.0127</v>
      </c>
      <c r="I29" s="357" t="s">
        <v>1632</v>
      </c>
      <c r="J29" s="446">
        <v>36.0</v>
      </c>
      <c r="K29" s="412">
        <v>0.0602</v>
      </c>
      <c r="L29" s="752">
        <f>100-1.05</f>
        <v>98.95</v>
      </c>
    </row>
    <row r="30" ht="22.5" hidden="1" customHeight="1">
      <c r="A30" s="5" t="s">
        <v>11</v>
      </c>
      <c r="B30" s="5" t="s">
        <v>115</v>
      </c>
      <c r="C30" s="351">
        <v>414.0</v>
      </c>
      <c r="D30" s="351" t="s">
        <v>17</v>
      </c>
      <c r="E30" s="351" t="s">
        <v>17</v>
      </c>
      <c r="F30" s="354" t="s">
        <v>17</v>
      </c>
      <c r="G30" s="494">
        <v>4.0</v>
      </c>
      <c r="H30" s="604">
        <v>0.0097</v>
      </c>
      <c r="I30" s="357" t="s">
        <v>1634</v>
      </c>
      <c r="J30" s="809">
        <v>28.0</v>
      </c>
      <c r="K30" s="632">
        <v>0.0753</v>
      </c>
      <c r="L30" s="765">
        <f>100-0.22</f>
        <v>99.78</v>
      </c>
    </row>
    <row r="31" ht="22.5" hidden="1" customHeight="1">
      <c r="A31" s="5" t="s">
        <v>11</v>
      </c>
      <c r="B31" s="5" t="s">
        <v>45</v>
      </c>
      <c r="C31" s="351">
        <v>774.0</v>
      </c>
      <c r="D31" s="351" t="s">
        <v>17</v>
      </c>
      <c r="E31" s="351" t="s">
        <v>17</v>
      </c>
      <c r="F31" s="354" t="s">
        <v>17</v>
      </c>
      <c r="G31" s="498">
        <v>7.0</v>
      </c>
      <c r="H31" s="604">
        <v>0.009</v>
      </c>
      <c r="I31" s="357" t="s">
        <v>1636</v>
      </c>
      <c r="J31" s="792">
        <v>46.0</v>
      </c>
      <c r="K31" s="751">
        <v>0.0631</v>
      </c>
      <c r="L31" s="746">
        <f>100-2.13</f>
        <v>97.87</v>
      </c>
    </row>
    <row r="32" ht="22.5" hidden="1" customHeight="1">
      <c r="A32" s="5" t="s">
        <v>11</v>
      </c>
      <c r="B32" s="5" t="s">
        <v>170</v>
      </c>
      <c r="C32" s="351">
        <v>282.0</v>
      </c>
      <c r="D32" s="394">
        <v>2.0</v>
      </c>
      <c r="E32" s="425">
        <v>0.007</v>
      </c>
      <c r="F32" s="354" t="s">
        <v>1638</v>
      </c>
      <c r="G32" s="673">
        <v>3.0</v>
      </c>
      <c r="H32" s="604">
        <v>0.0106</v>
      </c>
      <c r="I32" s="357" t="s">
        <v>1639</v>
      </c>
      <c r="J32" s="762">
        <v>35.0</v>
      </c>
      <c r="K32" s="816">
        <v>0.1321</v>
      </c>
      <c r="L32" s="778">
        <f>100-1.63</f>
        <v>98.37</v>
      </c>
    </row>
    <row r="33" ht="22.5" hidden="1" customHeight="1">
      <c r="A33" s="5" t="s">
        <v>11</v>
      </c>
      <c r="B33" s="5" t="s">
        <v>123</v>
      </c>
      <c r="C33" s="351">
        <v>408.0</v>
      </c>
      <c r="D33" s="22">
        <v>1.0</v>
      </c>
      <c r="E33" s="500">
        <v>0.0024</v>
      </c>
      <c r="F33" s="354" t="s">
        <v>1607</v>
      </c>
      <c r="G33" s="615">
        <v>14.0</v>
      </c>
      <c r="H33" s="821">
        <v>0.0343</v>
      </c>
      <c r="I33" s="357" t="s">
        <v>1642</v>
      </c>
      <c r="J33" s="757">
        <v>24.0</v>
      </c>
      <c r="K33" s="822">
        <v>0.0658</v>
      </c>
      <c r="L33" s="752">
        <f>100-4.14</f>
        <v>95.86</v>
      </c>
    </row>
    <row r="34" ht="22.5" hidden="1" customHeight="1">
      <c r="A34" s="5" t="s">
        <v>11</v>
      </c>
      <c r="B34" s="5" t="s">
        <v>96</v>
      </c>
      <c r="C34" s="351">
        <v>389.0</v>
      </c>
      <c r="D34" s="351" t="s">
        <v>17</v>
      </c>
      <c r="E34" s="603" t="s">
        <v>17</v>
      </c>
      <c r="F34" s="354" t="s">
        <v>17</v>
      </c>
      <c r="G34" s="494">
        <v>4.0</v>
      </c>
      <c r="H34" s="826">
        <v>0.0103</v>
      </c>
      <c r="I34" s="357" t="s">
        <v>1644</v>
      </c>
      <c r="J34" s="827">
        <v>16.0</v>
      </c>
      <c r="K34" s="830">
        <v>0.046</v>
      </c>
      <c r="L34" s="765">
        <f>100-0.86</f>
        <v>99.14</v>
      </c>
    </row>
    <row r="35" ht="22.5" hidden="1" customHeight="1">
      <c r="A35" s="5" t="s">
        <v>11</v>
      </c>
      <c r="B35" s="5" t="s">
        <v>156</v>
      </c>
      <c r="C35" s="351">
        <v>457.0</v>
      </c>
      <c r="D35" s="394">
        <v>2.0</v>
      </c>
      <c r="E35" s="532">
        <v>0.0044</v>
      </c>
      <c r="F35" s="354" t="s">
        <v>1648</v>
      </c>
      <c r="G35" s="607">
        <v>11.0</v>
      </c>
      <c r="H35" s="838">
        <v>0.0241</v>
      </c>
      <c r="I35" s="357" t="s">
        <v>1649</v>
      </c>
      <c r="J35" s="840">
        <v>59.0</v>
      </c>
      <c r="K35" s="842">
        <v>0.1395</v>
      </c>
      <c r="L35" s="746">
        <f>100-2.88</f>
        <v>97.12</v>
      </c>
    </row>
    <row r="36" ht="22.5" hidden="1" customHeight="1">
      <c r="A36" s="5" t="s">
        <v>11</v>
      </c>
      <c r="B36" s="5" t="s">
        <v>153</v>
      </c>
      <c r="C36" s="351">
        <v>327.0</v>
      </c>
      <c r="D36" s="351" t="s">
        <v>17</v>
      </c>
      <c r="E36" s="603" t="s">
        <v>17</v>
      </c>
      <c r="F36" s="354" t="s">
        <v>17</v>
      </c>
      <c r="G36" s="667">
        <v>5.0</v>
      </c>
      <c r="H36" s="604">
        <v>0.0153</v>
      </c>
      <c r="I36" s="357" t="s">
        <v>1654</v>
      </c>
      <c r="J36" s="755">
        <v>30.0</v>
      </c>
      <c r="K36" s="536">
        <v>0.1007</v>
      </c>
      <c r="L36" s="849">
        <f>100-0.72</f>
        <v>99.28</v>
      </c>
    </row>
    <row r="37" ht="22.5" hidden="1" customHeight="1">
      <c r="A37" s="5" t="s">
        <v>11</v>
      </c>
      <c r="B37" s="5" t="s">
        <v>159</v>
      </c>
      <c r="C37" s="351">
        <v>288.0</v>
      </c>
      <c r="D37" s="351" t="s">
        <v>17</v>
      </c>
      <c r="E37" s="603" t="s">
        <v>17</v>
      </c>
      <c r="F37" s="354" t="s">
        <v>17</v>
      </c>
      <c r="G37" s="673">
        <v>1.0</v>
      </c>
      <c r="H37" s="749">
        <v>0.0028</v>
      </c>
      <c r="I37" s="357" t="s">
        <v>1655</v>
      </c>
      <c r="J37" s="757">
        <v>24.0</v>
      </c>
      <c r="K37" s="851">
        <v>0.0934</v>
      </c>
      <c r="L37" s="744">
        <f>100-2.18</f>
        <v>97.82</v>
      </c>
    </row>
    <row r="38" ht="22.5" hidden="1" customHeight="1">
      <c r="A38" s="5" t="s">
        <v>11</v>
      </c>
      <c r="B38" s="5" t="s">
        <v>26</v>
      </c>
      <c r="C38" s="351">
        <v>787.0</v>
      </c>
      <c r="D38" s="365">
        <v>3.0</v>
      </c>
      <c r="E38" s="856">
        <v>0.0038</v>
      </c>
      <c r="F38" s="354" t="s">
        <v>1658</v>
      </c>
      <c r="G38" s="615">
        <v>14.0</v>
      </c>
      <c r="H38" s="604">
        <v>0.0178</v>
      </c>
      <c r="I38" s="357" t="s">
        <v>1659</v>
      </c>
      <c r="J38" s="429">
        <v>65.0</v>
      </c>
      <c r="K38" s="651">
        <v>0.0913</v>
      </c>
      <c r="L38" s="860">
        <f>100-8.1</f>
        <v>91.9</v>
      </c>
    </row>
    <row r="39" ht="22.5" hidden="1" customHeight="1">
      <c r="A39" s="5" t="s">
        <v>11</v>
      </c>
      <c r="B39" s="5" t="s">
        <v>23</v>
      </c>
      <c r="C39" s="351">
        <v>768.0</v>
      </c>
      <c r="D39" s="351" t="s">
        <v>17</v>
      </c>
      <c r="E39" s="603" t="s">
        <v>17</v>
      </c>
      <c r="F39" s="354" t="s">
        <v>17</v>
      </c>
      <c r="G39" s="615">
        <v>14.0</v>
      </c>
      <c r="H39" s="604">
        <v>0.0182</v>
      </c>
      <c r="I39" s="357" t="s">
        <v>1663</v>
      </c>
      <c r="J39" s="864">
        <v>64.0</v>
      </c>
      <c r="K39" s="866">
        <v>0.0891</v>
      </c>
      <c r="L39" s="744">
        <f>100-3.1</f>
        <v>96.9</v>
      </c>
    </row>
    <row r="40" ht="22.5" hidden="1" customHeight="1">
      <c r="A40" s="5" t="s">
        <v>11</v>
      </c>
      <c r="B40" s="5" t="s">
        <v>63</v>
      </c>
      <c r="C40" s="351">
        <v>523.0</v>
      </c>
      <c r="D40" s="365">
        <v>3.0</v>
      </c>
      <c r="E40" s="654">
        <v>0.0057</v>
      </c>
      <c r="F40" s="354" t="s">
        <v>1665</v>
      </c>
      <c r="G40" s="418">
        <v>8.0</v>
      </c>
      <c r="H40" s="604">
        <v>0.0153</v>
      </c>
      <c r="I40" s="357" t="s">
        <v>1667</v>
      </c>
      <c r="J40" s="871">
        <v>55.0</v>
      </c>
      <c r="K40" s="872">
        <v>0.1093</v>
      </c>
      <c r="L40" s="849">
        <f>100-0.56</f>
        <v>99.44</v>
      </c>
    </row>
    <row r="41" ht="22.5" customHeight="1">
      <c r="A41" s="5" t="s">
        <v>185</v>
      </c>
      <c r="B41" s="5" t="s">
        <v>15</v>
      </c>
      <c r="C41" s="55">
        <v>40.0</v>
      </c>
      <c r="D41" s="47">
        <v>0.0</v>
      </c>
      <c r="E41" s="174" t="s">
        <v>258</v>
      </c>
      <c r="F41" s="28">
        <v>0.0</v>
      </c>
      <c r="G41" s="673">
        <v>3.0</v>
      </c>
      <c r="H41" s="880" t="s">
        <v>1119</v>
      </c>
      <c r="I41" s="882">
        <v>0.0</v>
      </c>
      <c r="J41" s="57">
        <v>7.0</v>
      </c>
      <c r="K41" s="174" t="s">
        <v>1673</v>
      </c>
      <c r="L41" s="885" t="s">
        <v>1674</v>
      </c>
    </row>
    <row r="42" ht="22.5" customHeight="1">
      <c r="A42" s="5" t="s">
        <v>185</v>
      </c>
      <c r="B42" s="5" t="s">
        <v>13</v>
      </c>
      <c r="C42" s="55">
        <v>598.0</v>
      </c>
      <c r="D42" s="47">
        <v>0.0</v>
      </c>
      <c r="E42" s="174" t="s">
        <v>258</v>
      </c>
      <c r="F42" s="28">
        <v>0.0</v>
      </c>
      <c r="G42" s="880">
        <v>28.0</v>
      </c>
      <c r="H42" s="890" t="s">
        <v>1678</v>
      </c>
      <c r="I42" s="47" t="s">
        <v>1679</v>
      </c>
      <c r="J42" s="57">
        <v>85.0</v>
      </c>
      <c r="K42" s="174" t="s">
        <v>1680</v>
      </c>
      <c r="L42" s="750">
        <v>1.0</v>
      </c>
    </row>
    <row r="43" ht="22.5" customHeight="1">
      <c r="A43" s="5" t="s">
        <v>185</v>
      </c>
      <c r="B43" s="5" t="s">
        <v>27</v>
      </c>
      <c r="C43" s="55">
        <v>257.0</v>
      </c>
      <c r="D43" s="893">
        <v>1.0</v>
      </c>
      <c r="E43" s="895" t="s">
        <v>1072</v>
      </c>
      <c r="F43" s="28">
        <v>0.0</v>
      </c>
      <c r="G43" s="615">
        <v>13.0</v>
      </c>
      <c r="H43" s="893" t="s">
        <v>1683</v>
      </c>
      <c r="I43" s="47" t="s">
        <v>1684</v>
      </c>
      <c r="J43" s="57">
        <v>50.0</v>
      </c>
      <c r="K43" s="174" t="s">
        <v>1685</v>
      </c>
      <c r="L43" s="898" t="s">
        <v>1686</v>
      </c>
    </row>
    <row r="44" ht="22.5" customHeight="1">
      <c r="A44" s="5" t="s">
        <v>185</v>
      </c>
      <c r="B44" s="5" t="s">
        <v>33</v>
      </c>
      <c r="C44" s="55">
        <v>327.0</v>
      </c>
      <c r="D44" s="893">
        <v>1.0</v>
      </c>
      <c r="E44" s="895" t="s">
        <v>1444</v>
      </c>
      <c r="F44" s="28">
        <v>0.0</v>
      </c>
      <c r="G44" s="615">
        <v>14.0</v>
      </c>
      <c r="H44" s="890" t="s">
        <v>249</v>
      </c>
      <c r="I44" s="47" t="s">
        <v>1688</v>
      </c>
      <c r="J44" s="57">
        <v>95.0</v>
      </c>
      <c r="K44" s="174" t="s">
        <v>1689</v>
      </c>
      <c r="L44" s="903" t="s">
        <v>1690</v>
      </c>
    </row>
    <row r="45" ht="22.5" customHeight="1">
      <c r="A45" s="5" t="s">
        <v>185</v>
      </c>
      <c r="B45" s="5" t="s">
        <v>19</v>
      </c>
      <c r="C45" s="55">
        <v>423.0</v>
      </c>
      <c r="D45" s="47">
        <v>0.0</v>
      </c>
      <c r="E45" s="174" t="s">
        <v>258</v>
      </c>
      <c r="F45" s="28">
        <v>0.0</v>
      </c>
      <c r="G45" s="880">
        <v>27.0</v>
      </c>
      <c r="H45" s="880" t="s">
        <v>1693</v>
      </c>
      <c r="I45" s="47" t="s">
        <v>1695</v>
      </c>
      <c r="J45" s="57">
        <v>181.0</v>
      </c>
      <c r="K45" s="682" t="s">
        <v>1696</v>
      </c>
      <c r="L45" s="909" t="s">
        <v>1697</v>
      </c>
    </row>
    <row r="46" ht="22.5" customHeight="1">
      <c r="A46" s="5" t="s">
        <v>185</v>
      </c>
      <c r="B46" s="5" t="s">
        <v>58</v>
      </c>
      <c r="C46" s="55">
        <v>184.0</v>
      </c>
      <c r="D46" s="893">
        <v>1.0</v>
      </c>
      <c r="E46" s="895" t="s">
        <v>750</v>
      </c>
      <c r="F46" s="28">
        <v>0.0</v>
      </c>
      <c r="G46" s="615">
        <v>10.0</v>
      </c>
      <c r="H46" s="893" t="s">
        <v>1699</v>
      </c>
      <c r="I46" s="47" t="s">
        <v>1700</v>
      </c>
      <c r="J46" s="57">
        <v>36.0</v>
      </c>
      <c r="K46" s="174" t="s">
        <v>1702</v>
      </c>
      <c r="L46" s="898" t="s">
        <v>1703</v>
      </c>
    </row>
    <row r="47" ht="22.5" customHeight="1">
      <c r="A47" s="5" t="s">
        <v>185</v>
      </c>
      <c r="B47" s="5" t="s">
        <v>77</v>
      </c>
      <c r="C47" s="55">
        <v>93.0</v>
      </c>
      <c r="D47" s="47">
        <v>0.0</v>
      </c>
      <c r="E47" s="174" t="s">
        <v>258</v>
      </c>
      <c r="F47" s="28">
        <v>0.0</v>
      </c>
      <c r="G47" s="411">
        <v>6.0</v>
      </c>
      <c r="H47" s="880" t="s">
        <v>793</v>
      </c>
      <c r="I47" s="916">
        <v>24117.0</v>
      </c>
      <c r="J47" s="57">
        <v>13.0</v>
      </c>
      <c r="K47" s="174" t="s">
        <v>1705</v>
      </c>
      <c r="L47" s="750">
        <v>1.0</v>
      </c>
    </row>
    <row r="48" ht="22.5" customHeight="1">
      <c r="A48" s="5" t="s">
        <v>185</v>
      </c>
      <c r="B48" s="5" t="s">
        <v>82</v>
      </c>
      <c r="C48" s="55">
        <v>118.0</v>
      </c>
      <c r="D48" s="47">
        <v>0.0</v>
      </c>
      <c r="E48" s="174" t="s">
        <v>258</v>
      </c>
      <c r="F48" s="28">
        <v>0.0</v>
      </c>
      <c r="G48" s="673">
        <v>2.0</v>
      </c>
      <c r="H48" s="922" t="s">
        <v>1462</v>
      </c>
      <c r="I48" s="916">
        <v>0.0</v>
      </c>
      <c r="J48" s="57">
        <v>3.0</v>
      </c>
      <c r="K48" s="174" t="s">
        <v>1707</v>
      </c>
      <c r="L48" s="898" t="s">
        <v>1708</v>
      </c>
    </row>
    <row r="49" ht="22.5" customHeight="1">
      <c r="A49" s="5" t="s">
        <v>185</v>
      </c>
      <c r="B49" s="50" t="s">
        <v>94</v>
      </c>
      <c r="C49" s="55">
        <v>5.0</v>
      </c>
      <c r="D49" s="47">
        <v>0.0</v>
      </c>
      <c r="E49" s="174" t="s">
        <v>258</v>
      </c>
      <c r="F49" s="28">
        <v>0.0</v>
      </c>
      <c r="G49" s="673">
        <v>0.0</v>
      </c>
      <c r="H49" s="922" t="s">
        <v>258</v>
      </c>
      <c r="I49" s="928">
        <v>0.0</v>
      </c>
      <c r="J49" s="57">
        <v>0.0</v>
      </c>
      <c r="K49" s="174" t="s">
        <v>258</v>
      </c>
      <c r="L49" s="750">
        <v>1.0</v>
      </c>
    </row>
    <row r="50" ht="22.5" customHeight="1">
      <c r="A50" s="5" t="s">
        <v>185</v>
      </c>
      <c r="B50" s="5" t="s">
        <v>90</v>
      </c>
      <c r="C50" s="55">
        <v>22.0</v>
      </c>
      <c r="D50" s="47">
        <v>0.0</v>
      </c>
      <c r="E50" s="174" t="s">
        <v>258</v>
      </c>
      <c r="F50" s="28">
        <v>0.0</v>
      </c>
      <c r="G50" s="673">
        <v>0.0</v>
      </c>
      <c r="H50" s="922" t="s">
        <v>258</v>
      </c>
      <c r="I50" s="936">
        <v>0.0</v>
      </c>
      <c r="J50" s="57">
        <v>0.0</v>
      </c>
      <c r="K50" s="174" t="s">
        <v>258</v>
      </c>
      <c r="L50" s="750">
        <v>1.0</v>
      </c>
    </row>
    <row r="51" ht="22.5" customHeight="1">
      <c r="A51" s="5" t="s">
        <v>185</v>
      </c>
      <c r="B51" s="5" t="s">
        <v>39</v>
      </c>
      <c r="C51" s="55">
        <v>45.0</v>
      </c>
      <c r="D51" s="47">
        <v>0.0</v>
      </c>
      <c r="E51" s="174" t="s">
        <v>258</v>
      </c>
      <c r="F51" s="28">
        <v>0.0</v>
      </c>
      <c r="G51" s="673">
        <v>3.0</v>
      </c>
      <c r="H51" s="880" t="s">
        <v>1714</v>
      </c>
      <c r="I51" s="916">
        <v>8694.0</v>
      </c>
      <c r="J51" s="57">
        <v>15.0</v>
      </c>
      <c r="K51" s="682" t="s">
        <v>1716</v>
      </c>
      <c r="L51" s="898" t="s">
        <v>1717</v>
      </c>
    </row>
    <row r="52" ht="22.5" customHeight="1">
      <c r="A52" s="5" t="s">
        <v>185</v>
      </c>
      <c r="B52" s="5" t="s">
        <v>59</v>
      </c>
      <c r="C52" s="13">
        <v>79.0</v>
      </c>
      <c r="D52" s="47">
        <v>0.0</v>
      </c>
      <c r="E52" s="174" t="s">
        <v>258</v>
      </c>
      <c r="F52" s="28">
        <v>0.0</v>
      </c>
      <c r="G52" s="411">
        <v>5.0</v>
      </c>
      <c r="H52" s="893" t="s">
        <v>1719</v>
      </c>
      <c r="I52" s="174" t="s">
        <v>1720</v>
      </c>
      <c r="J52" s="57">
        <v>15.0</v>
      </c>
      <c r="K52" s="174" t="s">
        <v>1722</v>
      </c>
      <c r="L52" s="750">
        <v>1.0</v>
      </c>
    </row>
    <row r="53" ht="22.5" customHeight="1">
      <c r="A53" s="5" t="s">
        <v>185</v>
      </c>
      <c r="B53" s="5" t="s">
        <v>114</v>
      </c>
      <c r="C53" s="13">
        <v>137.0</v>
      </c>
      <c r="D53" s="47">
        <v>0.0</v>
      </c>
      <c r="E53" s="174" t="s">
        <v>258</v>
      </c>
      <c r="F53" s="28">
        <v>0.0</v>
      </c>
      <c r="G53" s="673">
        <v>4.0</v>
      </c>
      <c r="H53" s="946" t="s">
        <v>456</v>
      </c>
      <c r="I53" s="916">
        <v>40857.0</v>
      </c>
      <c r="J53" s="57">
        <v>41.0</v>
      </c>
      <c r="K53" s="174" t="s">
        <v>1726</v>
      </c>
      <c r="L53" s="750">
        <v>1.0</v>
      </c>
    </row>
    <row r="54" ht="22.5" customHeight="1">
      <c r="A54" s="5" t="s">
        <v>185</v>
      </c>
      <c r="B54" s="5" t="s">
        <v>136</v>
      </c>
      <c r="C54" s="13">
        <v>63.0</v>
      </c>
      <c r="D54" s="47">
        <v>0.0</v>
      </c>
      <c r="E54" s="174" t="s">
        <v>258</v>
      </c>
      <c r="F54" s="28">
        <v>0.0</v>
      </c>
      <c r="G54" s="673">
        <v>3.0</v>
      </c>
      <c r="H54" s="890" t="s">
        <v>245</v>
      </c>
      <c r="I54" s="916">
        <v>0.0</v>
      </c>
      <c r="J54" s="57">
        <v>18.0</v>
      </c>
      <c r="K54" s="174" t="s">
        <v>1729</v>
      </c>
      <c r="L54" s="750">
        <v>1.0</v>
      </c>
    </row>
    <row r="55" ht="22.5" customHeight="1">
      <c r="A55" s="5" t="s">
        <v>185</v>
      </c>
      <c r="B55" s="5" t="s">
        <v>85</v>
      </c>
      <c r="C55" s="13">
        <v>270.0</v>
      </c>
      <c r="D55" s="47">
        <v>0.0</v>
      </c>
      <c r="E55" s="174" t="s">
        <v>258</v>
      </c>
      <c r="F55" s="28">
        <v>0.0</v>
      </c>
      <c r="G55" s="615">
        <v>11.0</v>
      </c>
      <c r="H55" s="890" t="s">
        <v>1732</v>
      </c>
      <c r="I55" s="47" t="s">
        <v>1733</v>
      </c>
      <c r="J55" s="57">
        <v>48.0</v>
      </c>
      <c r="K55" s="174" t="s">
        <v>1571</v>
      </c>
      <c r="L55" s="954" t="s">
        <v>1735</v>
      </c>
    </row>
    <row r="56" ht="22.5" customHeight="1">
      <c r="A56" s="5" t="s">
        <v>185</v>
      </c>
      <c r="B56" s="35" t="s">
        <v>79</v>
      </c>
      <c r="C56" s="13">
        <v>158.0</v>
      </c>
      <c r="D56" s="47">
        <v>0.0</v>
      </c>
      <c r="E56" s="174" t="s">
        <v>258</v>
      </c>
      <c r="F56" s="28">
        <v>0.0</v>
      </c>
      <c r="G56" s="615">
        <v>13.0</v>
      </c>
      <c r="H56" s="880" t="s">
        <v>872</v>
      </c>
      <c r="I56" s="47" t="s">
        <v>1738</v>
      </c>
      <c r="J56" s="57">
        <v>60.0</v>
      </c>
      <c r="K56" s="682" t="s">
        <v>1739</v>
      </c>
      <c r="L56" s="750">
        <v>1.0</v>
      </c>
    </row>
    <row r="57" ht="22.5" customHeight="1">
      <c r="A57" s="5" t="s">
        <v>185</v>
      </c>
      <c r="B57" s="5" t="s">
        <v>45</v>
      </c>
      <c r="C57" s="13">
        <v>225.0</v>
      </c>
      <c r="D57" s="893">
        <v>1.0</v>
      </c>
      <c r="E57" s="895" t="s">
        <v>600</v>
      </c>
      <c r="F57" s="28">
        <v>0.0</v>
      </c>
      <c r="G57" s="615">
        <v>12.0</v>
      </c>
      <c r="H57" s="893" t="s">
        <v>1054</v>
      </c>
      <c r="I57" s="47" t="s">
        <v>1743</v>
      </c>
      <c r="J57" s="57">
        <v>17.0</v>
      </c>
      <c r="K57" s="174" t="s">
        <v>1744</v>
      </c>
      <c r="L57" s="750">
        <v>1.0</v>
      </c>
    </row>
    <row r="58" ht="22.5" customHeight="1">
      <c r="A58" s="5" t="s">
        <v>185</v>
      </c>
      <c r="B58" s="5" t="s">
        <v>170</v>
      </c>
      <c r="C58" s="13">
        <v>87.0</v>
      </c>
      <c r="D58" s="47">
        <v>0.0</v>
      </c>
      <c r="E58" s="174" t="s">
        <v>258</v>
      </c>
      <c r="F58" s="28">
        <v>0.0</v>
      </c>
      <c r="G58" s="673">
        <v>1.0</v>
      </c>
      <c r="H58" s="922" t="s">
        <v>1126</v>
      </c>
      <c r="I58" s="300">
        <v>1454064.0</v>
      </c>
      <c r="J58" s="57">
        <v>13.0</v>
      </c>
      <c r="K58" s="174" t="s">
        <v>1749</v>
      </c>
      <c r="L58" s="684" t="s">
        <v>740</v>
      </c>
    </row>
    <row r="59" ht="22.5" customHeight="1">
      <c r="A59" s="5" t="s">
        <v>185</v>
      </c>
      <c r="B59" s="5" t="s">
        <v>153</v>
      </c>
      <c r="C59" s="13">
        <v>105.0</v>
      </c>
      <c r="D59" s="47">
        <v>0.0</v>
      </c>
      <c r="E59" s="174" t="s">
        <v>258</v>
      </c>
      <c r="F59" s="28">
        <v>0.0</v>
      </c>
      <c r="G59" s="673">
        <v>2.0</v>
      </c>
      <c r="H59" s="922" t="s">
        <v>1750</v>
      </c>
      <c r="I59" s="916">
        <v>1155.0</v>
      </c>
      <c r="J59" s="57">
        <v>17.0</v>
      </c>
      <c r="K59" s="174" t="s">
        <v>1752</v>
      </c>
      <c r="L59" s="750">
        <v>1.0</v>
      </c>
    </row>
    <row r="60" ht="22.5" customHeight="1">
      <c r="A60" s="5" t="s">
        <v>185</v>
      </c>
      <c r="B60" s="5" t="s">
        <v>26</v>
      </c>
      <c r="C60" s="13">
        <v>485.0</v>
      </c>
      <c r="D60" s="47">
        <v>0.0</v>
      </c>
      <c r="E60" s="174" t="s">
        <v>258</v>
      </c>
      <c r="F60" s="28">
        <v>0.0</v>
      </c>
      <c r="G60" s="615">
        <v>19.0</v>
      </c>
      <c r="H60" s="890" t="s">
        <v>432</v>
      </c>
      <c r="I60" s="174" t="s">
        <v>1754</v>
      </c>
      <c r="J60" s="57">
        <v>46.0</v>
      </c>
      <c r="K60" s="174" t="s">
        <v>1755</v>
      </c>
      <c r="L60" s="752" t="s">
        <v>1756</v>
      </c>
    </row>
    <row r="61" ht="22.5" customHeight="1">
      <c r="A61" s="5" t="s">
        <v>185</v>
      </c>
      <c r="B61" s="5" t="s">
        <v>23</v>
      </c>
      <c r="C61" s="13">
        <v>265.0</v>
      </c>
      <c r="D61" s="47">
        <v>0.0</v>
      </c>
      <c r="E61" s="174" t="s">
        <v>258</v>
      </c>
      <c r="F61" s="28">
        <v>0.0</v>
      </c>
      <c r="G61" s="615">
        <v>12.0</v>
      </c>
      <c r="H61" s="890" t="s">
        <v>309</v>
      </c>
      <c r="I61" s="47" t="s">
        <v>1759</v>
      </c>
      <c r="J61" s="57">
        <v>76.0</v>
      </c>
      <c r="K61" s="174" t="s">
        <v>1760</v>
      </c>
      <c r="L61" s="750">
        <v>1.0</v>
      </c>
    </row>
    <row r="62" ht="22.5" customHeight="1">
      <c r="A62" s="5" t="s">
        <v>185</v>
      </c>
      <c r="B62" s="5" t="s">
        <v>159</v>
      </c>
      <c r="C62" s="13">
        <v>41.0</v>
      </c>
      <c r="D62" s="47">
        <v>0.0</v>
      </c>
      <c r="E62" s="174" t="s">
        <v>258</v>
      </c>
      <c r="F62" s="28">
        <v>0.0</v>
      </c>
      <c r="G62" s="673">
        <v>3.0</v>
      </c>
      <c r="H62" s="880" t="s">
        <v>631</v>
      </c>
      <c r="I62" s="882">
        <v>42804.0</v>
      </c>
      <c r="J62" s="57">
        <v>15.0</v>
      </c>
      <c r="K62" s="682" t="s">
        <v>1764</v>
      </c>
      <c r="L62" s="750">
        <v>1.0</v>
      </c>
    </row>
    <row r="63" ht="22.5" customHeight="1">
      <c r="A63" s="5" t="s">
        <v>185</v>
      </c>
      <c r="B63" s="5" t="s">
        <v>63</v>
      </c>
      <c r="C63" s="13">
        <v>280.0</v>
      </c>
      <c r="D63" s="47">
        <v>0.0</v>
      </c>
      <c r="E63" s="174" t="s">
        <v>258</v>
      </c>
      <c r="F63" s="28">
        <v>0.0</v>
      </c>
      <c r="G63" s="47">
        <v>7.0</v>
      </c>
      <c r="H63" s="922" t="s">
        <v>1767</v>
      </c>
      <c r="I63" s="882">
        <v>84599.0</v>
      </c>
      <c r="J63" s="57">
        <v>99.0</v>
      </c>
      <c r="K63" s="682" t="s">
        <v>1769</v>
      </c>
      <c r="L63" s="898" t="s">
        <v>1770</v>
      </c>
    </row>
    <row r="64" ht="22.5" customHeight="1">
      <c r="A64" s="5" t="s">
        <v>185</v>
      </c>
      <c r="B64" s="5" t="s">
        <v>123</v>
      </c>
      <c r="C64" s="13">
        <v>41.0</v>
      </c>
      <c r="D64" s="47">
        <v>0.0</v>
      </c>
      <c r="E64" s="174" t="s">
        <v>258</v>
      </c>
      <c r="F64" s="28">
        <v>0.0</v>
      </c>
      <c r="G64" s="673">
        <v>4.0</v>
      </c>
      <c r="H64" s="880" t="s">
        <v>1771</v>
      </c>
      <c r="I64" s="300">
        <v>2857690.0</v>
      </c>
      <c r="J64" s="57">
        <v>1.0</v>
      </c>
      <c r="K64" s="174" t="s">
        <v>1773</v>
      </c>
      <c r="L64" s="885" t="s">
        <v>1774</v>
      </c>
    </row>
    <row r="65" ht="22.5" hidden="1" customHeight="1">
      <c r="A65" s="5" t="s">
        <v>383</v>
      </c>
      <c r="B65" s="5" t="s">
        <v>15</v>
      </c>
      <c r="C65" s="699">
        <v>47.0</v>
      </c>
      <c r="D65" s="994">
        <v>2.0</v>
      </c>
      <c r="E65" s="996">
        <v>0.04081632653061224</v>
      </c>
      <c r="F65" s="28">
        <v>0.0</v>
      </c>
      <c r="G65" s="673">
        <v>0.0</v>
      </c>
      <c r="H65" s="997">
        <v>0.0</v>
      </c>
      <c r="I65" s="998">
        <v>0.0</v>
      </c>
      <c r="J65" s="999">
        <v>2.0</v>
      </c>
      <c r="K65" s="1001">
        <v>0.043478260869565216</v>
      </c>
      <c r="L65" s="1002">
        <v>0.9984</v>
      </c>
    </row>
    <row r="66" ht="22.5" hidden="1" customHeight="1">
      <c r="A66" s="5" t="s">
        <v>383</v>
      </c>
      <c r="B66" s="5" t="s">
        <v>13</v>
      </c>
      <c r="C66" s="699">
        <v>388.0</v>
      </c>
      <c r="D66" s="699">
        <v>0.0</v>
      </c>
      <c r="E66" s="714">
        <v>0.0</v>
      </c>
      <c r="F66" s="28">
        <v>0.0</v>
      </c>
      <c r="G66" s="615">
        <v>17.0</v>
      </c>
      <c r="H66" s="1005">
        <v>0.04381443298969072</v>
      </c>
      <c r="I66" s="998">
        <v>0.0</v>
      </c>
      <c r="J66" s="1006">
        <v>10.0</v>
      </c>
      <c r="K66" s="1007">
        <v>0.02631578947368421</v>
      </c>
      <c r="L66" s="750">
        <v>0.9935</v>
      </c>
    </row>
    <row r="67" ht="22.5" hidden="1" customHeight="1">
      <c r="A67" s="5" t="s">
        <v>383</v>
      </c>
      <c r="B67" s="5" t="s">
        <v>27</v>
      </c>
      <c r="C67" s="699">
        <v>93.0</v>
      </c>
      <c r="D67" s="699">
        <v>0.0</v>
      </c>
      <c r="E67" s="714">
        <v>0.0</v>
      </c>
      <c r="F67" s="28">
        <v>0.0</v>
      </c>
      <c r="G67" s="673">
        <v>1.0</v>
      </c>
      <c r="H67" s="997">
        <v>0.010752688172043012</v>
      </c>
      <c r="I67" s="998">
        <v>0.0</v>
      </c>
      <c r="J67" s="1006">
        <v>2.0</v>
      </c>
      <c r="K67" s="1010">
        <v>0.021739130434782608</v>
      </c>
      <c r="L67" s="750">
        <v>1.0</v>
      </c>
    </row>
    <row r="68" ht="22.5" hidden="1" customHeight="1">
      <c r="A68" s="5" t="s">
        <v>383</v>
      </c>
      <c r="B68" s="5" t="s">
        <v>33</v>
      </c>
      <c r="C68" s="699">
        <v>145.0</v>
      </c>
      <c r="D68" s="699">
        <v>0.0</v>
      </c>
      <c r="E68" s="714">
        <v>0.0</v>
      </c>
      <c r="F68" s="28">
        <v>0.0</v>
      </c>
      <c r="G68" s="411">
        <v>5.0</v>
      </c>
      <c r="H68" s="1012">
        <v>0.034482758620689655</v>
      </c>
      <c r="I68" s="998">
        <v>0.0</v>
      </c>
      <c r="J68" s="1006">
        <v>16.0</v>
      </c>
      <c r="K68" s="1014">
        <v>0.1103448275862069</v>
      </c>
      <c r="L68" s="750">
        <v>1.0</v>
      </c>
    </row>
    <row r="69" ht="22.5" hidden="1" customHeight="1">
      <c r="A69" s="5" t="s">
        <v>383</v>
      </c>
      <c r="B69" s="5" t="s">
        <v>19</v>
      </c>
      <c r="C69" s="699">
        <v>266.0</v>
      </c>
      <c r="D69" s="1017">
        <v>1.0</v>
      </c>
      <c r="E69" s="1018">
        <v>0.003745318352059925</v>
      </c>
      <c r="F69" s="28">
        <v>0.0</v>
      </c>
      <c r="G69" s="615">
        <v>12.0</v>
      </c>
      <c r="H69" s="1005">
        <v>0.0449438202247191</v>
      </c>
      <c r="I69" s="998">
        <v>0.0</v>
      </c>
      <c r="J69" s="1006">
        <v>15.0</v>
      </c>
      <c r="K69" s="1019">
        <v>0.057034220532319393</v>
      </c>
      <c r="L69" s="1020">
        <v>0.9753</v>
      </c>
    </row>
    <row r="70" ht="22.5" hidden="1" customHeight="1">
      <c r="A70" s="5" t="s">
        <v>383</v>
      </c>
      <c r="B70" s="5" t="s">
        <v>63</v>
      </c>
      <c r="C70" s="273">
        <f>89+47</f>
        <v>136</v>
      </c>
      <c r="D70" s="273">
        <v>0.0</v>
      </c>
      <c r="E70" s="276">
        <v>0.0</v>
      </c>
      <c r="F70" s="28">
        <v>0.0</v>
      </c>
      <c r="G70" s="1022">
        <v>5.0</v>
      </c>
      <c r="H70" s="1024">
        <v>0.033707865168539325</v>
      </c>
      <c r="I70" s="998">
        <v>0.0</v>
      </c>
      <c r="J70" s="275">
        <v>6.0</v>
      </c>
      <c r="K70" s="1026">
        <f>2.27272727272727%+4.3%</f>
        <v>0.06572727273</v>
      </c>
      <c r="L70" s="1027">
        <v>1.0</v>
      </c>
    </row>
    <row r="71" ht="22.5" hidden="1" customHeight="1">
      <c r="A71" s="5" t="s">
        <v>383</v>
      </c>
      <c r="B71" s="5" t="s">
        <v>58</v>
      </c>
      <c r="C71" s="273">
        <v>132.0</v>
      </c>
      <c r="D71" s="1028">
        <v>2.0</v>
      </c>
      <c r="E71" s="1029">
        <v>0.014925373134328358</v>
      </c>
      <c r="F71" s="28">
        <v>0.0</v>
      </c>
      <c r="G71" s="1030">
        <v>12.0</v>
      </c>
      <c r="H71" s="719">
        <v>0.08955223880597014</v>
      </c>
      <c r="I71" s="998">
        <v>0.0</v>
      </c>
      <c r="J71" s="275">
        <v>2.0</v>
      </c>
      <c r="K71" s="727">
        <v>0.015873015873015872</v>
      </c>
      <c r="L71" s="1031">
        <v>0.9954</v>
      </c>
    </row>
    <row r="72" ht="22.5" hidden="1" customHeight="1">
      <c r="A72" s="5" t="s">
        <v>383</v>
      </c>
      <c r="B72" s="5" t="s">
        <v>77</v>
      </c>
      <c r="C72" s="273">
        <v>125.0</v>
      </c>
      <c r="D72" s="1032">
        <v>4.0</v>
      </c>
      <c r="E72" s="706">
        <v>0.031007751937984496</v>
      </c>
      <c r="F72" s="28">
        <v>0.0</v>
      </c>
      <c r="G72" s="1022">
        <v>5.0</v>
      </c>
      <c r="H72" s="1024">
        <v>0.03875968992248062</v>
      </c>
      <c r="I72" s="998">
        <v>0.0</v>
      </c>
      <c r="J72" s="275">
        <v>9.0</v>
      </c>
      <c r="K72" s="1033">
        <v>0.07258064516129033</v>
      </c>
      <c r="L72" s="281">
        <v>0.9651</v>
      </c>
    </row>
    <row r="73" ht="22.5" hidden="1" customHeight="1">
      <c r="A73" s="5" t="s">
        <v>383</v>
      </c>
      <c r="B73" s="5" t="s">
        <v>82</v>
      </c>
      <c r="C73" s="273">
        <v>44.0</v>
      </c>
      <c r="D73" s="273">
        <v>0.0</v>
      </c>
      <c r="E73" s="276">
        <v>0.0</v>
      </c>
      <c r="F73" s="28">
        <v>0.0</v>
      </c>
      <c r="G73" s="832">
        <v>2.0</v>
      </c>
      <c r="H73" s="1034">
        <v>0.045454545454545456</v>
      </c>
      <c r="I73" s="998">
        <v>0.0</v>
      </c>
      <c r="J73" s="275">
        <v>2.0</v>
      </c>
      <c r="K73" s="276">
        <v>0.045454545454545456</v>
      </c>
      <c r="L73" s="1027">
        <v>1.0</v>
      </c>
    </row>
    <row r="74" ht="22.5" hidden="1" customHeight="1">
      <c r="A74" s="5" t="s">
        <v>383</v>
      </c>
      <c r="B74" s="5" t="s">
        <v>39</v>
      </c>
      <c r="C74" s="273">
        <v>33.0</v>
      </c>
      <c r="D74" s="273">
        <v>1.0</v>
      </c>
      <c r="E74" s="276">
        <v>0.029411764705882353</v>
      </c>
      <c r="F74" s="28">
        <v>0.0</v>
      </c>
      <c r="G74" s="832">
        <v>2.0</v>
      </c>
      <c r="H74" s="719">
        <v>0.058823529411764705</v>
      </c>
      <c r="I74" s="998">
        <v>0.0</v>
      </c>
      <c r="J74" s="275">
        <v>1.0</v>
      </c>
      <c r="K74" s="276">
        <v>0.03333333333333333</v>
      </c>
      <c r="L74" s="1027">
        <v>1.0</v>
      </c>
    </row>
    <row r="75" ht="22.5" hidden="1" customHeight="1">
      <c r="A75" s="5" t="s">
        <v>383</v>
      </c>
      <c r="B75" s="5" t="s">
        <v>59</v>
      </c>
      <c r="C75" s="273">
        <v>56.0</v>
      </c>
      <c r="D75" s="273">
        <v>0.0</v>
      </c>
      <c r="E75" s="276">
        <v>0.0</v>
      </c>
      <c r="F75" s="28">
        <v>0.0</v>
      </c>
      <c r="G75" s="832">
        <v>0.0</v>
      </c>
      <c r="H75" s="709">
        <v>0.0</v>
      </c>
      <c r="I75" s="998">
        <v>0.0</v>
      </c>
      <c r="J75" s="275">
        <v>3.0</v>
      </c>
      <c r="K75" s="731">
        <v>0.05357142857142857</v>
      </c>
      <c r="L75" s="1038">
        <v>0.9202</v>
      </c>
    </row>
    <row r="76" ht="22.5" hidden="1" customHeight="1">
      <c r="A76" s="5" t="s">
        <v>383</v>
      </c>
      <c r="B76" s="5" t="s">
        <v>114</v>
      </c>
      <c r="C76" s="273">
        <v>113.0</v>
      </c>
      <c r="D76" s="1028">
        <v>1.0</v>
      </c>
      <c r="E76" s="1029">
        <v>0.008771929824561403</v>
      </c>
      <c r="F76" s="28">
        <v>0.0</v>
      </c>
      <c r="G76" s="832">
        <v>2.0</v>
      </c>
      <c r="H76" s="709">
        <v>0.017543859649122806</v>
      </c>
      <c r="I76" s="998">
        <v>0.0</v>
      </c>
      <c r="J76" s="275">
        <v>7.0</v>
      </c>
      <c r="K76" s="1039">
        <v>0.06306306306306306</v>
      </c>
      <c r="L76" s="1027">
        <v>1.0</v>
      </c>
    </row>
    <row r="77" ht="22.5" hidden="1" customHeight="1">
      <c r="A77" s="5" t="s">
        <v>383</v>
      </c>
      <c r="B77" s="5" t="s">
        <v>136</v>
      </c>
      <c r="C77" s="273">
        <v>70.0</v>
      </c>
      <c r="D77" s="273">
        <v>0.0</v>
      </c>
      <c r="E77" s="276">
        <v>0.0</v>
      </c>
      <c r="F77" s="28">
        <v>0.0</v>
      </c>
      <c r="G77" s="832">
        <v>1.0</v>
      </c>
      <c r="H77" s="709">
        <v>0.014285714285714285</v>
      </c>
      <c r="I77" s="998">
        <v>0.0</v>
      </c>
      <c r="J77" s="275">
        <v>8.0</v>
      </c>
      <c r="K77" s="297">
        <v>0.11594202898550725</v>
      </c>
      <c r="L77" s="1027">
        <v>0.9971</v>
      </c>
    </row>
    <row r="78" ht="22.5" hidden="1" customHeight="1">
      <c r="A78" s="5" t="s">
        <v>383</v>
      </c>
      <c r="B78" s="96" t="s">
        <v>501</v>
      </c>
      <c r="C78" s="273">
        <v>109.0</v>
      </c>
      <c r="D78" s="273">
        <v>0.0</v>
      </c>
      <c r="E78" s="276">
        <v>0.0</v>
      </c>
      <c r="F78" s="28">
        <v>0.0</v>
      </c>
      <c r="G78" s="832">
        <v>1.0</v>
      </c>
      <c r="H78" s="709">
        <v>0.009174311926605505</v>
      </c>
      <c r="I78" s="998">
        <v>0.0</v>
      </c>
      <c r="J78" s="275">
        <v>1.0</v>
      </c>
      <c r="K78" s="1043">
        <v>0.009259259259259259</v>
      </c>
      <c r="L78" s="1027">
        <v>1.0</v>
      </c>
    </row>
    <row r="79" ht="22.5" hidden="1" customHeight="1">
      <c r="A79" s="5" t="s">
        <v>383</v>
      </c>
      <c r="B79" s="35" t="s">
        <v>79</v>
      </c>
      <c r="C79" s="273">
        <v>132.0</v>
      </c>
      <c r="D79" s="1028">
        <v>1.0</v>
      </c>
      <c r="E79" s="1029">
        <v>0.007518796992481203</v>
      </c>
      <c r="F79" s="28">
        <v>0.0</v>
      </c>
      <c r="G79" s="832">
        <v>2.0</v>
      </c>
      <c r="H79" s="709">
        <v>0.015037593984962405</v>
      </c>
      <c r="I79" s="998">
        <v>0.0</v>
      </c>
      <c r="J79" s="275">
        <v>3.0</v>
      </c>
      <c r="K79" s="1045">
        <v>0.023255813953488372</v>
      </c>
      <c r="L79" s="1046">
        <v>0.9998</v>
      </c>
    </row>
    <row r="80" ht="22.5" hidden="1" customHeight="1">
      <c r="A80" s="5" t="s">
        <v>383</v>
      </c>
      <c r="B80" s="5" t="s">
        <v>45</v>
      </c>
      <c r="C80" s="273">
        <v>126.0</v>
      </c>
      <c r="D80" s="273">
        <v>0.0</v>
      </c>
      <c r="E80" s="276">
        <v>0.0</v>
      </c>
      <c r="F80" s="28">
        <v>0.0</v>
      </c>
      <c r="G80" s="1022">
        <v>4.0</v>
      </c>
      <c r="H80" s="1024">
        <v>0.031746031746031744</v>
      </c>
      <c r="I80" s="998">
        <v>0.0</v>
      </c>
      <c r="J80" s="275">
        <v>1.0</v>
      </c>
      <c r="K80" s="276">
        <v>0.008064516129032258</v>
      </c>
      <c r="L80" s="1027">
        <v>0.9993</v>
      </c>
    </row>
    <row r="81" ht="22.5" hidden="1" customHeight="1">
      <c r="A81" s="5" t="s">
        <v>383</v>
      </c>
      <c r="B81" s="5" t="s">
        <v>123</v>
      </c>
      <c r="C81" s="273">
        <v>68.0</v>
      </c>
      <c r="D81" s="273">
        <v>0.0</v>
      </c>
      <c r="E81" s="276">
        <v>0.0</v>
      </c>
      <c r="F81" s="28">
        <v>0.0</v>
      </c>
      <c r="G81" s="1022">
        <v>4.0</v>
      </c>
      <c r="H81" s="719">
        <v>0.058823529411764705</v>
      </c>
      <c r="I81" s="998">
        <v>0.0</v>
      </c>
      <c r="J81" s="275">
        <v>4.0</v>
      </c>
      <c r="K81" s="1050">
        <v>0.06060606060606061</v>
      </c>
      <c r="L81" s="1046">
        <v>0.9886</v>
      </c>
    </row>
    <row r="82" ht="22.5" hidden="1" customHeight="1">
      <c r="A82" s="5" t="s">
        <v>383</v>
      </c>
      <c r="B82" s="5" t="s">
        <v>153</v>
      </c>
      <c r="C82" s="273">
        <v>65.0</v>
      </c>
      <c r="D82" s="273">
        <v>0.0</v>
      </c>
      <c r="E82" s="276">
        <v>0.0</v>
      </c>
      <c r="F82" s="28">
        <v>0.0</v>
      </c>
      <c r="G82" s="832">
        <v>2.0</v>
      </c>
      <c r="H82" s="1024">
        <v>0.03076923076923077</v>
      </c>
      <c r="I82" s="998">
        <v>0.0</v>
      </c>
      <c r="J82" s="275">
        <v>3.0</v>
      </c>
      <c r="K82" s="1052">
        <v>0.046875</v>
      </c>
      <c r="L82" s="1027">
        <v>0.9988</v>
      </c>
    </row>
    <row r="83" ht="22.5" hidden="1" customHeight="1">
      <c r="A83" s="5" t="s">
        <v>383</v>
      </c>
      <c r="B83" s="5" t="s">
        <v>159</v>
      </c>
      <c r="C83" s="273">
        <v>46.0</v>
      </c>
      <c r="D83" s="273">
        <v>0.0</v>
      </c>
      <c r="E83" s="276">
        <v>0.0</v>
      </c>
      <c r="F83" s="28">
        <v>0.0</v>
      </c>
      <c r="G83" s="832">
        <v>0.0</v>
      </c>
      <c r="H83" s="709">
        <v>0.0</v>
      </c>
      <c r="I83" s="998">
        <v>0.0</v>
      </c>
      <c r="J83" s="275">
        <v>2.0</v>
      </c>
      <c r="K83" s="1052">
        <v>0.046511627906976744</v>
      </c>
      <c r="L83" s="1027">
        <v>1.0</v>
      </c>
    </row>
    <row r="84" ht="22.5" hidden="1" customHeight="1">
      <c r="A84" s="5" t="s">
        <v>383</v>
      </c>
      <c r="B84" s="5" t="s">
        <v>26</v>
      </c>
      <c r="C84" s="273">
        <v>334.0</v>
      </c>
      <c r="D84" s="1028">
        <v>3.0</v>
      </c>
      <c r="E84" s="1029">
        <v>0.008902077151335312</v>
      </c>
      <c r="F84" s="28">
        <v>0.0</v>
      </c>
      <c r="G84" s="1030">
        <v>11.0</v>
      </c>
      <c r="H84" s="1024">
        <v>0.032640949554896145</v>
      </c>
      <c r="I84" s="998">
        <v>0.0</v>
      </c>
      <c r="J84" s="275">
        <v>7.0</v>
      </c>
      <c r="K84" s="1054">
        <v>0.021538461538461538</v>
      </c>
      <c r="L84" s="1055">
        <v>0.9847</v>
      </c>
    </row>
    <row r="85" ht="22.5" hidden="1" customHeight="1">
      <c r="A85" s="5" t="s">
        <v>383</v>
      </c>
      <c r="B85" s="5" t="s">
        <v>23</v>
      </c>
      <c r="C85" s="273">
        <v>185.0</v>
      </c>
      <c r="D85" s="1028">
        <v>1.0</v>
      </c>
      <c r="E85" s="1029">
        <v>0.005376344086021506</v>
      </c>
      <c r="F85" s="28">
        <v>0.0</v>
      </c>
      <c r="G85" s="1030">
        <v>9.0</v>
      </c>
      <c r="H85" s="1034">
        <v>0.04838709677419355</v>
      </c>
      <c r="I85" s="998">
        <v>0.0</v>
      </c>
      <c r="J85" s="275">
        <v>8.0</v>
      </c>
      <c r="K85" s="280">
        <v>0.043478260869565216</v>
      </c>
      <c r="L85" s="1031">
        <v>1.0</v>
      </c>
    </row>
    <row r="86" ht="22.5" hidden="1" customHeight="1">
      <c r="A86" s="233"/>
      <c r="B86" s="234"/>
      <c r="C86" s="340"/>
      <c r="D86" s="341"/>
      <c r="E86" s="342"/>
      <c r="F86" s="343"/>
      <c r="G86" s="341"/>
      <c r="H86" s="342"/>
      <c r="I86" s="1056"/>
      <c r="J86" s="341"/>
      <c r="K86" s="342"/>
      <c r="L86" s="339"/>
    </row>
    <row r="87" ht="22.5" hidden="1" customHeight="1">
      <c r="A87" s="233"/>
      <c r="B87" s="234"/>
      <c r="C87" s="546"/>
      <c r="D87" s="547"/>
      <c r="E87" s="548"/>
      <c r="F87" s="549"/>
      <c r="G87" s="547"/>
      <c r="H87" s="548"/>
      <c r="I87" s="1057"/>
      <c r="J87" s="547"/>
      <c r="K87" s="548"/>
      <c r="L87" s="244"/>
    </row>
    <row r="88">
      <c r="C88" s="108"/>
      <c r="D88" s="108"/>
      <c r="E88" s="108"/>
      <c r="F88" s="108"/>
      <c r="G88" s="108"/>
      <c r="H88" s="108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8"/>
      <c r="I89" s="315"/>
      <c r="J89" s="108"/>
      <c r="K89" s="108"/>
      <c r="L89" s="108"/>
    </row>
    <row r="90">
      <c r="C90" s="79"/>
      <c r="D90" s="79"/>
      <c r="E90" s="79"/>
      <c r="F90" s="79"/>
      <c r="G90" s="79"/>
      <c r="H90" s="79"/>
      <c r="I90" s="314"/>
      <c r="J90" s="79"/>
      <c r="K90" s="79"/>
      <c r="L90" s="79"/>
    </row>
    <row r="91">
      <c r="C91" s="79"/>
      <c r="D91" s="79"/>
      <c r="E91" s="79"/>
      <c r="F91" s="79"/>
      <c r="G91" s="79"/>
      <c r="H91" s="79"/>
      <c r="I91" s="314"/>
      <c r="J91" s="79"/>
      <c r="K91" s="79"/>
      <c r="L91" s="79"/>
    </row>
    <row r="92">
      <c r="C92" s="79"/>
      <c r="D92" s="79"/>
      <c r="E92" s="79"/>
      <c r="F92" s="79"/>
      <c r="G92" s="79"/>
      <c r="H92" s="79"/>
      <c r="I92" s="314"/>
      <c r="J92" s="79"/>
      <c r="K92" s="79"/>
      <c r="L92" s="79"/>
    </row>
    <row r="93">
      <c r="C93" s="79"/>
      <c r="D93" s="79"/>
      <c r="E93" s="79"/>
      <c r="F93" s="79"/>
      <c r="G93" s="79"/>
      <c r="H93" s="79"/>
      <c r="I93" s="314"/>
      <c r="J93" s="79"/>
      <c r="K93" s="79"/>
      <c r="L93" s="79"/>
    </row>
    <row r="94">
      <c r="C94" s="79"/>
      <c r="D94" s="79"/>
      <c r="E94" s="245"/>
      <c r="F94" s="245"/>
      <c r="G94" s="241"/>
      <c r="H94" s="41"/>
      <c r="I94" s="314"/>
      <c r="J94" s="79"/>
      <c r="K94" s="79"/>
      <c r="L94" s="79"/>
    </row>
    <row r="95">
      <c r="C95" s="79"/>
      <c r="D95" s="79"/>
      <c r="G95" s="241"/>
      <c r="H95" s="41"/>
      <c r="I95" s="314"/>
      <c r="J95" s="79"/>
      <c r="K95" s="79"/>
      <c r="L95" s="79"/>
    </row>
    <row r="96">
      <c r="C96" s="79"/>
      <c r="D96" s="79"/>
      <c r="G96" s="241"/>
      <c r="H96" s="41"/>
      <c r="I96" s="314"/>
      <c r="J96" s="79"/>
      <c r="K96" s="79"/>
      <c r="L96" s="79"/>
    </row>
    <row r="97">
      <c r="C97" s="79"/>
      <c r="D97" s="79"/>
      <c r="G97" s="241"/>
      <c r="H97" s="41"/>
      <c r="I97" s="314"/>
      <c r="J97" s="79"/>
      <c r="K97" s="79"/>
      <c r="L97" s="79"/>
    </row>
    <row r="98">
      <c r="C98" s="79"/>
      <c r="D98" s="79"/>
      <c r="G98" s="241"/>
      <c r="H98" s="41"/>
      <c r="I98" s="314"/>
      <c r="J98" s="79"/>
      <c r="K98" s="79"/>
      <c r="L98" s="79"/>
    </row>
    <row r="99">
      <c r="C99" s="79"/>
      <c r="D99" s="79"/>
      <c r="G99" s="241"/>
      <c r="H99" s="41"/>
      <c r="I99" s="314"/>
      <c r="J99" s="79"/>
      <c r="K99" s="79"/>
      <c r="L99" s="79"/>
    </row>
    <row r="100">
      <c r="C100" s="79"/>
      <c r="D100" s="79"/>
      <c r="G100" s="241"/>
      <c r="H100" s="41"/>
      <c r="I100" s="314"/>
      <c r="J100" s="79"/>
      <c r="K100" s="79"/>
      <c r="L100" s="79"/>
    </row>
    <row r="101">
      <c r="C101" s="79"/>
      <c r="D101" s="79"/>
      <c r="G101" s="241"/>
      <c r="H101" s="41"/>
      <c r="I101" s="314"/>
      <c r="J101" s="79"/>
      <c r="K101" s="79"/>
      <c r="L101" s="79"/>
    </row>
    <row r="102">
      <c r="C102" s="79"/>
      <c r="D102" s="79"/>
      <c r="G102" s="241"/>
      <c r="H102" s="41"/>
      <c r="I102" s="314"/>
      <c r="J102" s="79"/>
      <c r="K102" s="79"/>
      <c r="L102" s="79"/>
    </row>
    <row r="103">
      <c r="C103" s="79"/>
      <c r="D103" s="79"/>
      <c r="G103" s="241"/>
      <c r="H103" s="41"/>
      <c r="I103" s="314"/>
      <c r="J103" s="79"/>
      <c r="K103" s="79"/>
      <c r="L103" s="79"/>
    </row>
    <row r="104">
      <c r="C104" s="79"/>
      <c r="D104" s="79"/>
      <c r="G104" s="241"/>
      <c r="H104" s="41"/>
      <c r="I104" s="314"/>
      <c r="J104" s="79"/>
      <c r="K104" s="79"/>
      <c r="L104" s="79"/>
    </row>
    <row r="105">
      <c r="C105" s="79"/>
      <c r="D105" s="79"/>
      <c r="G105" s="588"/>
      <c r="H105" s="41"/>
      <c r="I105" s="314"/>
      <c r="J105" s="79"/>
      <c r="K105" s="79"/>
      <c r="L105" s="79"/>
    </row>
    <row r="106">
      <c r="C106" s="79"/>
      <c r="D106" s="79"/>
      <c r="G106" s="588"/>
      <c r="H106" s="41"/>
      <c r="I106" s="314"/>
      <c r="J106" s="79"/>
      <c r="K106" s="79"/>
      <c r="L106" s="79"/>
    </row>
    <row r="107">
      <c r="C107" s="79"/>
      <c r="D107" s="79"/>
      <c r="G107" s="588"/>
      <c r="H107" s="41"/>
      <c r="I107" s="314"/>
      <c r="J107" s="79"/>
      <c r="K107" s="79"/>
      <c r="L107" s="79"/>
    </row>
    <row r="108">
      <c r="C108" s="79"/>
      <c r="D108" s="79"/>
      <c r="G108" s="588"/>
      <c r="H108" s="41"/>
      <c r="I108" s="314"/>
      <c r="J108" s="79"/>
      <c r="K108" s="79"/>
      <c r="L108" s="79"/>
    </row>
    <row r="109">
      <c r="C109" s="79"/>
      <c r="D109" s="79"/>
      <c r="G109" s="588"/>
      <c r="H109" s="41"/>
      <c r="I109" s="314"/>
      <c r="J109" s="79"/>
      <c r="K109" s="79"/>
      <c r="L109" s="79"/>
    </row>
    <row r="110">
      <c r="C110" s="79"/>
      <c r="D110" s="79"/>
      <c r="G110" s="588"/>
      <c r="H110" s="41"/>
      <c r="I110" s="314"/>
      <c r="J110" s="79"/>
      <c r="K110" s="79"/>
      <c r="L110" s="79"/>
    </row>
    <row r="111">
      <c r="C111" s="79"/>
      <c r="D111" s="79"/>
      <c r="G111" s="588"/>
      <c r="H111" s="41"/>
      <c r="I111" s="314"/>
      <c r="J111" s="79"/>
      <c r="K111" s="79"/>
      <c r="L111" s="79"/>
    </row>
    <row r="112">
      <c r="C112" s="79"/>
      <c r="D112" s="79"/>
      <c r="G112" s="588"/>
      <c r="H112" s="41"/>
      <c r="I112" s="314"/>
      <c r="J112" s="79"/>
      <c r="K112" s="79"/>
      <c r="L112" s="79"/>
    </row>
    <row r="113">
      <c r="C113" s="79"/>
      <c r="D113" s="79"/>
      <c r="G113" s="588"/>
      <c r="H113" s="41"/>
      <c r="I113" s="314"/>
      <c r="J113" s="79"/>
      <c r="K113" s="79"/>
      <c r="L113" s="79"/>
    </row>
    <row r="114">
      <c r="C114" s="79"/>
      <c r="D114" s="79"/>
      <c r="G114" s="588"/>
      <c r="H114" s="41"/>
      <c r="I114" s="314"/>
      <c r="J114" s="79"/>
      <c r="K114" s="79"/>
      <c r="L114" s="79"/>
    </row>
    <row r="115">
      <c r="C115" s="79"/>
      <c r="D115" s="79"/>
      <c r="G115" s="588"/>
      <c r="H115" s="41"/>
      <c r="I115" s="314"/>
      <c r="J115" s="79"/>
      <c r="K115" s="79"/>
      <c r="L115" s="79"/>
    </row>
    <row r="116">
      <c r="C116" s="79"/>
      <c r="D116" s="79"/>
      <c r="G116" s="588"/>
      <c r="H116" s="41"/>
      <c r="I116" s="314"/>
      <c r="J116" s="79"/>
      <c r="K116" s="79"/>
      <c r="L116" s="79"/>
    </row>
    <row r="117">
      <c r="C117" s="79"/>
      <c r="D117" s="79"/>
      <c r="G117" s="588"/>
      <c r="H117" s="41"/>
      <c r="I117" s="314"/>
      <c r="J117" s="79"/>
      <c r="K117" s="79"/>
      <c r="L117" s="79"/>
    </row>
    <row r="118">
      <c r="C118" s="79"/>
      <c r="D118" s="79"/>
      <c r="G118" s="1058"/>
      <c r="H118" s="1059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79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79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79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79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79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79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79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79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79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79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79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79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79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79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79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79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79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79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79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79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79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79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79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79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79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79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79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79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79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79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79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79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79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79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79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79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79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79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79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79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79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79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79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79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79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79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79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79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79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79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79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79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79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79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79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79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79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79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79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79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79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79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79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79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79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79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79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79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79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79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79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79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79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79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79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79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79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79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79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79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79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79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79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79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79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79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79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79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79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79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79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79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79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79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79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79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79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79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79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79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79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79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79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79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79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79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79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79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79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79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79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79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79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79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79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79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79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79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79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79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79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79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79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79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79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79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79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79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79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79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79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79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79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79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79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79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79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79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79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79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79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79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79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79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79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79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79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79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79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79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79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79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79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79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79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79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79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79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79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79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79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79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79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79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79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79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79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79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79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79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79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79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79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79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79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79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79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79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79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79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79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79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79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79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79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79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79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79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79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79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79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79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79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79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79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79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79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79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79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79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79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79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79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79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79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79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79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79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79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79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79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79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79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79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79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79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79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79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79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79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79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79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79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79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79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79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79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79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79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79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79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79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79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79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79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79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79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79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79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79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79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79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79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79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79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79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79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79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79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79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79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79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79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79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79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79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79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79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79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79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79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79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79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79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79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79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79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79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79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79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79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79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79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79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79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79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79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79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79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79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79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79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79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79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79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79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79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79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79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79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79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79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79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79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79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79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79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79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79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79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79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79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79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79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79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79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79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79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79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79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79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79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79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79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79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79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79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79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79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79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79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79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79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79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79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79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79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79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79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79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79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79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79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79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79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79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79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79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79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79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79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79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79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79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79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79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79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79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79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79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79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79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79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79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79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79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79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79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79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79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79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79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79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79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79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79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79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79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79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79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79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79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79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79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79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79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79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79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79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79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79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79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79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79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79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79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79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79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79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79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79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79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79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79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79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79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79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79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79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79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79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79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79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79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79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79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79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79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79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79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79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79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79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79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79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79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79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79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79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79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79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79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79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79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79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79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79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79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79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79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79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79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79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79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79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79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79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79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79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79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79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79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79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79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79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79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79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79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79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79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79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79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79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79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79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79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79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79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79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79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79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79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79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79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79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79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79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79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79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79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79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79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79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79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79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79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79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79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79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79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79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79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79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79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79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79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79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79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79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79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79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79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79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79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79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79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79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79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79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79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79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79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79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79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79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79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79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79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79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79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79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79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79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79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79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79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79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79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79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79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79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79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79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79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79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79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79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79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79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79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79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79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79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79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79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79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79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79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79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79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79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79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79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79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79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79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79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79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79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79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79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79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79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79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79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79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79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79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79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79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79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79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79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79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79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79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79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79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79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79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79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79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79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79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79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79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79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79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79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79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79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79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79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79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79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79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79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79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79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79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79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79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79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79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79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79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79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79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79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79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79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79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79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79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79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79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79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79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79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79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79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79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79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79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79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79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79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79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79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79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79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79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79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79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79"/>
      <c r="I743" s="314"/>
      <c r="J743" s="79"/>
      <c r="K743" s="79"/>
      <c r="L743" s="79"/>
    </row>
    <row r="744">
      <c r="C744" s="79"/>
      <c r="D744" s="79"/>
      <c r="E744" s="79"/>
      <c r="F744" s="79"/>
      <c r="G744" s="79"/>
      <c r="H744" s="79"/>
      <c r="I744" s="314"/>
      <c r="J744" s="79"/>
      <c r="K744" s="79"/>
      <c r="L744" s="79"/>
    </row>
    <row r="745">
      <c r="C745" s="79"/>
      <c r="D745" s="79"/>
      <c r="E745" s="79"/>
      <c r="F745" s="79"/>
      <c r="G745" s="79"/>
      <c r="H745" s="79"/>
      <c r="I745" s="314"/>
      <c r="J745" s="79"/>
      <c r="K745" s="79"/>
      <c r="L745" s="79"/>
    </row>
    <row r="746">
      <c r="C746" s="79"/>
      <c r="D746" s="79"/>
      <c r="E746" s="79"/>
      <c r="F746" s="79"/>
      <c r="G746" s="79"/>
      <c r="H746" s="79"/>
      <c r="I746" s="314"/>
      <c r="J746" s="79"/>
      <c r="K746" s="79"/>
      <c r="L746" s="79"/>
    </row>
    <row r="747">
      <c r="C747" s="79"/>
      <c r="D747" s="79"/>
      <c r="E747" s="79"/>
      <c r="F747" s="79"/>
      <c r="G747" s="79"/>
      <c r="H747" s="79"/>
      <c r="I747" s="314"/>
      <c r="J747" s="79"/>
      <c r="K747" s="79"/>
      <c r="L747" s="79"/>
    </row>
    <row r="748">
      <c r="C748" s="79"/>
      <c r="D748" s="79"/>
      <c r="E748" s="79"/>
      <c r="F748" s="79"/>
      <c r="G748" s="79"/>
      <c r="H748" s="79"/>
      <c r="I748" s="314"/>
      <c r="J748" s="79"/>
      <c r="K748" s="79"/>
      <c r="L748" s="79"/>
    </row>
    <row r="749">
      <c r="C749" s="79"/>
      <c r="D749" s="79"/>
      <c r="E749" s="79"/>
      <c r="F749" s="79"/>
      <c r="G749" s="79"/>
      <c r="H749" s="79"/>
      <c r="I749" s="314"/>
      <c r="J749" s="79"/>
      <c r="K749" s="79"/>
      <c r="L749" s="79"/>
    </row>
    <row r="750">
      <c r="C750" s="79"/>
      <c r="D750" s="79"/>
      <c r="E750" s="79"/>
      <c r="F750" s="79"/>
      <c r="G750" s="79"/>
      <c r="H750" s="79"/>
      <c r="I750" s="314"/>
      <c r="J750" s="79"/>
      <c r="K750" s="79"/>
      <c r="L750" s="79"/>
    </row>
    <row r="751">
      <c r="C751" s="79"/>
      <c r="D751" s="79"/>
      <c r="E751" s="79"/>
      <c r="F751" s="79"/>
      <c r="G751" s="79"/>
      <c r="H751" s="79"/>
      <c r="I751" s="314"/>
      <c r="J751" s="79"/>
      <c r="K751" s="79"/>
      <c r="L751" s="79"/>
    </row>
    <row r="752">
      <c r="C752" s="79"/>
      <c r="D752" s="79"/>
      <c r="E752" s="79"/>
      <c r="F752" s="79"/>
      <c r="G752" s="79"/>
      <c r="H752" s="79"/>
      <c r="I752" s="314"/>
      <c r="J752" s="79"/>
      <c r="K752" s="79"/>
      <c r="L752" s="79"/>
    </row>
    <row r="753">
      <c r="C753" s="79"/>
      <c r="D753" s="79"/>
      <c r="E753" s="79"/>
      <c r="F753" s="79"/>
      <c r="G753" s="79"/>
      <c r="H753" s="79"/>
      <c r="I753" s="314"/>
      <c r="J753" s="79"/>
      <c r="K753" s="79"/>
      <c r="L753" s="79"/>
    </row>
    <row r="754">
      <c r="C754" s="79"/>
      <c r="D754" s="79"/>
      <c r="E754" s="79"/>
      <c r="F754" s="79"/>
      <c r="G754" s="79"/>
      <c r="H754" s="79"/>
      <c r="I754" s="314"/>
      <c r="J754" s="79"/>
      <c r="K754" s="79"/>
      <c r="L754" s="79"/>
    </row>
    <row r="755">
      <c r="C755" s="79"/>
      <c r="D755" s="79"/>
      <c r="E755" s="79"/>
      <c r="F755" s="79"/>
      <c r="G755" s="79"/>
      <c r="H755" s="79"/>
      <c r="I755" s="314"/>
      <c r="J755" s="79"/>
      <c r="K755" s="79"/>
      <c r="L755" s="79"/>
    </row>
    <row r="756">
      <c r="C756" s="79"/>
      <c r="D756" s="79"/>
      <c r="E756" s="79"/>
      <c r="F756" s="79"/>
      <c r="G756" s="79"/>
      <c r="H756" s="79"/>
      <c r="I756" s="314"/>
      <c r="J756" s="79"/>
      <c r="K756" s="79"/>
      <c r="L756" s="79"/>
    </row>
    <row r="757">
      <c r="C757" s="79"/>
      <c r="D757" s="79"/>
      <c r="E757" s="79"/>
      <c r="F757" s="79"/>
      <c r="G757" s="79"/>
      <c r="H757" s="79"/>
      <c r="I757" s="314"/>
      <c r="J757" s="79"/>
      <c r="K757" s="79"/>
      <c r="L757" s="79"/>
    </row>
    <row r="758">
      <c r="C758" s="79"/>
      <c r="D758" s="79"/>
      <c r="E758" s="79"/>
      <c r="F758" s="79"/>
      <c r="G758" s="79"/>
      <c r="H758" s="79"/>
      <c r="I758" s="314"/>
      <c r="J758" s="79"/>
      <c r="K758" s="79"/>
      <c r="L758" s="79"/>
    </row>
    <row r="759">
      <c r="C759" s="79"/>
      <c r="D759" s="79"/>
      <c r="E759" s="79"/>
      <c r="F759" s="79"/>
      <c r="G759" s="79"/>
      <c r="H759" s="79"/>
      <c r="I759" s="314"/>
      <c r="J759" s="79"/>
      <c r="K759" s="79"/>
      <c r="L759" s="79"/>
    </row>
    <row r="760">
      <c r="C760" s="79"/>
      <c r="D760" s="79"/>
      <c r="E760" s="79"/>
      <c r="F760" s="79"/>
      <c r="G760" s="79"/>
      <c r="H760" s="79"/>
      <c r="I760" s="314"/>
      <c r="J760" s="79"/>
      <c r="K760" s="79"/>
      <c r="L760" s="79"/>
    </row>
    <row r="761">
      <c r="C761" s="79"/>
      <c r="D761" s="79"/>
      <c r="E761" s="79"/>
      <c r="F761" s="79"/>
      <c r="G761" s="79"/>
      <c r="H761" s="79"/>
      <c r="I761" s="314"/>
      <c r="J761" s="79"/>
      <c r="K761" s="79"/>
      <c r="L761" s="79"/>
    </row>
    <row r="762">
      <c r="C762" s="79"/>
      <c r="D762" s="79"/>
      <c r="E762" s="79"/>
      <c r="F762" s="79"/>
      <c r="G762" s="79"/>
      <c r="H762" s="79"/>
      <c r="I762" s="314"/>
      <c r="J762" s="79"/>
      <c r="K762" s="79"/>
      <c r="L762" s="79"/>
    </row>
    <row r="763">
      <c r="C763" s="79"/>
      <c r="D763" s="79"/>
      <c r="E763" s="79"/>
      <c r="F763" s="79"/>
      <c r="G763" s="79"/>
      <c r="H763" s="79"/>
      <c r="I763" s="314"/>
      <c r="J763" s="79"/>
      <c r="K763" s="79"/>
      <c r="L763" s="79"/>
    </row>
    <row r="764">
      <c r="C764" s="79"/>
      <c r="D764" s="79"/>
      <c r="E764" s="79"/>
      <c r="F764" s="79"/>
      <c r="G764" s="79"/>
      <c r="H764" s="79"/>
      <c r="I764" s="314"/>
      <c r="J764" s="79"/>
      <c r="K764" s="79"/>
      <c r="L764" s="79"/>
    </row>
    <row r="765">
      <c r="C765" s="79"/>
      <c r="D765" s="79"/>
      <c r="E765" s="79"/>
      <c r="F765" s="79"/>
      <c r="G765" s="79"/>
      <c r="H765" s="79"/>
      <c r="I765" s="314"/>
      <c r="J765" s="79"/>
      <c r="K765" s="79"/>
      <c r="L765" s="79"/>
    </row>
    <row r="766">
      <c r="C766" s="79"/>
      <c r="D766" s="79"/>
      <c r="E766" s="79"/>
      <c r="F766" s="79"/>
      <c r="G766" s="79"/>
      <c r="H766" s="79"/>
      <c r="I766" s="314"/>
      <c r="J766" s="79"/>
      <c r="K766" s="79"/>
      <c r="L766" s="79"/>
    </row>
    <row r="767">
      <c r="C767" s="79"/>
      <c r="D767" s="79"/>
      <c r="E767" s="79"/>
      <c r="F767" s="79"/>
      <c r="G767" s="79"/>
      <c r="H767" s="79"/>
      <c r="I767" s="314"/>
      <c r="J767" s="79"/>
      <c r="K767" s="79"/>
      <c r="L767" s="79"/>
    </row>
    <row r="768">
      <c r="C768" s="79"/>
      <c r="D768" s="79"/>
      <c r="E768" s="79"/>
      <c r="F768" s="79"/>
      <c r="G768" s="79"/>
      <c r="H768" s="79"/>
      <c r="I768" s="314"/>
      <c r="J768" s="79"/>
      <c r="K768" s="79"/>
      <c r="L768" s="79"/>
    </row>
  </sheetData>
  <dataValidations>
    <dataValidation type="custom" allowBlank="1" showDropDown="1" sqref="I2:I87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3</v>
      </c>
      <c r="E1" s="264" t="s">
        <v>4</v>
      </c>
      <c r="F1" s="779" t="s">
        <v>12</v>
      </c>
      <c r="G1" s="264" t="s">
        <v>5</v>
      </c>
      <c r="H1" s="780" t="s">
        <v>6</v>
      </c>
      <c r="I1" s="781" t="s">
        <v>7</v>
      </c>
      <c r="J1" s="264" t="s">
        <v>8</v>
      </c>
      <c r="K1" s="264" t="s">
        <v>9</v>
      </c>
      <c r="L1" s="147" t="s">
        <v>10</v>
      </c>
    </row>
    <row r="2" ht="22.5" hidden="1" customHeight="1">
      <c r="A2" s="5" t="s">
        <v>11</v>
      </c>
      <c r="B2" s="5" t="s">
        <v>15</v>
      </c>
      <c r="C2" s="340">
        <v>353.0</v>
      </c>
      <c r="D2" s="340" t="s">
        <v>17</v>
      </c>
      <c r="E2" s="782" t="s">
        <v>17</v>
      </c>
      <c r="F2" s="553" t="s">
        <v>17</v>
      </c>
      <c r="G2" s="783">
        <v>10.0</v>
      </c>
      <c r="H2" s="784">
        <v>0.0283</v>
      </c>
      <c r="I2" s="556" t="s">
        <v>1622</v>
      </c>
      <c r="J2" s="785">
        <v>53.0</v>
      </c>
      <c r="K2" s="787">
        <v>0.1677</v>
      </c>
      <c r="L2" s="788">
        <f>100-23.61</f>
        <v>76.39</v>
      </c>
    </row>
    <row r="3" ht="22.5" hidden="1" customHeight="1">
      <c r="A3" s="5" t="s">
        <v>11</v>
      </c>
      <c r="B3" s="5" t="s">
        <v>13</v>
      </c>
      <c r="C3" s="340">
        <v>1469.0</v>
      </c>
      <c r="D3" s="341">
        <v>1.0</v>
      </c>
      <c r="E3" s="342">
        <v>7.0E-4</v>
      </c>
      <c r="F3" s="553" t="s">
        <v>1624</v>
      </c>
      <c r="G3" s="789">
        <v>31.0</v>
      </c>
      <c r="H3" s="790">
        <v>0.0211</v>
      </c>
      <c r="I3" s="556" t="s">
        <v>1625</v>
      </c>
      <c r="J3" s="791">
        <v>84.0</v>
      </c>
      <c r="K3" s="793">
        <v>0.0601</v>
      </c>
      <c r="L3" s="794">
        <f>100-2.57</f>
        <v>97.43</v>
      </c>
    </row>
    <row r="4" ht="22.5" hidden="1" customHeight="1">
      <c r="A4" s="5" t="s">
        <v>11</v>
      </c>
      <c r="B4" s="5" t="s">
        <v>27</v>
      </c>
      <c r="C4" s="340">
        <v>717.0</v>
      </c>
      <c r="D4" s="340" t="s">
        <v>17</v>
      </c>
      <c r="E4" s="782" t="s">
        <v>17</v>
      </c>
      <c r="F4" s="553" t="s">
        <v>17</v>
      </c>
      <c r="G4" s="795">
        <v>16.0</v>
      </c>
      <c r="H4" s="796">
        <v>0.0223</v>
      </c>
      <c r="I4" s="556" t="s">
        <v>1628</v>
      </c>
      <c r="J4" s="797">
        <v>58.0</v>
      </c>
      <c r="K4" s="798">
        <v>0.0868</v>
      </c>
      <c r="L4" s="799">
        <f>100-5.43</f>
        <v>94.57</v>
      </c>
    </row>
    <row r="5" ht="22.5" hidden="1" customHeight="1">
      <c r="A5" s="5" t="s">
        <v>11</v>
      </c>
      <c r="B5" s="5" t="s">
        <v>33</v>
      </c>
      <c r="C5" s="340">
        <v>858.0</v>
      </c>
      <c r="D5" s="800">
        <v>3.0</v>
      </c>
      <c r="E5" s="801">
        <v>0.0035</v>
      </c>
      <c r="F5" s="553" t="s">
        <v>1630</v>
      </c>
      <c r="G5" s="800">
        <v>17.0</v>
      </c>
      <c r="H5" s="802">
        <v>0.0198</v>
      </c>
      <c r="I5" s="556" t="s">
        <v>1631</v>
      </c>
      <c r="J5" s="803">
        <v>85.0</v>
      </c>
      <c r="K5" s="804">
        <v>0.1065</v>
      </c>
      <c r="L5" s="788">
        <f>100-5.26</f>
        <v>94.74</v>
      </c>
    </row>
    <row r="6" ht="22.5" hidden="1" customHeight="1">
      <c r="A6" s="5" t="s">
        <v>11</v>
      </c>
      <c r="B6" s="5" t="s">
        <v>918</v>
      </c>
      <c r="C6" s="340">
        <v>203.0</v>
      </c>
      <c r="D6" s="340" t="s">
        <v>17</v>
      </c>
      <c r="E6" s="782" t="s">
        <v>17</v>
      </c>
      <c r="F6" s="553" t="s">
        <v>17</v>
      </c>
      <c r="G6" s="341">
        <v>2.0</v>
      </c>
      <c r="H6" s="805">
        <v>0.0099</v>
      </c>
      <c r="I6" s="556" t="s">
        <v>1633</v>
      </c>
      <c r="J6" s="806">
        <v>10.0</v>
      </c>
      <c r="K6" s="807">
        <v>0.0526</v>
      </c>
      <c r="L6" s="808">
        <f>100-0.51</f>
        <v>99.49</v>
      </c>
    </row>
    <row r="7" ht="22.5" hidden="1" customHeight="1">
      <c r="A7" s="5" t="s">
        <v>11</v>
      </c>
      <c r="B7" s="5" t="s">
        <v>19</v>
      </c>
      <c r="C7" s="340">
        <v>1128.0</v>
      </c>
      <c r="D7" s="340" t="s">
        <v>17</v>
      </c>
      <c r="E7" s="782" t="s">
        <v>17</v>
      </c>
      <c r="F7" s="553" t="s">
        <v>17</v>
      </c>
      <c r="G7" s="795">
        <v>16.0</v>
      </c>
      <c r="H7" s="807">
        <v>0.0142</v>
      </c>
      <c r="I7" s="556" t="s">
        <v>1635</v>
      </c>
      <c r="J7" s="810">
        <v>82.0</v>
      </c>
      <c r="K7" s="811">
        <v>0.0754</v>
      </c>
      <c r="L7" s="812">
        <f>100-5</f>
        <v>95</v>
      </c>
    </row>
    <row r="8" ht="22.5" hidden="1" customHeight="1">
      <c r="A8" s="5" t="s">
        <v>11</v>
      </c>
      <c r="B8" s="5" t="s">
        <v>46</v>
      </c>
      <c r="C8" s="340">
        <v>84.0</v>
      </c>
      <c r="D8" s="340" t="s">
        <v>17</v>
      </c>
      <c r="E8" s="782" t="s">
        <v>17</v>
      </c>
      <c r="F8" s="553" t="s">
        <v>17</v>
      </c>
      <c r="G8" s="813">
        <v>5.0</v>
      </c>
      <c r="H8" s="814">
        <v>0.0595</v>
      </c>
      <c r="I8" s="556" t="s">
        <v>1637</v>
      </c>
      <c r="J8" s="341">
        <v>6.0</v>
      </c>
      <c r="K8" s="815">
        <v>0.0822</v>
      </c>
      <c r="L8" s="812">
        <f>100-1.91</f>
        <v>98.09</v>
      </c>
    </row>
    <row r="9" ht="22.5" hidden="1" customHeight="1">
      <c r="A9" s="5" t="s">
        <v>11</v>
      </c>
      <c r="B9" s="5" t="s">
        <v>50</v>
      </c>
      <c r="C9" s="340">
        <v>445.0</v>
      </c>
      <c r="D9" s="817">
        <v>2.0</v>
      </c>
      <c r="E9" s="818">
        <v>0.0045</v>
      </c>
      <c r="F9" s="553" t="s">
        <v>1640</v>
      </c>
      <c r="G9" s="813">
        <v>5.0</v>
      </c>
      <c r="H9" s="555">
        <v>0.0112</v>
      </c>
      <c r="I9" s="556" t="s">
        <v>1641</v>
      </c>
      <c r="J9" s="819">
        <v>36.0</v>
      </c>
      <c r="K9" s="820">
        <v>0.0857</v>
      </c>
      <c r="L9" s="812">
        <f>100-1.31</f>
        <v>98.69</v>
      </c>
    </row>
    <row r="10" ht="22.5" hidden="1" customHeight="1">
      <c r="A10" s="5" t="s">
        <v>11</v>
      </c>
      <c r="B10" s="5" t="s">
        <v>58</v>
      </c>
      <c r="C10" s="340">
        <v>581.0</v>
      </c>
      <c r="D10" s="340" t="s">
        <v>17</v>
      </c>
      <c r="E10" s="782" t="s">
        <v>17</v>
      </c>
      <c r="F10" s="553" t="s">
        <v>17</v>
      </c>
      <c r="G10" s="823">
        <v>18.0</v>
      </c>
      <c r="H10" s="824">
        <v>0.031</v>
      </c>
      <c r="I10" s="556" t="s">
        <v>1643</v>
      </c>
      <c r="J10" s="825">
        <v>29.0</v>
      </c>
      <c r="K10" s="801">
        <v>0.0518</v>
      </c>
      <c r="L10" s="799">
        <f>100-4.13</f>
        <v>95.87</v>
      </c>
    </row>
    <row r="11" ht="22.5" hidden="1" customHeight="1">
      <c r="A11" s="5" t="s">
        <v>11</v>
      </c>
      <c r="B11" s="5" t="s">
        <v>64</v>
      </c>
      <c r="C11" s="340">
        <v>453.0</v>
      </c>
      <c r="D11" s="340" t="s">
        <v>17</v>
      </c>
      <c r="E11" s="782" t="s">
        <v>17</v>
      </c>
      <c r="F11" s="553" t="s">
        <v>17</v>
      </c>
      <c r="G11" s="828">
        <v>7.0</v>
      </c>
      <c r="H11" s="829">
        <v>0.0155</v>
      </c>
      <c r="I11" s="556" t="s">
        <v>1645</v>
      </c>
      <c r="J11" s="832">
        <v>20.0</v>
      </c>
      <c r="K11" s="833">
        <v>0.0478</v>
      </c>
      <c r="L11" s="834" t="s">
        <v>1646</v>
      </c>
    </row>
    <row r="12" ht="22.5" hidden="1" customHeight="1">
      <c r="A12" s="5" t="s">
        <v>11</v>
      </c>
      <c r="B12" s="5" t="s">
        <v>71</v>
      </c>
      <c r="C12" s="340">
        <v>442.0</v>
      </c>
      <c r="D12" s="340" t="s">
        <v>17</v>
      </c>
      <c r="E12" s="782" t="s">
        <v>17</v>
      </c>
      <c r="F12" s="553" t="s">
        <v>17</v>
      </c>
      <c r="G12" s="837">
        <v>13.0</v>
      </c>
      <c r="H12" s="839">
        <v>0.0294</v>
      </c>
      <c r="I12" s="556" t="s">
        <v>1650</v>
      </c>
      <c r="J12" s="841">
        <v>74.0</v>
      </c>
      <c r="K12" s="814">
        <v>0.1897</v>
      </c>
      <c r="L12" s="843" t="s">
        <v>1651</v>
      </c>
    </row>
    <row r="13" ht="22.5" hidden="1" customHeight="1">
      <c r="A13" s="5" t="s">
        <v>11</v>
      </c>
      <c r="B13" s="5" t="s">
        <v>77</v>
      </c>
      <c r="C13" s="340">
        <v>429.0</v>
      </c>
      <c r="D13" s="340" t="s">
        <v>17</v>
      </c>
      <c r="E13" s="782" t="s">
        <v>17</v>
      </c>
      <c r="F13" s="553" t="s">
        <v>17</v>
      </c>
      <c r="G13" s="845">
        <v>3.0</v>
      </c>
      <c r="H13" s="846">
        <v>0.007</v>
      </c>
      <c r="I13" s="556" t="s">
        <v>1653</v>
      </c>
      <c r="J13" s="551">
        <v>22.0</v>
      </c>
      <c r="K13" s="848">
        <v>0.0547</v>
      </c>
      <c r="L13" s="794">
        <f>100-3.1</f>
        <v>96.9</v>
      </c>
    </row>
    <row r="14" ht="22.5" hidden="1" customHeight="1">
      <c r="A14" s="5" t="s">
        <v>11</v>
      </c>
      <c r="B14" s="5" t="s">
        <v>82</v>
      </c>
      <c r="C14" s="340">
        <v>464.0</v>
      </c>
      <c r="D14" s="340" t="s">
        <v>17</v>
      </c>
      <c r="E14" s="782" t="s">
        <v>17</v>
      </c>
      <c r="F14" s="553" t="s">
        <v>17</v>
      </c>
      <c r="G14" s="341">
        <v>2.0</v>
      </c>
      <c r="H14" s="342">
        <v>0.0043</v>
      </c>
      <c r="I14" s="556" t="s">
        <v>1656</v>
      </c>
      <c r="J14" s="852">
        <v>15.0</v>
      </c>
      <c r="K14" s="854">
        <v>0.0342</v>
      </c>
      <c r="L14" s="794">
        <f>100-2.27</f>
        <v>97.73</v>
      </c>
    </row>
    <row r="15" ht="22.5" hidden="1" customHeight="1">
      <c r="A15" s="5" t="s">
        <v>11</v>
      </c>
      <c r="B15" s="5" t="s">
        <v>90</v>
      </c>
      <c r="C15" s="340">
        <v>440.0</v>
      </c>
      <c r="D15" s="340" t="s">
        <v>17</v>
      </c>
      <c r="E15" s="782" t="s">
        <v>17</v>
      </c>
      <c r="F15" s="553" t="s">
        <v>17</v>
      </c>
      <c r="G15" s="857">
        <v>9.0</v>
      </c>
      <c r="H15" s="858">
        <v>0.0205</v>
      </c>
      <c r="I15" s="556" t="s">
        <v>1660</v>
      </c>
      <c r="J15" s="859">
        <v>39.0</v>
      </c>
      <c r="K15" s="784">
        <v>0.0951</v>
      </c>
      <c r="L15" s="794">
        <f>100-2.48</f>
        <v>97.52</v>
      </c>
    </row>
    <row r="16" ht="22.5" hidden="1" customHeight="1">
      <c r="A16" s="5" t="s">
        <v>11</v>
      </c>
      <c r="B16" s="5" t="s">
        <v>94</v>
      </c>
      <c r="C16" s="340">
        <v>400.0</v>
      </c>
      <c r="D16" s="341">
        <v>1.0</v>
      </c>
      <c r="E16" s="861">
        <v>0.0025</v>
      </c>
      <c r="F16" s="553" t="s">
        <v>1662</v>
      </c>
      <c r="G16" s="341">
        <v>2.0</v>
      </c>
      <c r="H16" s="863">
        <v>0.005</v>
      </c>
      <c r="I16" s="556" t="s">
        <v>1664</v>
      </c>
      <c r="J16" s="852">
        <v>15.0</v>
      </c>
      <c r="K16" s="867">
        <v>0.0426</v>
      </c>
      <c r="L16" s="794">
        <f>100-0.74</f>
        <v>99.26</v>
      </c>
    </row>
    <row r="17" ht="22.5" hidden="1" customHeight="1">
      <c r="A17" s="5" t="s">
        <v>11</v>
      </c>
      <c r="B17" s="5" t="s">
        <v>39</v>
      </c>
      <c r="C17" s="340">
        <v>904.0</v>
      </c>
      <c r="D17" s="800">
        <v>3.0</v>
      </c>
      <c r="E17" s="868">
        <v>0.0033</v>
      </c>
      <c r="F17" s="553" t="s">
        <v>1666</v>
      </c>
      <c r="G17" s="869">
        <v>32.0</v>
      </c>
      <c r="H17" s="870">
        <v>0.0354</v>
      </c>
      <c r="I17" s="556" t="s">
        <v>1668</v>
      </c>
      <c r="J17" s="869">
        <v>155.0</v>
      </c>
      <c r="K17" s="873">
        <v>0.1865</v>
      </c>
      <c r="L17" s="799">
        <f>100-9.16</f>
        <v>90.84</v>
      </c>
    </row>
    <row r="18" ht="22.5" hidden="1" customHeight="1">
      <c r="A18" s="5" t="s">
        <v>11</v>
      </c>
      <c r="B18" s="5" t="s">
        <v>104</v>
      </c>
      <c r="C18" s="340">
        <v>197.0</v>
      </c>
      <c r="D18" s="800">
        <v>3.0</v>
      </c>
      <c r="E18" s="877">
        <v>0.015</v>
      </c>
      <c r="F18" s="553" t="s">
        <v>1670</v>
      </c>
      <c r="G18" s="341">
        <v>2.0</v>
      </c>
      <c r="H18" s="879"/>
      <c r="I18" s="556" t="s">
        <v>1671</v>
      </c>
      <c r="J18" s="881"/>
      <c r="K18" s="879"/>
      <c r="L18" s="883">
        <f>100-0.55</f>
        <v>99.45</v>
      </c>
    </row>
    <row r="19" ht="22.5" hidden="1" customHeight="1">
      <c r="A19" s="5" t="s">
        <v>11</v>
      </c>
      <c r="B19" s="5" t="s">
        <v>59</v>
      </c>
      <c r="C19" s="340">
        <v>672.0</v>
      </c>
      <c r="D19" s="341">
        <v>1.0</v>
      </c>
      <c r="E19" s="886">
        <v>0.0015</v>
      </c>
      <c r="F19" s="553" t="s">
        <v>1676</v>
      </c>
      <c r="G19" s="813">
        <v>5.0</v>
      </c>
      <c r="H19" s="888">
        <v>0.0074</v>
      </c>
      <c r="I19" s="556" t="s">
        <v>1677</v>
      </c>
      <c r="J19" s="889">
        <v>45.0</v>
      </c>
      <c r="K19" s="802">
        <v>0.0698</v>
      </c>
      <c r="L19" s="812">
        <f>100-5.59</f>
        <v>94.41</v>
      </c>
    </row>
    <row r="20" ht="22.5" hidden="1" customHeight="1">
      <c r="A20" s="5" t="s">
        <v>11</v>
      </c>
      <c r="B20" s="5" t="s">
        <v>114</v>
      </c>
      <c r="C20" s="340">
        <v>852.0</v>
      </c>
      <c r="D20" s="341">
        <v>1.0</v>
      </c>
      <c r="E20" s="892">
        <v>0.0012</v>
      </c>
      <c r="F20" s="553" t="s">
        <v>1681</v>
      </c>
      <c r="G20" s="894">
        <v>19.0</v>
      </c>
      <c r="H20" s="796">
        <v>0.0223</v>
      </c>
      <c r="I20" s="556" t="s">
        <v>1682</v>
      </c>
      <c r="J20" s="896">
        <v>62.0</v>
      </c>
      <c r="K20" s="796">
        <v>0.077</v>
      </c>
      <c r="L20" s="794">
        <f>100-2.43</f>
        <v>97.57</v>
      </c>
    </row>
    <row r="21" ht="22.5" hidden="1" customHeight="1">
      <c r="A21" s="5" t="s">
        <v>11</v>
      </c>
      <c r="B21" s="5" t="s">
        <v>119</v>
      </c>
      <c r="C21" s="340">
        <v>400.0</v>
      </c>
      <c r="D21" s="340" t="s">
        <v>17</v>
      </c>
      <c r="E21" s="782" t="s">
        <v>17</v>
      </c>
      <c r="F21" s="553" t="s">
        <v>17</v>
      </c>
      <c r="G21" s="900">
        <v>6.0</v>
      </c>
      <c r="H21" s="901">
        <v>0.015</v>
      </c>
      <c r="I21" s="556" t="s">
        <v>1687</v>
      </c>
      <c r="J21" s="554">
        <v>52.0</v>
      </c>
      <c r="K21" s="902">
        <v>0.1402</v>
      </c>
      <c r="L21" s="812">
        <f>100-7.39</f>
        <v>92.61</v>
      </c>
    </row>
    <row r="22" ht="22.5" hidden="1" customHeight="1">
      <c r="A22" s="5" t="s">
        <v>11</v>
      </c>
      <c r="B22" s="5" t="s">
        <v>126</v>
      </c>
      <c r="C22" s="340">
        <v>298.0</v>
      </c>
      <c r="D22" s="817">
        <v>2.0</v>
      </c>
      <c r="E22" s="905">
        <v>0.0067</v>
      </c>
      <c r="F22" s="553" t="s">
        <v>1692</v>
      </c>
      <c r="G22" s="819">
        <v>8.0</v>
      </c>
      <c r="H22" s="907">
        <v>0.0268</v>
      </c>
      <c r="I22" s="556" t="s">
        <v>1694</v>
      </c>
      <c r="J22" s="845">
        <v>11.0</v>
      </c>
      <c r="K22" s="908">
        <v>0.0407</v>
      </c>
      <c r="L22" s="794">
        <f>100-7.82</f>
        <v>92.18</v>
      </c>
    </row>
    <row r="23" ht="22.5" hidden="1" customHeight="1">
      <c r="A23" s="5" t="s">
        <v>11</v>
      </c>
      <c r="B23" s="5" t="s">
        <v>136</v>
      </c>
      <c r="C23" s="340">
        <v>294.0</v>
      </c>
      <c r="D23" s="341">
        <v>1.0</v>
      </c>
      <c r="E23" s="558">
        <v>0.0034</v>
      </c>
      <c r="F23" s="553" t="s">
        <v>1698</v>
      </c>
      <c r="G23" s="783">
        <v>10.0</v>
      </c>
      <c r="H23" s="910">
        <v>0.034</v>
      </c>
      <c r="I23" s="556" t="s">
        <v>1701</v>
      </c>
      <c r="J23" s="813">
        <v>21.0</v>
      </c>
      <c r="K23" s="913">
        <v>0.0802</v>
      </c>
      <c r="L23" s="794">
        <f>100-3.32</f>
        <v>96.68</v>
      </c>
    </row>
    <row r="24" ht="22.5" hidden="1" customHeight="1">
      <c r="A24" s="5" t="s">
        <v>11</v>
      </c>
      <c r="B24" s="5" t="s">
        <v>72</v>
      </c>
      <c r="C24" s="340">
        <v>513.0</v>
      </c>
      <c r="D24" s="340" t="s">
        <v>17</v>
      </c>
      <c r="E24" s="782" t="s">
        <v>17</v>
      </c>
      <c r="F24" s="553" t="s">
        <v>17</v>
      </c>
      <c r="G24" s="917">
        <v>4.0</v>
      </c>
      <c r="H24" s="918">
        <v>0.0078</v>
      </c>
      <c r="I24" s="556" t="s">
        <v>1706</v>
      </c>
      <c r="J24" s="919">
        <v>41.0</v>
      </c>
      <c r="K24" s="920">
        <v>0.084</v>
      </c>
      <c r="L24" s="808">
        <f>100-0.3</f>
        <v>99.7</v>
      </c>
    </row>
    <row r="25" ht="22.5" hidden="1" customHeight="1">
      <c r="A25" s="5" t="s">
        <v>11</v>
      </c>
      <c r="B25" s="5" t="s">
        <v>145</v>
      </c>
      <c r="C25" s="340">
        <v>395.0</v>
      </c>
      <c r="D25" s="341">
        <v>1.0</v>
      </c>
      <c r="E25" s="925">
        <v>0.0025</v>
      </c>
      <c r="F25" s="553" t="s">
        <v>1662</v>
      </c>
      <c r="G25" s="845">
        <v>3.0</v>
      </c>
      <c r="H25" s="918">
        <v>0.0076</v>
      </c>
      <c r="I25" s="556" t="s">
        <v>1709</v>
      </c>
      <c r="J25" s="926">
        <v>8.0</v>
      </c>
      <c r="K25" s="342">
        <v>0.0228</v>
      </c>
      <c r="L25" s="799">
        <f>100-8.72</f>
        <v>91.28</v>
      </c>
    </row>
    <row r="26" ht="22.5" hidden="1" customHeight="1">
      <c r="A26" s="5" t="s">
        <v>11</v>
      </c>
      <c r="B26" s="5" t="s">
        <v>85</v>
      </c>
      <c r="C26" s="340">
        <v>295.0</v>
      </c>
      <c r="D26" s="869">
        <v>5.0</v>
      </c>
      <c r="E26" s="814">
        <v>0.0167</v>
      </c>
      <c r="F26" s="553" t="s">
        <v>1711</v>
      </c>
      <c r="G26" s="900">
        <v>6.0</v>
      </c>
      <c r="H26" s="933">
        <v>0.0203</v>
      </c>
      <c r="I26" s="556" t="s">
        <v>1712</v>
      </c>
      <c r="J26" s="934">
        <v>35.0</v>
      </c>
      <c r="K26" s="935">
        <v>0.1287</v>
      </c>
      <c r="L26" s="794">
        <f>100-2.45</f>
        <v>97.55</v>
      </c>
    </row>
    <row r="27" ht="22.5" hidden="1" customHeight="1">
      <c r="A27" s="5" t="s">
        <v>11</v>
      </c>
      <c r="B27" s="35" t="s">
        <v>79</v>
      </c>
      <c r="C27" s="340">
        <v>526.0</v>
      </c>
      <c r="D27" s="340" t="s">
        <v>17</v>
      </c>
      <c r="E27" s="782" t="s">
        <v>17</v>
      </c>
      <c r="F27" s="553" t="s">
        <v>17</v>
      </c>
      <c r="G27" s="857">
        <v>9.0</v>
      </c>
      <c r="H27" s="939">
        <v>0.0171</v>
      </c>
      <c r="I27" s="556" t="s">
        <v>1715</v>
      </c>
      <c r="J27" s="889">
        <v>45.0</v>
      </c>
      <c r="K27" s="940">
        <v>0.0898</v>
      </c>
      <c r="L27" s="794">
        <f>100-1.86</f>
        <v>98.14</v>
      </c>
    </row>
    <row r="28" ht="22.5" hidden="1" customHeight="1">
      <c r="A28" s="5" t="s">
        <v>11</v>
      </c>
      <c r="B28" s="5" t="s">
        <v>109</v>
      </c>
      <c r="C28" s="340">
        <v>523.0</v>
      </c>
      <c r="D28" s="340" t="s">
        <v>17</v>
      </c>
      <c r="E28" s="782" t="s">
        <v>17</v>
      </c>
      <c r="F28" s="553" t="s">
        <v>17</v>
      </c>
      <c r="G28" s="783">
        <v>10.0</v>
      </c>
      <c r="H28" s="941">
        <v>0.0191</v>
      </c>
      <c r="I28" s="556" t="s">
        <v>1721</v>
      </c>
      <c r="J28" s="942">
        <v>14.0</v>
      </c>
      <c r="K28" s="943">
        <v>0.0282</v>
      </c>
      <c r="L28" s="794">
        <f>100-0.31</f>
        <v>99.69</v>
      </c>
    </row>
    <row r="29" ht="22.5" hidden="1" customHeight="1">
      <c r="A29" s="5" t="s">
        <v>11</v>
      </c>
      <c r="B29" s="5" t="s">
        <v>49</v>
      </c>
      <c r="C29" s="340">
        <v>739.0</v>
      </c>
      <c r="D29" s="817">
        <v>2.0</v>
      </c>
      <c r="E29" s="555">
        <v>0.0027</v>
      </c>
      <c r="F29" s="553" t="s">
        <v>1725</v>
      </c>
      <c r="G29" s="947">
        <v>25.0</v>
      </c>
      <c r="H29" s="948">
        <v>0.0338</v>
      </c>
      <c r="I29" s="556" t="s">
        <v>1727</v>
      </c>
      <c r="J29" s="791">
        <v>84.0</v>
      </c>
      <c r="K29" s="949">
        <v>0.1203</v>
      </c>
      <c r="L29" s="812">
        <f>100-3.91</f>
        <v>96.09</v>
      </c>
    </row>
    <row r="30" ht="22.5" hidden="1" customHeight="1">
      <c r="A30" s="5" t="s">
        <v>11</v>
      </c>
      <c r="B30" s="5" t="s">
        <v>115</v>
      </c>
      <c r="C30" s="340">
        <v>451.0</v>
      </c>
      <c r="D30" s="341">
        <v>1.0</v>
      </c>
      <c r="E30" s="950">
        <v>0.0022</v>
      </c>
      <c r="F30" s="553" t="s">
        <v>1730</v>
      </c>
      <c r="G30" s="857">
        <v>9.0</v>
      </c>
      <c r="H30" s="952">
        <v>0.02</v>
      </c>
      <c r="I30" s="556" t="s">
        <v>1731</v>
      </c>
      <c r="J30" s="825">
        <v>29.0</v>
      </c>
      <c r="K30" s="952">
        <v>0.07</v>
      </c>
      <c r="L30" s="794">
        <f>100-1.22</f>
        <v>98.78</v>
      </c>
    </row>
    <row r="31" ht="22.5" hidden="1" customHeight="1">
      <c r="A31" s="5" t="s">
        <v>11</v>
      </c>
      <c r="B31" s="5" t="s">
        <v>45</v>
      </c>
      <c r="C31" s="340">
        <v>827.0</v>
      </c>
      <c r="D31" s="340" t="s">
        <v>17</v>
      </c>
      <c r="E31" s="340" t="s">
        <v>17</v>
      </c>
      <c r="F31" s="553" t="s">
        <v>17</v>
      </c>
      <c r="G31" s="837">
        <v>13.0</v>
      </c>
      <c r="H31" s="955">
        <v>0.0157</v>
      </c>
      <c r="I31" s="556" t="s">
        <v>1737</v>
      </c>
      <c r="J31" s="956">
        <v>37.0</v>
      </c>
      <c r="K31" s="833">
        <v>0.0481</v>
      </c>
      <c r="L31" s="812">
        <f>100-2.75</f>
        <v>97.25</v>
      </c>
    </row>
    <row r="32" ht="22.5" hidden="1" customHeight="1">
      <c r="A32" s="5" t="s">
        <v>11</v>
      </c>
      <c r="B32" s="5" t="s">
        <v>170</v>
      </c>
      <c r="C32" s="340">
        <v>372.0</v>
      </c>
      <c r="D32" s="800">
        <v>3.0</v>
      </c>
      <c r="E32" s="958">
        <v>0.008</v>
      </c>
      <c r="F32" s="553" t="s">
        <v>1741</v>
      </c>
      <c r="G32" s="900">
        <v>6.0</v>
      </c>
      <c r="H32" s="959">
        <v>0.0161</v>
      </c>
      <c r="I32" s="556" t="s">
        <v>1742</v>
      </c>
      <c r="J32" s="960">
        <v>50.0</v>
      </c>
      <c r="K32" s="961">
        <v>0.1479</v>
      </c>
      <c r="L32" s="794">
        <f>100-3.73</f>
        <v>96.27</v>
      </c>
    </row>
    <row r="33" ht="22.5" hidden="1" customHeight="1">
      <c r="A33" s="5" t="s">
        <v>11</v>
      </c>
      <c r="B33" s="5" t="s">
        <v>123</v>
      </c>
      <c r="C33" s="340">
        <v>523.0</v>
      </c>
      <c r="D33" s="964">
        <v>4.0</v>
      </c>
      <c r="E33" s="784">
        <v>0.0076</v>
      </c>
      <c r="F33" s="553" t="s">
        <v>1747</v>
      </c>
      <c r="G33" s="965">
        <v>24.0</v>
      </c>
      <c r="H33" s="966">
        <v>0.0478</v>
      </c>
      <c r="I33" s="556" t="s">
        <v>1748</v>
      </c>
      <c r="J33" s="889">
        <v>45.0</v>
      </c>
      <c r="K33" s="967">
        <v>0.0938</v>
      </c>
      <c r="L33" s="812">
        <f>100-3.02</f>
        <v>96.98</v>
      </c>
    </row>
    <row r="34" ht="22.5" hidden="1" customHeight="1">
      <c r="A34" s="5" t="s">
        <v>11</v>
      </c>
      <c r="B34" s="5" t="s">
        <v>96</v>
      </c>
      <c r="C34" s="340">
        <v>496.0</v>
      </c>
      <c r="D34" s="340" t="s">
        <v>17</v>
      </c>
      <c r="E34" s="782" t="s">
        <v>17</v>
      </c>
      <c r="F34" s="553" t="s">
        <v>17</v>
      </c>
      <c r="G34" s="828">
        <v>7.0</v>
      </c>
      <c r="H34" s="971">
        <v>0.0141</v>
      </c>
      <c r="I34" s="556" t="s">
        <v>1753</v>
      </c>
      <c r="J34" s="973">
        <v>30.0</v>
      </c>
      <c r="K34" s="974">
        <v>0.0652</v>
      </c>
      <c r="L34" s="794">
        <f>100-0.22</f>
        <v>99.78</v>
      </c>
    </row>
    <row r="35" ht="22.5" hidden="1" customHeight="1">
      <c r="A35" s="5" t="s">
        <v>11</v>
      </c>
      <c r="B35" s="5" t="s">
        <v>156</v>
      </c>
      <c r="C35" s="340">
        <v>459.0</v>
      </c>
      <c r="D35" s="340" t="s">
        <v>17</v>
      </c>
      <c r="E35" s="782" t="s">
        <v>17</v>
      </c>
      <c r="F35" s="553" t="s">
        <v>17</v>
      </c>
      <c r="G35" s="976">
        <v>12.0</v>
      </c>
      <c r="H35" s="978">
        <v>0.0261</v>
      </c>
      <c r="I35" s="556" t="s">
        <v>1758</v>
      </c>
      <c r="J35" s="979">
        <v>33.0</v>
      </c>
      <c r="K35" s="980">
        <v>0.0767</v>
      </c>
      <c r="L35" s="812">
        <f>100-2.41</f>
        <v>97.59</v>
      </c>
    </row>
    <row r="36" ht="22.5" hidden="1" customHeight="1">
      <c r="A36" s="5" t="s">
        <v>11</v>
      </c>
      <c r="B36" s="5" t="s">
        <v>153</v>
      </c>
      <c r="C36" s="340">
        <v>359.0</v>
      </c>
      <c r="D36" s="341">
        <v>1.0</v>
      </c>
      <c r="E36" s="982">
        <v>0.0028</v>
      </c>
      <c r="F36" s="553" t="s">
        <v>1762</v>
      </c>
      <c r="G36" s="819">
        <v>8.0</v>
      </c>
      <c r="H36" s="796">
        <v>0.0223</v>
      </c>
      <c r="I36" s="556" t="s">
        <v>1763</v>
      </c>
      <c r="J36" s="984">
        <v>19.0</v>
      </c>
      <c r="K36" s="829">
        <v>0.0564</v>
      </c>
      <c r="L36" s="812">
        <f>100-2.36</f>
        <v>97.64</v>
      </c>
    </row>
    <row r="37" ht="22.5" hidden="1" customHeight="1">
      <c r="A37" s="5" t="s">
        <v>11</v>
      </c>
      <c r="B37" s="5" t="s">
        <v>159</v>
      </c>
      <c r="C37" s="340">
        <v>381.0</v>
      </c>
      <c r="D37" s="341">
        <v>1.0</v>
      </c>
      <c r="E37" s="986">
        <v>0.0026</v>
      </c>
      <c r="F37" s="553" t="s">
        <v>1766</v>
      </c>
      <c r="G37" s="341">
        <v>2.0</v>
      </c>
      <c r="H37" s="879"/>
      <c r="I37" s="556" t="s">
        <v>1768</v>
      </c>
      <c r="J37" s="987">
        <v>46.0</v>
      </c>
      <c r="K37" s="988">
        <v>0.1322</v>
      </c>
      <c r="L37" s="794">
        <f>100-5.5</f>
        <v>94.5</v>
      </c>
    </row>
    <row r="38" ht="22.5" hidden="1" customHeight="1">
      <c r="A38" s="5" t="s">
        <v>11</v>
      </c>
      <c r="B38" s="5" t="s">
        <v>26</v>
      </c>
      <c r="C38" s="340">
        <v>1013.0</v>
      </c>
      <c r="D38" s="341">
        <v>1.0</v>
      </c>
      <c r="E38" s="989">
        <v>0.001</v>
      </c>
      <c r="F38" s="553" t="s">
        <v>277</v>
      </c>
      <c r="G38" s="991">
        <v>11.0</v>
      </c>
      <c r="H38" s="867">
        <v>0.0109</v>
      </c>
      <c r="I38" s="556" t="s">
        <v>1775</v>
      </c>
      <c r="J38" s="993">
        <v>105.0</v>
      </c>
      <c r="K38" s="995">
        <v>0.1106</v>
      </c>
      <c r="L38" s="812">
        <f>100-4.62</f>
        <v>95.38</v>
      </c>
    </row>
    <row r="39" ht="22.5" hidden="1" customHeight="1">
      <c r="A39" s="5" t="s">
        <v>11</v>
      </c>
      <c r="B39" s="5" t="s">
        <v>23</v>
      </c>
      <c r="C39" s="340">
        <v>871.0</v>
      </c>
      <c r="D39" s="340" t="s">
        <v>17</v>
      </c>
      <c r="E39" s="782" t="s">
        <v>17</v>
      </c>
      <c r="F39" s="553" t="s">
        <v>17</v>
      </c>
      <c r="G39" s="819">
        <v>8.0</v>
      </c>
      <c r="H39" s="1003">
        <v>0.0092</v>
      </c>
      <c r="I39" s="556" t="s">
        <v>1778</v>
      </c>
      <c r="J39" s="1004">
        <v>97.0</v>
      </c>
      <c r="K39" s="870">
        <v>0.1164</v>
      </c>
      <c r="L39" s="794">
        <f>100-4.34</f>
        <v>95.66</v>
      </c>
    </row>
    <row r="40" ht="22.5" hidden="1" customHeight="1">
      <c r="A40" s="5" t="s">
        <v>11</v>
      </c>
      <c r="B40" s="5" t="s">
        <v>63</v>
      </c>
      <c r="C40" s="340">
        <v>620.0</v>
      </c>
      <c r="D40" s="341">
        <v>1.0</v>
      </c>
      <c r="E40" s="888">
        <v>0.0016</v>
      </c>
      <c r="F40" s="553" t="s">
        <v>1780</v>
      </c>
      <c r="G40" s="828">
        <v>7.0</v>
      </c>
      <c r="H40" s="555">
        <v>0.0113</v>
      </c>
      <c r="I40" s="556" t="s">
        <v>1781</v>
      </c>
      <c r="J40" s="1008">
        <v>42.0</v>
      </c>
      <c r="K40" s="802">
        <v>0.0695</v>
      </c>
      <c r="L40" s="812">
        <f>100-3.03</f>
        <v>96.97</v>
      </c>
    </row>
    <row r="41" ht="22.5" customHeight="1">
      <c r="A41" s="5" t="s">
        <v>185</v>
      </c>
      <c r="B41" s="5" t="s">
        <v>15</v>
      </c>
      <c r="C41" s="50">
        <v>26.0</v>
      </c>
      <c r="D41" s="47" t="s">
        <v>258</v>
      </c>
      <c r="E41" s="47">
        <v>0.0</v>
      </c>
      <c r="F41" s="28">
        <v>0.0</v>
      </c>
      <c r="G41" s="174" t="s">
        <v>1030</v>
      </c>
      <c r="H41" s="1011" t="s">
        <v>724</v>
      </c>
      <c r="I41" s="47" t="s">
        <v>1783</v>
      </c>
      <c r="J41" s="51">
        <v>3.0</v>
      </c>
      <c r="K41" s="174" t="s">
        <v>1784</v>
      </c>
      <c r="L41" s="1013" t="s">
        <v>1785</v>
      </c>
    </row>
    <row r="42" ht="22.5" customHeight="1">
      <c r="A42" s="5" t="s">
        <v>185</v>
      </c>
      <c r="B42" s="5" t="s">
        <v>13</v>
      </c>
      <c r="C42" s="50">
        <v>558.0</v>
      </c>
      <c r="D42" s="47" t="s">
        <v>258</v>
      </c>
      <c r="E42" s="47">
        <v>0.0</v>
      </c>
      <c r="F42" s="28">
        <v>0.0</v>
      </c>
      <c r="G42" s="174" t="s">
        <v>1786</v>
      </c>
      <c r="H42" s="1011" t="s">
        <v>1787</v>
      </c>
      <c r="I42" s="47" t="s">
        <v>1788</v>
      </c>
      <c r="J42" s="51">
        <v>59.0</v>
      </c>
      <c r="K42" s="174" t="s">
        <v>1790</v>
      </c>
      <c r="L42" s="174" t="s">
        <v>298</v>
      </c>
    </row>
    <row r="43" ht="22.5" customHeight="1">
      <c r="A43" s="5" t="s">
        <v>185</v>
      </c>
      <c r="B43" s="5" t="s">
        <v>27</v>
      </c>
      <c r="C43" s="50">
        <v>226.0</v>
      </c>
      <c r="D43" s="47" t="s">
        <v>258</v>
      </c>
      <c r="E43" s="47">
        <v>0.0</v>
      </c>
      <c r="F43" s="28">
        <v>0.0</v>
      </c>
      <c r="G43" s="174" t="s">
        <v>1678</v>
      </c>
      <c r="H43" s="1011" t="s">
        <v>1589</v>
      </c>
      <c r="I43" s="47">
        <v>18938.0</v>
      </c>
      <c r="J43" s="51">
        <v>34.0</v>
      </c>
      <c r="K43" s="174" t="s">
        <v>1791</v>
      </c>
      <c r="L43" s="174" t="s">
        <v>1005</v>
      </c>
    </row>
    <row r="44" ht="22.5" customHeight="1">
      <c r="A44" s="5" t="s">
        <v>185</v>
      </c>
      <c r="B44" s="5" t="s">
        <v>33</v>
      </c>
      <c r="C44" s="50">
        <v>308.0</v>
      </c>
      <c r="D44" s="47" t="s">
        <v>258</v>
      </c>
      <c r="E44" s="47">
        <v>0.0</v>
      </c>
      <c r="F44" s="28">
        <v>0.0</v>
      </c>
      <c r="G44" s="174" t="s">
        <v>1793</v>
      </c>
      <c r="H44" s="1011" t="s">
        <v>1591</v>
      </c>
      <c r="I44" s="47" t="s">
        <v>1794</v>
      </c>
      <c r="J44" s="51">
        <v>94.0</v>
      </c>
      <c r="K44" s="174" t="s">
        <v>1795</v>
      </c>
      <c r="L44" s="1013" t="s">
        <v>1797</v>
      </c>
    </row>
    <row r="45" ht="22.5" customHeight="1">
      <c r="A45" s="5" t="s">
        <v>185</v>
      </c>
      <c r="B45" s="5" t="s">
        <v>19</v>
      </c>
      <c r="C45" s="50">
        <v>374.0</v>
      </c>
      <c r="D45" s="47" t="s">
        <v>258</v>
      </c>
      <c r="E45" s="47">
        <v>0.0</v>
      </c>
      <c r="F45" s="28">
        <v>0.0</v>
      </c>
      <c r="G45" s="47" t="s">
        <v>1799</v>
      </c>
      <c r="H45" s="1025" t="s">
        <v>1800</v>
      </c>
      <c r="I45" s="47" t="s">
        <v>1801</v>
      </c>
      <c r="J45" s="51">
        <v>107.0</v>
      </c>
      <c r="K45" s="174" t="s">
        <v>1802</v>
      </c>
      <c r="L45" s="1013" t="s">
        <v>1803</v>
      </c>
    </row>
    <row r="46" ht="22.5" customHeight="1">
      <c r="A46" s="5" t="s">
        <v>185</v>
      </c>
      <c r="B46" s="5" t="s">
        <v>58</v>
      </c>
      <c r="C46" s="50">
        <v>218.0</v>
      </c>
      <c r="D46" s="174" t="s">
        <v>258</v>
      </c>
      <c r="E46" s="174">
        <v>0.0</v>
      </c>
      <c r="F46" s="28">
        <v>0.0</v>
      </c>
      <c r="G46" s="174" t="s">
        <v>1805</v>
      </c>
      <c r="H46" s="1011" t="s">
        <v>1592</v>
      </c>
      <c r="I46" s="47" t="s">
        <v>1806</v>
      </c>
      <c r="J46" s="51">
        <v>60.0</v>
      </c>
      <c r="K46" s="174" t="s">
        <v>1807</v>
      </c>
      <c r="L46" s="174" t="s">
        <v>1808</v>
      </c>
    </row>
    <row r="47" ht="22.5" customHeight="1">
      <c r="A47" s="5" t="s">
        <v>185</v>
      </c>
      <c r="B47" s="5" t="s">
        <v>77</v>
      </c>
      <c r="C47" s="50">
        <v>89.0</v>
      </c>
      <c r="D47" s="174" t="s">
        <v>258</v>
      </c>
      <c r="E47" s="174">
        <v>0.0</v>
      </c>
      <c r="F47" s="28">
        <v>0.0</v>
      </c>
      <c r="G47" s="174" t="s">
        <v>1810</v>
      </c>
      <c r="H47" s="1011" t="s">
        <v>1593</v>
      </c>
      <c r="I47" s="47" t="s">
        <v>1811</v>
      </c>
      <c r="J47" s="51">
        <v>4.0</v>
      </c>
      <c r="K47" s="174" t="s">
        <v>208</v>
      </c>
      <c r="L47" s="174" t="s">
        <v>298</v>
      </c>
    </row>
    <row r="48" ht="22.5" customHeight="1">
      <c r="A48" s="5" t="s">
        <v>185</v>
      </c>
      <c r="B48" s="5" t="s">
        <v>82</v>
      </c>
      <c r="C48" s="50">
        <v>98.0</v>
      </c>
      <c r="D48" s="174" t="s">
        <v>258</v>
      </c>
      <c r="E48" s="174">
        <v>0.0</v>
      </c>
      <c r="F48" s="28">
        <v>0.0</v>
      </c>
      <c r="G48" s="174" t="s">
        <v>1270</v>
      </c>
      <c r="H48" s="1011" t="s">
        <v>707</v>
      </c>
      <c r="I48" s="47">
        <v>0.0</v>
      </c>
      <c r="J48" s="51">
        <v>8.0</v>
      </c>
      <c r="K48" s="174" t="s">
        <v>1812</v>
      </c>
      <c r="L48" s="174" t="s">
        <v>1813</v>
      </c>
    </row>
    <row r="49" ht="22.5" customHeight="1">
      <c r="A49" s="5" t="s">
        <v>185</v>
      </c>
      <c r="B49" s="50" t="s">
        <v>94</v>
      </c>
      <c r="C49" s="50">
        <v>6.0</v>
      </c>
      <c r="D49" s="174" t="s">
        <v>258</v>
      </c>
      <c r="E49" s="174">
        <v>0.0</v>
      </c>
      <c r="F49" s="28">
        <v>0.0</v>
      </c>
      <c r="G49" s="174" t="s">
        <v>258</v>
      </c>
      <c r="H49" s="1011" t="s">
        <v>718</v>
      </c>
      <c r="I49" s="50">
        <v>0.0</v>
      </c>
      <c r="J49" s="51">
        <v>1.0</v>
      </c>
      <c r="K49" s="174" t="s">
        <v>1815</v>
      </c>
      <c r="L49" s="174" t="s">
        <v>298</v>
      </c>
    </row>
    <row r="50" ht="22.5" customHeight="1">
      <c r="A50" s="5" t="s">
        <v>185</v>
      </c>
      <c r="B50" s="5" t="s">
        <v>90</v>
      </c>
      <c r="C50" s="50">
        <v>21.0</v>
      </c>
      <c r="D50" s="174" t="s">
        <v>258</v>
      </c>
      <c r="E50" s="174">
        <v>0.0</v>
      </c>
      <c r="F50" s="28">
        <v>0.0</v>
      </c>
      <c r="G50" s="174" t="s">
        <v>1816</v>
      </c>
      <c r="H50" s="1011" t="s">
        <v>733</v>
      </c>
      <c r="I50" s="47" t="s">
        <v>1817</v>
      </c>
      <c r="J50" s="51">
        <v>0.0</v>
      </c>
      <c r="K50" s="174" t="s">
        <v>258</v>
      </c>
      <c r="L50" s="174" t="s">
        <v>298</v>
      </c>
    </row>
    <row r="51" ht="22.5" customHeight="1">
      <c r="A51" s="5" t="s">
        <v>185</v>
      </c>
      <c r="B51" s="5" t="s">
        <v>39</v>
      </c>
      <c r="C51" s="50">
        <v>37.0</v>
      </c>
      <c r="D51" s="174" t="s">
        <v>258</v>
      </c>
      <c r="E51" s="174">
        <v>0.0</v>
      </c>
      <c r="F51" s="28">
        <v>0.0</v>
      </c>
      <c r="G51" s="174" t="s">
        <v>517</v>
      </c>
      <c r="H51" s="1011" t="s">
        <v>707</v>
      </c>
      <c r="I51" s="47">
        <v>0.0</v>
      </c>
      <c r="J51" s="51">
        <v>13.0</v>
      </c>
      <c r="K51" s="174" t="s">
        <v>1819</v>
      </c>
      <c r="L51" s="1013" t="s">
        <v>1820</v>
      </c>
    </row>
    <row r="52" ht="22.5" customHeight="1">
      <c r="A52" s="5" t="s">
        <v>185</v>
      </c>
      <c r="B52" s="5" t="s">
        <v>59</v>
      </c>
      <c r="C52" s="13">
        <v>100.0</v>
      </c>
      <c r="D52" s="174" t="s">
        <v>258</v>
      </c>
      <c r="E52" s="174">
        <v>0.0</v>
      </c>
      <c r="F52" s="28">
        <v>0.0</v>
      </c>
      <c r="G52" s="174" t="s">
        <v>1032</v>
      </c>
      <c r="H52" s="1011" t="s">
        <v>1593</v>
      </c>
      <c r="I52" s="47" t="s">
        <v>1821</v>
      </c>
      <c r="J52" s="51">
        <v>20.0</v>
      </c>
      <c r="K52" s="174" t="s">
        <v>1822</v>
      </c>
      <c r="L52" s="174" t="s">
        <v>298</v>
      </c>
    </row>
    <row r="53" ht="22.5" customHeight="1">
      <c r="A53" s="5" t="s">
        <v>185</v>
      </c>
      <c r="B53" s="5" t="s">
        <v>114</v>
      </c>
      <c r="C53" s="13">
        <v>117.0</v>
      </c>
      <c r="D53" s="174" t="s">
        <v>258</v>
      </c>
      <c r="E53" s="174">
        <v>0.0</v>
      </c>
      <c r="F53" s="28">
        <v>0.0</v>
      </c>
      <c r="G53" s="174" t="s">
        <v>1824</v>
      </c>
      <c r="H53" s="1011" t="s">
        <v>1592</v>
      </c>
      <c r="I53" s="47" t="s">
        <v>1825</v>
      </c>
      <c r="J53" s="51">
        <v>23.0</v>
      </c>
      <c r="K53" s="174" t="s">
        <v>1702</v>
      </c>
      <c r="L53" s="174" t="s">
        <v>298</v>
      </c>
    </row>
    <row r="54" ht="22.5" customHeight="1">
      <c r="A54" s="5" t="s">
        <v>185</v>
      </c>
      <c r="B54" s="5" t="s">
        <v>136</v>
      </c>
      <c r="C54" s="13">
        <v>58.0</v>
      </c>
      <c r="D54" s="174" t="s">
        <v>258</v>
      </c>
      <c r="E54" s="174">
        <v>0.0</v>
      </c>
      <c r="F54" s="28">
        <v>0.0</v>
      </c>
      <c r="G54" s="174" t="s">
        <v>1585</v>
      </c>
      <c r="H54" s="1011" t="s">
        <v>1588</v>
      </c>
      <c r="I54" s="300">
        <v>1822653.0</v>
      </c>
      <c r="J54" s="51">
        <v>14.0</v>
      </c>
      <c r="K54" s="174" t="s">
        <v>1827</v>
      </c>
      <c r="L54" s="174" t="s">
        <v>298</v>
      </c>
    </row>
    <row r="55" ht="22.5" customHeight="1">
      <c r="A55" s="5" t="s">
        <v>185</v>
      </c>
      <c r="B55" s="5" t="s">
        <v>85</v>
      </c>
      <c r="C55" s="13">
        <v>231.0</v>
      </c>
      <c r="D55" s="174" t="s">
        <v>258</v>
      </c>
      <c r="E55" s="174">
        <v>0.0</v>
      </c>
      <c r="F55" s="28">
        <v>0.0</v>
      </c>
      <c r="G55" s="174" t="s">
        <v>808</v>
      </c>
      <c r="H55" s="1011" t="s">
        <v>1591</v>
      </c>
      <c r="I55" s="47" t="s">
        <v>1828</v>
      </c>
      <c r="J55" s="51">
        <v>28.0</v>
      </c>
      <c r="K55" s="174" t="s">
        <v>1829</v>
      </c>
      <c r="L55" s="174" t="s">
        <v>1830</v>
      </c>
    </row>
    <row r="56" ht="22.5" customHeight="1">
      <c r="A56" s="5" t="s">
        <v>185</v>
      </c>
      <c r="B56" s="35" t="s">
        <v>79</v>
      </c>
      <c r="C56" s="13">
        <v>141.0</v>
      </c>
      <c r="D56" s="174" t="s">
        <v>258</v>
      </c>
      <c r="E56" s="174">
        <v>0.0</v>
      </c>
      <c r="F56" s="28">
        <v>0.0</v>
      </c>
      <c r="G56" s="174" t="s">
        <v>821</v>
      </c>
      <c r="H56" s="1011" t="s">
        <v>724</v>
      </c>
      <c r="I56" s="47" t="s">
        <v>1831</v>
      </c>
      <c r="J56" s="51">
        <v>56.0</v>
      </c>
      <c r="K56" s="174" t="s">
        <v>486</v>
      </c>
      <c r="L56" s="174" t="s">
        <v>298</v>
      </c>
    </row>
    <row r="57" ht="22.5" customHeight="1">
      <c r="A57" s="5" t="s">
        <v>185</v>
      </c>
      <c r="B57" s="5" t="s">
        <v>45</v>
      </c>
      <c r="C57" s="13">
        <v>189.0</v>
      </c>
      <c r="D57" s="174" t="s">
        <v>258</v>
      </c>
      <c r="E57" s="174">
        <v>0.0</v>
      </c>
      <c r="F57" s="28">
        <v>0.0</v>
      </c>
      <c r="G57" s="174" t="s">
        <v>1833</v>
      </c>
      <c r="H57" s="1011" t="s">
        <v>1591</v>
      </c>
      <c r="I57" s="47">
        <v>27894.0</v>
      </c>
      <c r="J57" s="51">
        <v>8.0</v>
      </c>
      <c r="K57" s="174" t="s">
        <v>1834</v>
      </c>
      <c r="L57" s="174" t="s">
        <v>298</v>
      </c>
    </row>
    <row r="58" ht="22.5" customHeight="1">
      <c r="A58" s="5" t="s">
        <v>185</v>
      </c>
      <c r="B58" s="5" t="s">
        <v>170</v>
      </c>
      <c r="C58" s="13">
        <v>87.0</v>
      </c>
      <c r="D58" s="174" t="s">
        <v>258</v>
      </c>
      <c r="E58" s="174">
        <v>0.0</v>
      </c>
      <c r="F58" s="28">
        <v>0.0</v>
      </c>
      <c r="G58" s="174" t="s">
        <v>1836</v>
      </c>
      <c r="H58" s="1011" t="s">
        <v>1588</v>
      </c>
      <c r="I58" s="47">
        <v>7849.0</v>
      </c>
      <c r="J58" s="51">
        <v>7.0</v>
      </c>
      <c r="K58" s="174" t="s">
        <v>1551</v>
      </c>
      <c r="L58" s="1013" t="s">
        <v>1837</v>
      </c>
    </row>
    <row r="59" ht="22.5" customHeight="1">
      <c r="A59" s="5" t="s">
        <v>185</v>
      </c>
      <c r="B59" s="5" t="s">
        <v>153</v>
      </c>
      <c r="C59" s="13">
        <v>138.0</v>
      </c>
      <c r="D59" s="174" t="s">
        <v>823</v>
      </c>
      <c r="E59" s="174">
        <v>1.0</v>
      </c>
      <c r="F59" s="28">
        <v>0.0</v>
      </c>
      <c r="G59" s="174" t="s">
        <v>1838</v>
      </c>
      <c r="H59" s="1011" t="s">
        <v>1593</v>
      </c>
      <c r="I59" s="47" t="s">
        <v>1840</v>
      </c>
      <c r="J59" s="51">
        <v>26.0</v>
      </c>
      <c r="K59" s="174" t="s">
        <v>1841</v>
      </c>
      <c r="L59" s="174" t="s">
        <v>1842</v>
      </c>
    </row>
    <row r="60" ht="22.5" customHeight="1">
      <c r="A60" s="5" t="s">
        <v>185</v>
      </c>
      <c r="B60" s="5" t="s">
        <v>26</v>
      </c>
      <c r="C60" s="13">
        <v>489.0</v>
      </c>
      <c r="D60" s="174" t="s">
        <v>258</v>
      </c>
      <c r="E60" s="174">
        <v>0.0</v>
      </c>
      <c r="F60" s="28">
        <v>0.0</v>
      </c>
      <c r="G60" s="174" t="s">
        <v>1843</v>
      </c>
      <c r="H60" s="1011" t="s">
        <v>1845</v>
      </c>
      <c r="I60" s="47" t="s">
        <v>1846</v>
      </c>
      <c r="J60" s="51">
        <v>50.0</v>
      </c>
      <c r="K60" s="174" t="s">
        <v>1131</v>
      </c>
      <c r="L60" s="174" t="s">
        <v>1849</v>
      </c>
    </row>
    <row r="61" ht="22.5" customHeight="1">
      <c r="A61" s="5" t="s">
        <v>185</v>
      </c>
      <c r="B61" s="5" t="s">
        <v>23</v>
      </c>
      <c r="C61" s="13">
        <v>277.0</v>
      </c>
      <c r="D61" s="174" t="s">
        <v>258</v>
      </c>
      <c r="E61" s="174">
        <v>0.0</v>
      </c>
      <c r="F61" s="28">
        <v>0.0</v>
      </c>
      <c r="G61" s="174" t="s">
        <v>1850</v>
      </c>
      <c r="H61" s="1011" t="s">
        <v>1845</v>
      </c>
      <c r="I61" s="47" t="s">
        <v>1852</v>
      </c>
      <c r="J61" s="51">
        <v>24.0</v>
      </c>
      <c r="K61" s="174" t="s">
        <v>1854</v>
      </c>
      <c r="L61" s="174" t="s">
        <v>298</v>
      </c>
    </row>
    <row r="62" ht="22.5" customHeight="1">
      <c r="A62" s="5" t="s">
        <v>185</v>
      </c>
      <c r="B62" s="5" t="s">
        <v>159</v>
      </c>
      <c r="C62" s="13">
        <v>37.0</v>
      </c>
      <c r="D62" s="174" t="s">
        <v>258</v>
      </c>
      <c r="E62" s="174">
        <v>0.0</v>
      </c>
      <c r="F62" s="28">
        <v>0.0</v>
      </c>
      <c r="G62" s="174" t="s">
        <v>1857</v>
      </c>
      <c r="H62" s="1011" t="s">
        <v>733</v>
      </c>
      <c r="I62" s="47">
        <v>0.0</v>
      </c>
      <c r="J62" s="51">
        <v>8.0</v>
      </c>
      <c r="K62" s="174" t="s">
        <v>1859</v>
      </c>
      <c r="L62" s="174" t="s">
        <v>298</v>
      </c>
    </row>
    <row r="63" ht="22.5" customHeight="1">
      <c r="A63" s="5" t="s">
        <v>185</v>
      </c>
      <c r="B63" s="5" t="s">
        <v>63</v>
      </c>
      <c r="C63" s="13">
        <v>304.0</v>
      </c>
      <c r="D63" s="174" t="s">
        <v>258</v>
      </c>
      <c r="E63" s="174">
        <v>0.0</v>
      </c>
      <c r="F63" s="28">
        <v>0.0</v>
      </c>
      <c r="G63" s="174" t="s">
        <v>344</v>
      </c>
      <c r="H63" s="1011" t="s">
        <v>1589</v>
      </c>
      <c r="I63" s="47" t="s">
        <v>1867</v>
      </c>
      <c r="J63" s="51">
        <v>41.0</v>
      </c>
      <c r="K63" s="174" t="s">
        <v>1868</v>
      </c>
      <c r="L63" s="174" t="s">
        <v>1869</v>
      </c>
    </row>
    <row r="64" ht="22.5" customHeight="1">
      <c r="A64" s="5" t="s">
        <v>185</v>
      </c>
      <c r="B64" s="5" t="s">
        <v>123</v>
      </c>
      <c r="C64" s="13">
        <v>38.0</v>
      </c>
      <c r="D64" s="174" t="s">
        <v>258</v>
      </c>
      <c r="E64" s="174">
        <v>0.0</v>
      </c>
      <c r="F64" s="28">
        <v>0.0</v>
      </c>
      <c r="G64" s="174" t="s">
        <v>680</v>
      </c>
      <c r="H64" s="1011" t="s">
        <v>1588</v>
      </c>
      <c r="I64" s="47" t="s">
        <v>1867</v>
      </c>
      <c r="J64" s="51">
        <v>9.0</v>
      </c>
      <c r="K64" s="174" t="s">
        <v>1873</v>
      </c>
      <c r="L64" s="1013" t="s">
        <v>1874</v>
      </c>
    </row>
    <row r="65" ht="22.5" hidden="1" customHeight="1">
      <c r="A65" s="5" t="s">
        <v>383</v>
      </c>
      <c r="B65" s="5" t="s">
        <v>15</v>
      </c>
      <c r="C65" s="273">
        <v>346.0</v>
      </c>
      <c r="D65" s="273">
        <v>2.0</v>
      </c>
      <c r="E65" s="612">
        <v>0.005747126436781609</v>
      </c>
      <c r="F65" s="28">
        <v>0.0</v>
      </c>
      <c r="G65" s="511">
        <v>7.0</v>
      </c>
      <c r="H65" s="276">
        <v>0.020114942528735632</v>
      </c>
      <c r="I65" s="28">
        <v>0.0</v>
      </c>
      <c r="J65" s="511">
        <v>12.0</v>
      </c>
      <c r="K65" s="1060">
        <v>0.03488372093023256</v>
      </c>
      <c r="L65" s="1061" t="s">
        <v>1876</v>
      </c>
    </row>
    <row r="66" ht="22.5" hidden="1" customHeight="1">
      <c r="A66" s="5" t="s">
        <v>383</v>
      </c>
      <c r="B66" s="5" t="s">
        <v>13</v>
      </c>
      <c r="C66" s="273">
        <v>236.0</v>
      </c>
      <c r="D66" s="273">
        <v>0.0</v>
      </c>
      <c r="E66" s="276">
        <v>0.0</v>
      </c>
      <c r="F66" s="28">
        <v>0.0</v>
      </c>
      <c r="G66" s="511">
        <v>10.0</v>
      </c>
      <c r="H66" s="276">
        <v>0.0423728813559322</v>
      </c>
      <c r="I66" s="28">
        <v>0.0</v>
      </c>
      <c r="J66" s="275">
        <v>2.0</v>
      </c>
      <c r="K66" s="1062">
        <v>0.008547008547008548</v>
      </c>
      <c r="L66" s="1063" t="s">
        <v>1878</v>
      </c>
    </row>
    <row r="67" ht="22.5" hidden="1" customHeight="1">
      <c r="A67" s="5" t="s">
        <v>383</v>
      </c>
      <c r="B67" s="5" t="s">
        <v>27</v>
      </c>
      <c r="C67" s="273">
        <v>231.0</v>
      </c>
      <c r="D67" s="273">
        <v>1.0</v>
      </c>
      <c r="E67" s="727">
        <v>0.004310344827586207</v>
      </c>
      <c r="F67" s="28">
        <v>0.0</v>
      </c>
      <c r="G67" s="511">
        <v>8.0</v>
      </c>
      <c r="H67" s="276">
        <v>0.034482758620689655</v>
      </c>
      <c r="I67" s="28">
        <v>0.0</v>
      </c>
      <c r="J67" s="275">
        <v>12.0</v>
      </c>
      <c r="K67" s="1064">
        <v>0.05333333333333334</v>
      </c>
      <c r="L67" s="1063" t="s">
        <v>1879</v>
      </c>
    </row>
    <row r="68" ht="22.5" hidden="1" customHeight="1">
      <c r="A68" s="5" t="s">
        <v>383</v>
      </c>
      <c r="B68" s="5" t="s">
        <v>33</v>
      </c>
      <c r="C68" s="273">
        <v>175.0</v>
      </c>
      <c r="D68" s="273">
        <v>0.0</v>
      </c>
      <c r="E68" s="276">
        <v>0.0</v>
      </c>
      <c r="F68" s="28">
        <v>0.0</v>
      </c>
      <c r="G68" s="511">
        <v>1.0</v>
      </c>
      <c r="H68" s="276">
        <v>0.005714285714285714</v>
      </c>
      <c r="I68" s="28">
        <v>0.0</v>
      </c>
      <c r="J68" s="275">
        <v>12.0</v>
      </c>
      <c r="K68" s="1065">
        <v>0.07058823529411765</v>
      </c>
      <c r="L68" s="1063" t="s">
        <v>1879</v>
      </c>
    </row>
    <row r="69" ht="22.5" hidden="1" customHeight="1">
      <c r="A69" s="5" t="s">
        <v>383</v>
      </c>
      <c r="B69" s="5" t="s">
        <v>19</v>
      </c>
      <c r="C69" s="273">
        <v>129.0</v>
      </c>
      <c r="D69" s="273">
        <v>3.0</v>
      </c>
      <c r="E69" s="1066">
        <v>0.022727272727272728</v>
      </c>
      <c r="F69" s="28">
        <v>0.0</v>
      </c>
      <c r="G69" s="511">
        <v>5.0</v>
      </c>
      <c r="H69" s="276">
        <v>0.03787878787878788</v>
      </c>
      <c r="I69" s="28">
        <v>0.0</v>
      </c>
      <c r="J69" s="275">
        <v>14.0</v>
      </c>
      <c r="K69" s="703">
        <v>0.11023622047244094</v>
      </c>
      <c r="L69" s="1063" t="s">
        <v>1887</v>
      </c>
    </row>
    <row r="70" ht="22.5" hidden="1" customHeight="1">
      <c r="A70" s="5" t="s">
        <v>383</v>
      </c>
      <c r="B70" s="5" t="s">
        <v>63</v>
      </c>
      <c r="C70" s="273">
        <v>122.0</v>
      </c>
      <c r="D70" s="273">
        <v>4.0</v>
      </c>
      <c r="E70" s="1067">
        <v>0.031746031746031744</v>
      </c>
      <c r="F70" s="28">
        <v>0.0</v>
      </c>
      <c r="G70" s="511">
        <v>4.0</v>
      </c>
      <c r="H70" s="276">
        <v>0.031746031746031744</v>
      </c>
      <c r="I70" s="28">
        <v>0.0</v>
      </c>
      <c r="J70" s="275">
        <v>4.0</v>
      </c>
      <c r="K70" s="1068">
        <v>0.03278688524590164</v>
      </c>
      <c r="L70" s="1063" t="s">
        <v>1879</v>
      </c>
    </row>
    <row r="71" ht="22.5" hidden="1" customHeight="1">
      <c r="A71" s="5" t="s">
        <v>383</v>
      </c>
      <c r="B71" s="5" t="s">
        <v>58</v>
      </c>
      <c r="C71" s="273">
        <v>124.0</v>
      </c>
      <c r="D71" s="273">
        <v>0.0</v>
      </c>
      <c r="E71" s="276">
        <v>0.0</v>
      </c>
      <c r="F71" s="28">
        <v>0.0</v>
      </c>
      <c r="G71" s="511">
        <v>0.0</v>
      </c>
      <c r="H71" s="276">
        <v>0.0</v>
      </c>
      <c r="I71" s="28">
        <v>0.0</v>
      </c>
      <c r="J71" s="275">
        <v>3.0</v>
      </c>
      <c r="K71" s="305">
        <v>0.02459016393442623</v>
      </c>
      <c r="L71" s="1063" t="s">
        <v>1891</v>
      </c>
    </row>
    <row r="72" ht="22.5" hidden="1" customHeight="1">
      <c r="A72" s="5" t="s">
        <v>383</v>
      </c>
      <c r="B72" s="5" t="s">
        <v>77</v>
      </c>
      <c r="C72" s="273">
        <v>117.0</v>
      </c>
      <c r="D72" s="273">
        <v>0.0</v>
      </c>
      <c r="E72" s="276">
        <v>0.0</v>
      </c>
      <c r="F72" s="28">
        <v>0.0</v>
      </c>
      <c r="G72" s="511">
        <v>2.0</v>
      </c>
      <c r="H72" s="276">
        <v>0.017094017094017096</v>
      </c>
      <c r="I72" s="28">
        <v>0.0</v>
      </c>
      <c r="J72" s="275">
        <v>5.0</v>
      </c>
      <c r="K72" s="1069">
        <v>0.04310344827586207</v>
      </c>
      <c r="L72" s="1063" t="s">
        <v>1879</v>
      </c>
    </row>
    <row r="73" ht="22.5" hidden="1" customHeight="1">
      <c r="A73" s="5" t="s">
        <v>383</v>
      </c>
      <c r="B73" s="5" t="s">
        <v>82</v>
      </c>
      <c r="C73" s="273">
        <v>114.0</v>
      </c>
      <c r="D73" s="273">
        <v>0.0</v>
      </c>
      <c r="E73" s="276">
        <v>0.0</v>
      </c>
      <c r="F73" s="28">
        <v>0.0</v>
      </c>
      <c r="G73" s="511">
        <v>1.0</v>
      </c>
      <c r="H73" s="276">
        <v>0.008771929824561403</v>
      </c>
      <c r="I73" s="28">
        <v>0.0</v>
      </c>
      <c r="J73" s="275">
        <v>12.0</v>
      </c>
      <c r="K73" s="703">
        <v>0.1111111111111111</v>
      </c>
      <c r="L73" s="1063" t="s">
        <v>1879</v>
      </c>
    </row>
    <row r="74" ht="22.5" hidden="1" customHeight="1">
      <c r="A74" s="5" t="s">
        <v>383</v>
      </c>
      <c r="B74" s="5" t="s">
        <v>39</v>
      </c>
      <c r="C74" s="273">
        <v>106.0</v>
      </c>
      <c r="D74" s="273">
        <v>1.0</v>
      </c>
      <c r="E74" s="1070">
        <v>0.009345794392523364</v>
      </c>
      <c r="F74" s="28">
        <v>0.0</v>
      </c>
      <c r="G74" s="511">
        <v>3.0</v>
      </c>
      <c r="H74" s="276">
        <v>0.028037383177570093</v>
      </c>
      <c r="I74" s="28">
        <v>0.0</v>
      </c>
      <c r="J74" s="275">
        <v>6.0</v>
      </c>
      <c r="K74" s="286">
        <v>0.058823529411764705</v>
      </c>
      <c r="L74" s="1071" t="s">
        <v>1899</v>
      </c>
    </row>
    <row r="75" ht="22.5" hidden="1" customHeight="1">
      <c r="A75" s="5" t="s">
        <v>383</v>
      </c>
      <c r="B75" s="5" t="s">
        <v>59</v>
      </c>
      <c r="C75" s="273">
        <v>100.0</v>
      </c>
      <c r="D75" s="273">
        <v>2.0</v>
      </c>
      <c r="E75" s="1072">
        <v>0.0196078431372549</v>
      </c>
      <c r="F75" s="28">
        <v>0.0</v>
      </c>
      <c r="G75" s="511">
        <v>1.0</v>
      </c>
      <c r="H75" s="276">
        <v>0.00980392156862745</v>
      </c>
      <c r="I75" s="28">
        <v>0.0</v>
      </c>
      <c r="J75" s="275">
        <v>7.0</v>
      </c>
      <c r="K75" s="1073">
        <v>0.07216494845360824</v>
      </c>
      <c r="L75" s="1063" t="s">
        <v>1879</v>
      </c>
    </row>
    <row r="76" ht="22.5" hidden="1" customHeight="1">
      <c r="A76" s="5" t="s">
        <v>383</v>
      </c>
      <c r="B76" s="5" t="s">
        <v>114</v>
      </c>
      <c r="C76" s="273">
        <v>94.0</v>
      </c>
      <c r="D76" s="273">
        <v>0.0</v>
      </c>
      <c r="E76" s="276">
        <v>0.0</v>
      </c>
      <c r="F76" s="28">
        <v>0.0</v>
      </c>
      <c r="G76" s="511">
        <v>5.0</v>
      </c>
      <c r="H76" s="276">
        <v>0.05319148936170213</v>
      </c>
      <c r="I76" s="28">
        <v>0.0</v>
      </c>
      <c r="J76" s="275">
        <v>1.0</v>
      </c>
      <c r="K76" s="727">
        <v>0.010869565217391304</v>
      </c>
      <c r="L76" s="1063" t="s">
        <v>1907</v>
      </c>
    </row>
    <row r="77" ht="22.5" hidden="1" customHeight="1">
      <c r="A77" s="5" t="s">
        <v>383</v>
      </c>
      <c r="B77" s="5" t="s">
        <v>136</v>
      </c>
      <c r="C77" s="273">
        <v>78.0</v>
      </c>
      <c r="D77" s="273">
        <v>0.0</v>
      </c>
      <c r="E77" s="276">
        <v>0.0</v>
      </c>
      <c r="F77" s="28">
        <v>0.0</v>
      </c>
      <c r="G77" s="511">
        <v>1.0</v>
      </c>
      <c r="H77" s="276">
        <v>0.01282051282051282</v>
      </c>
      <c r="I77" s="28">
        <v>0.0</v>
      </c>
      <c r="J77" s="275">
        <v>1.0</v>
      </c>
      <c r="K77" s="303">
        <v>0.01282051282051282</v>
      </c>
      <c r="L77" s="1063" t="s">
        <v>1879</v>
      </c>
    </row>
    <row r="78" ht="22.5" hidden="1" customHeight="1">
      <c r="A78" s="5" t="s">
        <v>383</v>
      </c>
      <c r="B78" s="96" t="s">
        <v>501</v>
      </c>
      <c r="C78" s="273">
        <v>74.0</v>
      </c>
      <c r="D78" s="273">
        <v>0.0</v>
      </c>
      <c r="E78" s="276">
        <v>0.0</v>
      </c>
      <c r="F78" s="28">
        <v>0.0</v>
      </c>
      <c r="G78" s="511">
        <v>2.0</v>
      </c>
      <c r="H78" s="276">
        <v>0.02702702702702703</v>
      </c>
      <c r="I78" s="28">
        <v>0.0</v>
      </c>
      <c r="J78" s="275">
        <v>3.0</v>
      </c>
      <c r="K78" s="283">
        <v>0.04054054054054054</v>
      </c>
      <c r="L78" s="1063" t="s">
        <v>1915</v>
      </c>
    </row>
    <row r="79" ht="22.5" hidden="1" customHeight="1">
      <c r="A79" s="5" t="s">
        <v>383</v>
      </c>
      <c r="B79" s="35" t="s">
        <v>79</v>
      </c>
      <c r="C79" s="273">
        <v>62.0</v>
      </c>
      <c r="D79" s="273">
        <v>1.0</v>
      </c>
      <c r="E79" s="1074">
        <v>0.015873015873015872</v>
      </c>
      <c r="F79" s="28">
        <v>0.0</v>
      </c>
      <c r="G79" s="511">
        <v>0.0</v>
      </c>
      <c r="H79" s="276">
        <v>0.0</v>
      </c>
      <c r="I79" s="28">
        <v>0.0</v>
      </c>
      <c r="J79" s="275">
        <v>6.0</v>
      </c>
      <c r="K79" s="1075">
        <v>0.1</v>
      </c>
      <c r="L79" s="1063" t="s">
        <v>1918</v>
      </c>
    </row>
    <row r="80" ht="22.5" hidden="1" customHeight="1">
      <c r="A80" s="5" t="s">
        <v>383</v>
      </c>
      <c r="B80" s="5" t="s">
        <v>45</v>
      </c>
      <c r="C80" s="273">
        <v>48.0</v>
      </c>
      <c r="D80" s="273">
        <v>2.0</v>
      </c>
      <c r="E80" s="1077">
        <v>0.04</v>
      </c>
      <c r="F80" s="28">
        <v>0.0</v>
      </c>
      <c r="G80" s="511">
        <v>1.0</v>
      </c>
      <c r="H80" s="276">
        <v>0.02</v>
      </c>
      <c r="I80" s="28">
        <v>0.0</v>
      </c>
      <c r="J80" s="275">
        <v>2.0</v>
      </c>
      <c r="K80" s="1069">
        <v>0.0425531914893617</v>
      </c>
      <c r="L80" s="1063" t="s">
        <v>1919</v>
      </c>
    </row>
    <row r="81" ht="22.5" hidden="1" customHeight="1">
      <c r="A81" s="5" t="s">
        <v>383</v>
      </c>
      <c r="B81" s="5" t="s">
        <v>123</v>
      </c>
      <c r="C81" s="273">
        <v>42.0</v>
      </c>
      <c r="D81" s="273">
        <v>0.0</v>
      </c>
      <c r="E81" s="276">
        <v>0.0</v>
      </c>
      <c r="F81" s="28">
        <v>0.0</v>
      </c>
      <c r="G81" s="511">
        <v>1.0</v>
      </c>
      <c r="H81" s="276">
        <v>0.023809523809523808</v>
      </c>
      <c r="I81" s="28">
        <v>0.0</v>
      </c>
      <c r="J81" s="275">
        <v>3.0</v>
      </c>
      <c r="K81" s="1073">
        <v>0.07142857142857142</v>
      </c>
      <c r="L81" s="1063" t="s">
        <v>1920</v>
      </c>
    </row>
    <row r="82" ht="22.5" hidden="1" customHeight="1">
      <c r="A82" s="5" t="s">
        <v>383</v>
      </c>
      <c r="B82" s="5" t="s">
        <v>153</v>
      </c>
      <c r="C82" s="273">
        <v>39.0</v>
      </c>
      <c r="D82" s="273">
        <v>0.0</v>
      </c>
      <c r="E82" s="276">
        <v>0.0</v>
      </c>
      <c r="F82" s="28">
        <v>0.0</v>
      </c>
      <c r="G82" s="511">
        <v>2.0</v>
      </c>
      <c r="H82" s="276">
        <v>0.05128205128205128</v>
      </c>
      <c r="I82" s="28">
        <v>0.0</v>
      </c>
      <c r="J82" s="275">
        <v>6.0</v>
      </c>
      <c r="K82" s="297">
        <v>0.15789473684210525</v>
      </c>
      <c r="L82" s="1063" t="s">
        <v>1879</v>
      </c>
    </row>
    <row r="83" ht="22.5" hidden="1" customHeight="1">
      <c r="A83" s="5" t="s">
        <v>383</v>
      </c>
      <c r="B83" s="5" t="s">
        <v>159</v>
      </c>
      <c r="C83" s="273">
        <v>36.0</v>
      </c>
      <c r="D83" s="273">
        <v>3.0</v>
      </c>
      <c r="E83" s="274">
        <v>0.07692307692307693</v>
      </c>
      <c r="F83" s="28">
        <v>0.0</v>
      </c>
      <c r="G83" s="511">
        <v>0.0</v>
      </c>
      <c r="H83" s="276">
        <v>0.0</v>
      </c>
      <c r="I83" s="28">
        <v>0.0</v>
      </c>
      <c r="J83" s="275">
        <v>2.0</v>
      </c>
      <c r="K83" s="286">
        <v>0.058823529411764705</v>
      </c>
      <c r="L83" s="1063" t="s">
        <v>1921</v>
      </c>
    </row>
    <row r="84" ht="22.5" hidden="1" customHeight="1">
      <c r="A84" s="5" t="s">
        <v>383</v>
      </c>
      <c r="B84" s="5" t="s">
        <v>26</v>
      </c>
      <c r="C84" s="273">
        <v>31.0</v>
      </c>
      <c r="D84" s="273">
        <v>2.0</v>
      </c>
      <c r="E84" s="1082">
        <v>0.06060606060606061</v>
      </c>
      <c r="F84" s="28">
        <v>0.0</v>
      </c>
      <c r="G84" s="511">
        <v>1.0</v>
      </c>
      <c r="H84" s="276">
        <v>0.030303030303030304</v>
      </c>
      <c r="I84" s="28">
        <v>0.0</v>
      </c>
      <c r="J84" s="275">
        <v>0.0</v>
      </c>
      <c r="K84" s="276">
        <v>0.0</v>
      </c>
      <c r="L84" s="1063" t="s">
        <v>1922</v>
      </c>
    </row>
    <row r="85" ht="22.5" hidden="1" customHeight="1">
      <c r="A85" s="5" t="s">
        <v>383</v>
      </c>
      <c r="B85" s="5" t="s">
        <v>23</v>
      </c>
      <c r="C85" s="273">
        <v>30.0</v>
      </c>
      <c r="D85" s="273">
        <v>1.0</v>
      </c>
      <c r="E85" s="276">
        <v>0.03225806451612903</v>
      </c>
      <c r="F85" s="28">
        <v>0.0</v>
      </c>
      <c r="G85" s="511">
        <v>2.0</v>
      </c>
      <c r="H85" s="276">
        <v>0.06451612903225806</v>
      </c>
      <c r="I85" s="28">
        <v>0.0</v>
      </c>
      <c r="J85" s="275">
        <v>2.0</v>
      </c>
      <c r="K85" s="276">
        <v>0.06896551724137931</v>
      </c>
      <c r="L85" s="1063" t="s">
        <v>1879</v>
      </c>
    </row>
    <row r="86" ht="22.5" hidden="1" customHeight="1">
      <c r="A86" s="233"/>
      <c r="B86" s="234"/>
      <c r="C86" s="341"/>
      <c r="D86" s="341"/>
      <c r="E86" s="342"/>
      <c r="F86" s="343"/>
      <c r="G86" s="341"/>
      <c r="H86" s="1085"/>
      <c r="I86" s="344"/>
      <c r="J86" s="341"/>
      <c r="K86" s="342"/>
      <c r="L86" s="1087"/>
    </row>
    <row r="87" ht="22.5" hidden="1" customHeight="1">
      <c r="A87" s="233"/>
      <c r="B87" s="234"/>
      <c r="C87" s="345"/>
      <c r="D87" s="345"/>
      <c r="E87" s="1088"/>
      <c r="F87" s="1089"/>
      <c r="G87" s="345"/>
      <c r="H87" s="1090"/>
      <c r="I87" s="1091"/>
      <c r="J87" s="345"/>
      <c r="K87" s="1088"/>
      <c r="L87" s="1087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108"/>
      <c r="F90" s="108"/>
      <c r="G90" s="108"/>
      <c r="H90" s="1093"/>
      <c r="I90" s="315"/>
      <c r="J90" s="108"/>
      <c r="K90" s="108"/>
      <c r="L90" s="108"/>
    </row>
    <row r="91">
      <c r="C91" s="108"/>
      <c r="D91" s="108"/>
      <c r="E91" s="108"/>
      <c r="F91" s="108"/>
      <c r="G91" s="108"/>
      <c r="H91" s="1093"/>
      <c r="I91" s="315"/>
      <c r="J91" s="108"/>
      <c r="K91" s="108"/>
      <c r="L91" s="108"/>
    </row>
    <row r="92">
      <c r="C92" s="108"/>
      <c r="D92" s="108"/>
      <c r="E92" s="108"/>
      <c r="F92" s="108"/>
      <c r="G92" s="108"/>
      <c r="H92" s="1093"/>
      <c r="I92" s="315"/>
      <c r="J92" s="108"/>
      <c r="K92" s="108"/>
      <c r="L92" s="108"/>
    </row>
    <row r="93">
      <c r="C93" s="108"/>
      <c r="D93" s="108"/>
      <c r="E93" s="108"/>
      <c r="F93" s="108"/>
      <c r="G93" s="108"/>
      <c r="H93" s="1093"/>
      <c r="I93" s="315"/>
      <c r="J93" s="108"/>
      <c r="K93" s="108"/>
      <c r="L93" s="108"/>
    </row>
    <row r="94">
      <c r="C94" s="108"/>
      <c r="D94" s="108"/>
      <c r="E94" s="1094"/>
      <c r="F94" s="1094"/>
      <c r="G94" s="1095"/>
      <c r="H94" s="1096"/>
      <c r="I94" s="315"/>
      <c r="J94" s="108"/>
      <c r="K94" s="108"/>
      <c r="L94" s="108"/>
    </row>
    <row r="95">
      <c r="C95" s="108"/>
      <c r="D95" s="108"/>
      <c r="E95" s="526"/>
      <c r="F95" s="526"/>
      <c r="G95" s="1095"/>
      <c r="H95" s="1096"/>
      <c r="I95" s="315"/>
      <c r="J95" s="108"/>
      <c r="K95" s="108"/>
      <c r="L95" s="108"/>
    </row>
    <row r="96">
      <c r="C96" s="108"/>
      <c r="D96" s="108"/>
      <c r="E96" s="526"/>
      <c r="F96" s="526"/>
      <c r="G96" s="1095"/>
      <c r="H96" s="1096"/>
      <c r="I96" s="315"/>
      <c r="J96" s="108"/>
      <c r="K96" s="108"/>
      <c r="L96" s="108"/>
    </row>
    <row r="97">
      <c r="C97" s="108"/>
      <c r="D97" s="108"/>
      <c r="E97" s="526"/>
      <c r="F97" s="526"/>
      <c r="G97" s="1095"/>
      <c r="H97" s="1096"/>
      <c r="I97" s="315"/>
      <c r="J97" s="108"/>
      <c r="K97" s="108"/>
      <c r="L97" s="108"/>
    </row>
    <row r="98">
      <c r="C98" s="108"/>
      <c r="D98" s="108"/>
      <c r="E98" s="526"/>
      <c r="F98" s="526"/>
      <c r="G98" s="1095"/>
      <c r="H98" s="1096"/>
      <c r="I98" s="315"/>
      <c r="J98" s="108"/>
      <c r="K98" s="108"/>
      <c r="L98" s="108"/>
    </row>
    <row r="99">
      <c r="C99" s="108"/>
      <c r="D99" s="108"/>
      <c r="E99" s="526"/>
      <c r="F99" s="526"/>
      <c r="G99" s="1095"/>
      <c r="H99" s="1096"/>
      <c r="I99" s="315"/>
      <c r="J99" s="108"/>
      <c r="K99" s="108"/>
      <c r="L99" s="108"/>
    </row>
    <row r="100">
      <c r="C100" s="108"/>
      <c r="D100" s="108"/>
      <c r="E100" s="526"/>
      <c r="F100" s="526"/>
      <c r="G100" s="1095"/>
      <c r="H100" s="1096"/>
      <c r="I100" s="315"/>
      <c r="J100" s="108"/>
      <c r="K100" s="108"/>
      <c r="L100" s="108"/>
    </row>
    <row r="101">
      <c r="C101" s="108"/>
      <c r="D101" s="108"/>
      <c r="E101" s="526"/>
      <c r="F101" s="526"/>
      <c r="G101" s="1095"/>
      <c r="H101" s="1096"/>
      <c r="I101" s="315"/>
      <c r="J101" s="108"/>
      <c r="K101" s="108"/>
      <c r="L101" s="108"/>
    </row>
    <row r="102">
      <c r="C102" s="108"/>
      <c r="D102" s="108"/>
      <c r="E102" s="526"/>
      <c r="F102" s="526"/>
      <c r="G102" s="1095"/>
      <c r="H102" s="1096"/>
      <c r="I102" s="315"/>
      <c r="J102" s="108"/>
      <c r="K102" s="108"/>
      <c r="L102" s="108"/>
    </row>
    <row r="103">
      <c r="C103" s="108"/>
      <c r="D103" s="108"/>
      <c r="E103" s="526"/>
      <c r="F103" s="526"/>
      <c r="G103" s="1095"/>
      <c r="H103" s="1096"/>
      <c r="I103" s="315"/>
      <c r="J103" s="108"/>
      <c r="K103" s="108"/>
      <c r="L103" s="108"/>
    </row>
    <row r="104">
      <c r="C104" s="79"/>
      <c r="D104" s="79"/>
      <c r="G104" s="241"/>
      <c r="H104" s="1099"/>
      <c r="I104" s="314"/>
      <c r="J104" s="79"/>
      <c r="K104" s="79"/>
      <c r="L104" s="79"/>
    </row>
    <row r="105">
      <c r="C105" s="79"/>
      <c r="D105" s="79"/>
      <c r="G105" s="588"/>
      <c r="H105" s="1099"/>
      <c r="I105" s="314"/>
      <c r="J105" s="79"/>
      <c r="K105" s="79"/>
      <c r="L105" s="79"/>
    </row>
    <row r="106">
      <c r="C106" s="79"/>
      <c r="D106" s="79"/>
      <c r="G106" s="588"/>
      <c r="H106" s="1099"/>
      <c r="I106" s="314"/>
      <c r="J106" s="79"/>
      <c r="K106" s="79"/>
      <c r="L106" s="79"/>
    </row>
    <row r="107">
      <c r="C107" s="79"/>
      <c r="D107" s="79"/>
      <c r="G107" s="588"/>
      <c r="H107" s="1099"/>
      <c r="I107" s="314"/>
      <c r="J107" s="79"/>
      <c r="K107" s="79"/>
      <c r="L107" s="79"/>
    </row>
    <row r="108">
      <c r="C108" s="79"/>
      <c r="D108" s="79"/>
      <c r="G108" s="588"/>
      <c r="H108" s="1099"/>
      <c r="I108" s="314"/>
      <c r="J108" s="79"/>
      <c r="K108" s="79"/>
      <c r="L108" s="79"/>
    </row>
    <row r="109">
      <c r="C109" s="79"/>
      <c r="D109" s="79"/>
      <c r="G109" s="588"/>
      <c r="H109" s="1099"/>
      <c r="I109" s="314"/>
      <c r="J109" s="79"/>
      <c r="K109" s="79"/>
      <c r="L109" s="79"/>
    </row>
    <row r="110">
      <c r="C110" s="79"/>
      <c r="D110" s="79"/>
      <c r="G110" s="588"/>
      <c r="H110" s="1099"/>
      <c r="I110" s="314"/>
      <c r="J110" s="79"/>
      <c r="K110" s="79"/>
      <c r="L110" s="79"/>
    </row>
    <row r="111">
      <c r="C111" s="79"/>
      <c r="D111" s="79"/>
      <c r="G111" s="588"/>
      <c r="H111" s="1099"/>
      <c r="I111" s="314"/>
      <c r="J111" s="79"/>
      <c r="K111" s="79"/>
      <c r="L111" s="79"/>
    </row>
    <row r="112">
      <c r="C112" s="79"/>
      <c r="D112" s="79"/>
      <c r="G112" s="588"/>
      <c r="H112" s="1099"/>
      <c r="I112" s="314"/>
      <c r="J112" s="79"/>
      <c r="K112" s="79"/>
      <c r="L112" s="79"/>
    </row>
    <row r="113">
      <c r="C113" s="79"/>
      <c r="D113" s="79"/>
      <c r="G113" s="588"/>
      <c r="H113" s="1099"/>
      <c r="I113" s="314"/>
      <c r="J113" s="79"/>
      <c r="K113" s="79"/>
      <c r="L113" s="79"/>
    </row>
    <row r="114">
      <c r="C114" s="79"/>
      <c r="D114" s="79"/>
      <c r="G114" s="588"/>
      <c r="H114" s="1099"/>
      <c r="I114" s="314"/>
      <c r="J114" s="79"/>
      <c r="K114" s="79"/>
      <c r="L114" s="79"/>
    </row>
    <row r="115">
      <c r="C115" s="79"/>
      <c r="D115" s="79"/>
      <c r="G115" s="588"/>
      <c r="H115" s="1099"/>
      <c r="I115" s="314"/>
      <c r="J115" s="79"/>
      <c r="K115" s="79"/>
      <c r="L115" s="79"/>
    </row>
    <row r="116">
      <c r="C116" s="79"/>
      <c r="D116" s="79"/>
      <c r="G116" s="588"/>
      <c r="H116" s="1099"/>
      <c r="I116" s="314"/>
      <c r="J116" s="79"/>
      <c r="K116" s="79"/>
      <c r="L116" s="79"/>
    </row>
    <row r="117">
      <c r="C117" s="79"/>
      <c r="D117" s="79"/>
      <c r="G117" s="588"/>
      <c r="H117" s="1099"/>
      <c r="I117" s="314"/>
      <c r="J117" s="79"/>
      <c r="K117" s="79"/>
      <c r="L117" s="79"/>
    </row>
    <row r="118">
      <c r="C118" s="79"/>
      <c r="D118" s="79"/>
      <c r="G118" s="1058"/>
      <c r="H118" s="1101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252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252"/>
      <c r="I743" s="314"/>
      <c r="J743" s="79"/>
      <c r="K743" s="79"/>
      <c r="L743" s="79"/>
    </row>
    <row r="744">
      <c r="C744" s="79"/>
      <c r="D744" s="79"/>
      <c r="E744" s="79"/>
      <c r="F744" s="79"/>
      <c r="G744" s="79"/>
      <c r="H744" s="252"/>
      <c r="I744" s="314"/>
      <c r="J744" s="79"/>
      <c r="K744" s="79"/>
      <c r="L744" s="79"/>
    </row>
    <row r="745">
      <c r="C745" s="79"/>
      <c r="D745" s="79"/>
      <c r="E745" s="79"/>
      <c r="F745" s="79"/>
      <c r="G745" s="79"/>
      <c r="H745" s="252"/>
      <c r="I745" s="314"/>
      <c r="J745" s="79"/>
      <c r="K745" s="79"/>
      <c r="L745" s="79"/>
    </row>
    <row r="746">
      <c r="C746" s="79"/>
      <c r="D746" s="79"/>
      <c r="E746" s="79"/>
      <c r="F746" s="79"/>
      <c r="G746" s="79"/>
      <c r="H746" s="252"/>
      <c r="I746" s="314"/>
      <c r="J746" s="79"/>
      <c r="K746" s="79"/>
      <c r="L746" s="79"/>
    </row>
    <row r="747">
      <c r="C747" s="79"/>
      <c r="D747" s="79"/>
      <c r="E747" s="79"/>
      <c r="F747" s="79"/>
      <c r="G747" s="79"/>
      <c r="H747" s="252"/>
      <c r="I747" s="314"/>
      <c r="J747" s="79"/>
      <c r="K747" s="79"/>
      <c r="L747" s="79"/>
    </row>
    <row r="748">
      <c r="C748" s="79"/>
      <c r="D748" s="79"/>
      <c r="E748" s="79"/>
      <c r="F748" s="79"/>
      <c r="G748" s="79"/>
      <c r="H748" s="252"/>
      <c r="I748" s="314"/>
      <c r="J748" s="79"/>
      <c r="K748" s="79"/>
      <c r="L748" s="79"/>
    </row>
    <row r="749">
      <c r="C749" s="79"/>
      <c r="D749" s="79"/>
      <c r="E749" s="79"/>
      <c r="F749" s="79"/>
      <c r="G749" s="79"/>
      <c r="H749" s="252"/>
      <c r="I749" s="314"/>
      <c r="J749" s="79"/>
      <c r="K749" s="79"/>
      <c r="L749" s="79"/>
    </row>
    <row r="750">
      <c r="C750" s="79"/>
      <c r="D750" s="79"/>
      <c r="E750" s="79"/>
      <c r="F750" s="79"/>
      <c r="G750" s="79"/>
      <c r="H750" s="252"/>
      <c r="I750" s="314"/>
      <c r="J750" s="79"/>
      <c r="K750" s="79"/>
      <c r="L750" s="79"/>
    </row>
    <row r="751">
      <c r="C751" s="79"/>
      <c r="D751" s="79"/>
      <c r="E751" s="79"/>
      <c r="F751" s="79"/>
      <c r="G751" s="79"/>
      <c r="H751" s="252"/>
      <c r="I751" s="314"/>
      <c r="J751" s="79"/>
      <c r="K751" s="79"/>
      <c r="L751" s="79"/>
    </row>
    <row r="752">
      <c r="C752" s="79"/>
      <c r="D752" s="79"/>
      <c r="E752" s="79"/>
      <c r="F752" s="79"/>
      <c r="G752" s="79"/>
      <c r="H752" s="252"/>
      <c r="I752" s="314"/>
      <c r="J752" s="79"/>
      <c r="K752" s="79"/>
      <c r="L752" s="79"/>
    </row>
    <row r="753">
      <c r="C753" s="79"/>
      <c r="D753" s="79"/>
      <c r="E753" s="79"/>
      <c r="F753" s="79"/>
      <c r="G753" s="79"/>
      <c r="H753" s="252"/>
      <c r="I753" s="314"/>
      <c r="J753" s="79"/>
      <c r="K753" s="79"/>
      <c r="L753" s="79"/>
    </row>
    <row r="754">
      <c r="C754" s="79"/>
      <c r="D754" s="79"/>
      <c r="E754" s="79"/>
      <c r="F754" s="79"/>
      <c r="G754" s="79"/>
      <c r="H754" s="252"/>
      <c r="I754" s="314"/>
      <c r="J754" s="79"/>
      <c r="K754" s="79"/>
      <c r="L754" s="79"/>
    </row>
    <row r="755">
      <c r="C755" s="79"/>
      <c r="D755" s="79"/>
      <c r="E755" s="79"/>
      <c r="F755" s="79"/>
      <c r="G755" s="79"/>
      <c r="H755" s="252"/>
      <c r="I755" s="314"/>
      <c r="J755" s="79"/>
      <c r="K755" s="79"/>
      <c r="L755" s="79"/>
    </row>
    <row r="756">
      <c r="C756" s="79"/>
      <c r="D756" s="79"/>
      <c r="E756" s="79"/>
      <c r="F756" s="79"/>
      <c r="G756" s="79"/>
      <c r="H756" s="252"/>
      <c r="I756" s="314"/>
      <c r="J756" s="79"/>
      <c r="K756" s="79"/>
      <c r="L756" s="79"/>
    </row>
    <row r="757">
      <c r="C757" s="79"/>
      <c r="D757" s="79"/>
      <c r="E757" s="79"/>
      <c r="F757" s="79"/>
      <c r="G757" s="79"/>
      <c r="H757" s="252"/>
      <c r="I757" s="314"/>
      <c r="J757" s="79"/>
      <c r="K757" s="79"/>
      <c r="L757" s="79"/>
    </row>
    <row r="758">
      <c r="C758" s="79"/>
      <c r="D758" s="79"/>
      <c r="E758" s="79"/>
      <c r="F758" s="79"/>
      <c r="G758" s="79"/>
      <c r="H758" s="252"/>
      <c r="I758" s="314"/>
      <c r="J758" s="79"/>
      <c r="K758" s="79"/>
      <c r="L758" s="79"/>
    </row>
    <row r="759">
      <c r="C759" s="79"/>
      <c r="D759" s="79"/>
      <c r="E759" s="79"/>
      <c r="F759" s="79"/>
      <c r="G759" s="79"/>
      <c r="H759" s="252"/>
      <c r="I759" s="314"/>
      <c r="J759" s="79"/>
      <c r="K759" s="79"/>
      <c r="L759" s="79"/>
    </row>
    <row r="760">
      <c r="C760" s="79"/>
      <c r="D760" s="79"/>
      <c r="E760" s="79"/>
      <c r="F760" s="79"/>
      <c r="G760" s="79"/>
      <c r="H760" s="252"/>
      <c r="I760" s="314"/>
      <c r="J760" s="79"/>
      <c r="K760" s="79"/>
      <c r="L760" s="79"/>
    </row>
    <row r="761">
      <c r="C761" s="79"/>
      <c r="D761" s="79"/>
      <c r="E761" s="79"/>
      <c r="F761" s="79"/>
      <c r="G761" s="79"/>
      <c r="H761" s="252"/>
      <c r="I761" s="314"/>
      <c r="J761" s="79"/>
      <c r="K761" s="79"/>
      <c r="L761" s="79"/>
    </row>
    <row r="762">
      <c r="C762" s="79"/>
      <c r="D762" s="79"/>
      <c r="E762" s="79"/>
      <c r="F762" s="79"/>
      <c r="G762" s="79"/>
      <c r="H762" s="252"/>
      <c r="I762" s="314"/>
      <c r="J762" s="79"/>
      <c r="K762" s="79"/>
      <c r="L762" s="79"/>
    </row>
    <row r="763">
      <c r="C763" s="79"/>
      <c r="D763" s="79"/>
      <c r="E763" s="79"/>
      <c r="F763" s="79"/>
      <c r="G763" s="79"/>
      <c r="H763" s="252"/>
      <c r="I763" s="314"/>
      <c r="J763" s="79"/>
      <c r="K763" s="79"/>
      <c r="L763" s="79"/>
    </row>
    <row r="764">
      <c r="C764" s="79"/>
      <c r="D764" s="79"/>
      <c r="E764" s="79"/>
      <c r="F764" s="79"/>
      <c r="G764" s="79"/>
      <c r="H764" s="252"/>
      <c r="I764" s="314"/>
      <c r="J764" s="79"/>
      <c r="K764" s="79"/>
      <c r="L764" s="79"/>
    </row>
    <row r="765">
      <c r="C765" s="79"/>
      <c r="D765" s="79"/>
      <c r="E765" s="79"/>
      <c r="F765" s="79"/>
      <c r="G765" s="79"/>
      <c r="H765" s="252"/>
      <c r="I765" s="314"/>
      <c r="J765" s="79"/>
      <c r="K765" s="79"/>
      <c r="L765" s="79"/>
    </row>
    <row r="766">
      <c r="C766" s="79"/>
      <c r="D766" s="79"/>
      <c r="E766" s="79"/>
      <c r="F766" s="79"/>
      <c r="G766" s="79"/>
      <c r="H766" s="252"/>
      <c r="I766" s="314"/>
      <c r="J766" s="79"/>
      <c r="K766" s="79"/>
      <c r="L766" s="79"/>
    </row>
    <row r="767">
      <c r="C767" s="79"/>
      <c r="D767" s="79"/>
      <c r="E767" s="79"/>
      <c r="F767" s="79"/>
      <c r="G767" s="79"/>
      <c r="H767" s="252"/>
      <c r="I767" s="314"/>
      <c r="J767" s="79"/>
      <c r="K767" s="79"/>
      <c r="L767" s="79"/>
    </row>
    <row r="768">
      <c r="C768" s="79"/>
      <c r="D768" s="79"/>
      <c r="E768" s="79"/>
      <c r="F768" s="79"/>
      <c r="G768" s="79"/>
      <c r="H768" s="252"/>
      <c r="I768" s="314"/>
      <c r="J768" s="79"/>
      <c r="K768" s="79"/>
      <c r="L768" s="79"/>
    </row>
  </sheetData>
  <dataValidations>
    <dataValidation allowBlank="1" showDropDown="1" sqref="L2:L8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3</v>
      </c>
      <c r="E1" s="264" t="s">
        <v>4</v>
      </c>
      <c r="F1" s="779" t="s">
        <v>12</v>
      </c>
      <c r="G1" s="264" t="s">
        <v>5</v>
      </c>
      <c r="H1" s="780" t="s">
        <v>6</v>
      </c>
      <c r="I1" s="781" t="s">
        <v>7</v>
      </c>
      <c r="J1" s="264" t="s">
        <v>8</v>
      </c>
      <c r="K1" s="264" t="s">
        <v>9</v>
      </c>
      <c r="L1" s="147" t="s">
        <v>10</v>
      </c>
    </row>
    <row r="2" ht="22.5" hidden="1" customHeight="1">
      <c r="A2" s="5" t="s">
        <v>11</v>
      </c>
      <c r="B2" s="5" t="s">
        <v>15</v>
      </c>
      <c r="C2" s="351">
        <v>279.0</v>
      </c>
      <c r="D2" s="351" t="s">
        <v>17</v>
      </c>
      <c r="E2" s="603" t="s">
        <v>17</v>
      </c>
      <c r="F2" s="354" t="s">
        <v>17</v>
      </c>
      <c r="G2" s="831">
        <v>2.0</v>
      </c>
      <c r="H2" s="514">
        <v>0.0072</v>
      </c>
      <c r="I2" s="357" t="s">
        <v>1647</v>
      </c>
      <c r="J2" s="835">
        <v>82.0</v>
      </c>
      <c r="K2" s="836">
        <v>0.3216</v>
      </c>
      <c r="L2" s="794">
        <f>100-16.71</f>
        <v>83.29</v>
      </c>
    </row>
    <row r="3" ht="22.5" hidden="1" customHeight="1">
      <c r="A3" s="5" t="s">
        <v>11</v>
      </c>
      <c r="B3" s="5" t="s">
        <v>13</v>
      </c>
      <c r="C3" s="351">
        <v>1035.0</v>
      </c>
      <c r="D3" s="351" t="s">
        <v>17</v>
      </c>
      <c r="E3" s="603" t="s">
        <v>17</v>
      </c>
      <c r="F3" s="354" t="s">
        <v>17</v>
      </c>
      <c r="G3" s="365">
        <v>19.0</v>
      </c>
      <c r="H3" s="844">
        <v>0.0184</v>
      </c>
      <c r="I3" s="357" t="s">
        <v>1652</v>
      </c>
      <c r="J3" s="847">
        <v>135.0</v>
      </c>
      <c r="K3" s="751">
        <v>0.1409</v>
      </c>
      <c r="L3" s="794">
        <f>100-4.14</f>
        <v>95.86</v>
      </c>
    </row>
    <row r="4" ht="22.5" hidden="1" customHeight="1">
      <c r="A4" s="5" t="s">
        <v>11</v>
      </c>
      <c r="B4" s="5" t="s">
        <v>27</v>
      </c>
      <c r="C4" s="351">
        <v>514.0</v>
      </c>
      <c r="D4" s="22">
        <v>1.0</v>
      </c>
      <c r="E4" s="850">
        <v>0.0019</v>
      </c>
      <c r="F4" s="354" t="s">
        <v>1624</v>
      </c>
      <c r="G4" s="853">
        <v>9.0</v>
      </c>
      <c r="H4" s="855">
        <v>0.0175</v>
      </c>
      <c r="I4" s="357" t="s">
        <v>1657</v>
      </c>
      <c r="J4" s="498">
        <v>62.0</v>
      </c>
      <c r="K4" s="678">
        <v>0.1305</v>
      </c>
      <c r="L4" s="812">
        <f>100-2.58</f>
        <v>97.42</v>
      </c>
    </row>
    <row r="5" ht="22.5" hidden="1" customHeight="1">
      <c r="A5" s="5" t="s">
        <v>11</v>
      </c>
      <c r="B5" s="5" t="s">
        <v>33</v>
      </c>
      <c r="C5" s="351">
        <v>672.0</v>
      </c>
      <c r="D5" s="394">
        <v>2.0</v>
      </c>
      <c r="E5" s="541">
        <v>0.003</v>
      </c>
      <c r="F5" s="354" t="s">
        <v>149</v>
      </c>
      <c r="G5" s="853">
        <v>9.0</v>
      </c>
      <c r="H5" s="412">
        <v>0.0134</v>
      </c>
      <c r="I5" s="357" t="s">
        <v>1661</v>
      </c>
      <c r="J5" s="862">
        <v>83.0</v>
      </c>
      <c r="K5" s="865">
        <v>0.1337</v>
      </c>
      <c r="L5" s="794">
        <f>100-4.24</f>
        <v>95.76</v>
      </c>
    </row>
    <row r="6" ht="22.5" hidden="1" customHeight="1">
      <c r="A6" s="5" t="s">
        <v>11</v>
      </c>
      <c r="B6" s="5" t="s">
        <v>918</v>
      </c>
      <c r="C6" s="448">
        <v>165.0</v>
      </c>
      <c r="D6" s="351" t="s">
        <v>17</v>
      </c>
      <c r="E6" s="603" t="s">
        <v>17</v>
      </c>
      <c r="F6" s="451" t="s">
        <v>17</v>
      </c>
      <c r="G6" s="874">
        <v>4.0</v>
      </c>
      <c r="H6" s="875">
        <v>0.0242</v>
      </c>
      <c r="I6" s="357" t="s">
        <v>1669</v>
      </c>
      <c r="J6" s="876">
        <v>10.0</v>
      </c>
      <c r="K6" s="664">
        <v>0.0654</v>
      </c>
      <c r="L6" s="878" t="s">
        <v>1651</v>
      </c>
    </row>
    <row r="7" ht="22.5" hidden="1" customHeight="1">
      <c r="A7" s="5" t="s">
        <v>11</v>
      </c>
      <c r="B7" s="5" t="s">
        <v>19</v>
      </c>
      <c r="C7" s="351">
        <v>996.0</v>
      </c>
      <c r="D7" s="22">
        <v>1.0</v>
      </c>
      <c r="E7" s="23">
        <v>0.001</v>
      </c>
      <c r="F7" s="354" t="s">
        <v>1672</v>
      </c>
      <c r="G7" s="884">
        <v>11.0</v>
      </c>
      <c r="H7" s="763">
        <v>0.011</v>
      </c>
      <c r="I7" s="357" t="s">
        <v>1675</v>
      </c>
      <c r="J7" s="887">
        <v>141.0</v>
      </c>
      <c r="K7" s="662">
        <v>0.1492</v>
      </c>
      <c r="L7" s="891">
        <f>100-5.89</f>
        <v>94.11</v>
      </c>
    </row>
    <row r="8" ht="22.5" hidden="1" customHeight="1">
      <c r="A8" s="5" t="s">
        <v>11</v>
      </c>
      <c r="B8" s="5" t="s">
        <v>46</v>
      </c>
      <c r="C8" s="351">
        <v>93.0</v>
      </c>
      <c r="D8" s="394">
        <v>2.0</v>
      </c>
      <c r="E8" s="474">
        <v>0.0211</v>
      </c>
      <c r="F8" s="354" t="s">
        <v>911</v>
      </c>
      <c r="G8" s="24">
        <v>0.0</v>
      </c>
      <c r="H8" s="603" t="s">
        <v>17</v>
      </c>
      <c r="I8" s="897"/>
      <c r="J8" s="26">
        <v>9.0</v>
      </c>
      <c r="K8" s="899">
        <v>0.1098</v>
      </c>
      <c r="L8" s="891">
        <f>100-13.65</f>
        <v>86.35</v>
      </c>
    </row>
    <row r="9" ht="22.5" hidden="1" customHeight="1">
      <c r="A9" s="5" t="s">
        <v>11</v>
      </c>
      <c r="B9" s="5" t="s">
        <v>50</v>
      </c>
      <c r="C9" s="351">
        <v>378.0</v>
      </c>
      <c r="D9" s="351" t="s">
        <v>17</v>
      </c>
      <c r="E9" s="603" t="s">
        <v>17</v>
      </c>
      <c r="F9" s="354" t="s">
        <v>17</v>
      </c>
      <c r="G9" s="904">
        <v>8.0</v>
      </c>
      <c r="H9" s="773">
        <v>0.0212</v>
      </c>
      <c r="I9" s="357" t="s">
        <v>1691</v>
      </c>
      <c r="J9" s="906">
        <v>46.0</v>
      </c>
      <c r="K9" s="865">
        <v>0.1333</v>
      </c>
      <c r="L9" s="891">
        <f>100-2.49</f>
        <v>97.51</v>
      </c>
    </row>
    <row r="10" ht="22.5" hidden="1" customHeight="1">
      <c r="A10" s="5" t="s">
        <v>11</v>
      </c>
      <c r="B10" s="5" t="s">
        <v>58</v>
      </c>
      <c r="C10" s="351">
        <v>465.0</v>
      </c>
      <c r="D10" s="351" t="s">
        <v>17</v>
      </c>
      <c r="E10" s="603" t="s">
        <v>17</v>
      </c>
      <c r="F10" s="354" t="s">
        <v>17</v>
      </c>
      <c r="G10" s="911">
        <v>14.0</v>
      </c>
      <c r="H10" s="912">
        <v>0.0301</v>
      </c>
      <c r="I10" s="357" t="s">
        <v>1704</v>
      </c>
      <c r="J10" s="914">
        <v>36.0</v>
      </c>
      <c r="K10" s="915">
        <v>0.0816</v>
      </c>
      <c r="L10" s="891">
        <f>100-2.38</f>
        <v>97.62</v>
      </c>
    </row>
    <row r="11" ht="22.5" hidden="1" customHeight="1">
      <c r="A11" s="5" t="s">
        <v>11</v>
      </c>
      <c r="B11" s="5" t="s">
        <v>64</v>
      </c>
      <c r="C11" s="351">
        <v>335.0</v>
      </c>
      <c r="D11" s="351" t="s">
        <v>17</v>
      </c>
      <c r="E11" s="603" t="s">
        <v>17</v>
      </c>
      <c r="F11" s="354" t="s">
        <v>17</v>
      </c>
      <c r="G11" s="921">
        <v>1.0</v>
      </c>
      <c r="H11" s="23">
        <v>0.003</v>
      </c>
      <c r="I11" s="357" t="s">
        <v>105</v>
      </c>
      <c r="J11" s="923">
        <v>17.0</v>
      </c>
      <c r="K11" s="924">
        <v>0.0552</v>
      </c>
      <c r="L11" s="891">
        <f>100-1.11</f>
        <v>98.89</v>
      </c>
    </row>
    <row r="12" ht="22.5" hidden="1" customHeight="1">
      <c r="A12" s="5" t="s">
        <v>11</v>
      </c>
      <c r="B12" s="5" t="s">
        <v>71</v>
      </c>
      <c r="C12" s="448">
        <v>378.0</v>
      </c>
      <c r="D12" s="351" t="s">
        <v>17</v>
      </c>
      <c r="E12" s="603" t="s">
        <v>17</v>
      </c>
      <c r="F12" s="451" t="s">
        <v>17</v>
      </c>
      <c r="G12" s="927">
        <v>5.0</v>
      </c>
      <c r="H12" s="929">
        <v>0.0132</v>
      </c>
      <c r="I12" s="930" t="s">
        <v>1710</v>
      </c>
      <c r="J12" s="931">
        <v>44.0</v>
      </c>
      <c r="K12" s="932">
        <v>0.1279</v>
      </c>
      <c r="L12" s="834" t="s">
        <v>1651</v>
      </c>
    </row>
    <row r="13" ht="22.5" hidden="1" customHeight="1">
      <c r="A13" s="5" t="s">
        <v>11</v>
      </c>
      <c r="B13" s="5" t="s">
        <v>77</v>
      </c>
      <c r="C13" s="351">
        <v>373.0</v>
      </c>
      <c r="D13" s="351" t="s">
        <v>17</v>
      </c>
      <c r="E13" s="603" t="s">
        <v>17</v>
      </c>
      <c r="F13" s="354" t="s">
        <v>17</v>
      </c>
      <c r="G13" s="416">
        <v>4.0</v>
      </c>
      <c r="H13" s="937">
        <v>0.0107</v>
      </c>
      <c r="I13" s="357" t="s">
        <v>1713</v>
      </c>
      <c r="J13" s="827">
        <v>33.0</v>
      </c>
      <c r="K13" s="938">
        <v>0.0948</v>
      </c>
      <c r="L13" s="891">
        <f>100-3.84</f>
        <v>96.16</v>
      </c>
    </row>
    <row r="14" ht="22.5" hidden="1" customHeight="1">
      <c r="A14" s="5" t="s">
        <v>11</v>
      </c>
      <c r="B14" s="5" t="s">
        <v>82</v>
      </c>
      <c r="C14" s="351">
        <v>345.0</v>
      </c>
      <c r="D14" s="351" t="s">
        <v>17</v>
      </c>
      <c r="E14" s="603" t="s">
        <v>17</v>
      </c>
      <c r="F14" s="354" t="s">
        <v>17</v>
      </c>
      <c r="G14" s="674">
        <v>3.0</v>
      </c>
      <c r="H14" s="630">
        <v>0.0087</v>
      </c>
      <c r="I14" s="357" t="s">
        <v>1718</v>
      </c>
      <c r="J14" s="513">
        <v>55.0</v>
      </c>
      <c r="K14" s="419">
        <v>0.1657</v>
      </c>
      <c r="L14" s="891">
        <f>100-4.73</f>
        <v>95.27</v>
      </c>
    </row>
    <row r="15" ht="22.5" hidden="1" customHeight="1">
      <c r="A15" s="5" t="s">
        <v>11</v>
      </c>
      <c r="B15" s="5" t="s">
        <v>90</v>
      </c>
      <c r="C15" s="351">
        <v>366.0</v>
      </c>
      <c r="D15" s="22">
        <v>1.0</v>
      </c>
      <c r="E15" s="620">
        <v>0.0027</v>
      </c>
      <c r="F15" s="354" t="s">
        <v>1723</v>
      </c>
      <c r="G15" s="416">
        <v>4.0</v>
      </c>
      <c r="H15" s="944">
        <v>0.0109</v>
      </c>
      <c r="I15" s="357" t="s">
        <v>1724</v>
      </c>
      <c r="J15" s="945">
        <v>67.0</v>
      </c>
      <c r="K15" s="851">
        <v>0.1994</v>
      </c>
      <c r="L15" s="891">
        <f>100-4.77</f>
        <v>95.23</v>
      </c>
    </row>
    <row r="16" ht="22.5" hidden="1" customHeight="1">
      <c r="A16" s="5" t="s">
        <v>11</v>
      </c>
      <c r="B16" s="5" t="s">
        <v>94</v>
      </c>
      <c r="C16" s="351">
        <v>322.0</v>
      </c>
      <c r="D16" s="351" t="s">
        <v>17</v>
      </c>
      <c r="E16" s="603" t="s">
        <v>17</v>
      </c>
      <c r="F16" s="354" t="s">
        <v>17</v>
      </c>
      <c r="G16" s="519">
        <v>6.0</v>
      </c>
      <c r="H16" s="642">
        <v>0.0186</v>
      </c>
      <c r="I16" s="357" t="s">
        <v>1728</v>
      </c>
      <c r="J16" s="479">
        <v>50.0</v>
      </c>
      <c r="K16" s="951">
        <v>0.1724</v>
      </c>
      <c r="L16" s="891">
        <f>100-1.36</f>
        <v>98.64</v>
      </c>
    </row>
    <row r="17" ht="22.5" hidden="1" customHeight="1">
      <c r="A17" s="5" t="s">
        <v>11</v>
      </c>
      <c r="B17" s="5" t="s">
        <v>39</v>
      </c>
      <c r="C17" s="351">
        <v>688.0</v>
      </c>
      <c r="D17" s="394">
        <v>2.0</v>
      </c>
      <c r="E17" s="442">
        <v>0.0029</v>
      </c>
      <c r="F17" s="354" t="s">
        <v>1734</v>
      </c>
      <c r="G17" s="748">
        <v>14.0</v>
      </c>
      <c r="H17" s="953">
        <v>0.0203</v>
      </c>
      <c r="I17" s="357" t="s">
        <v>1736</v>
      </c>
      <c r="J17" s="365">
        <v>201.0</v>
      </c>
      <c r="K17" s="474">
        <v>0.329</v>
      </c>
      <c r="L17" s="891">
        <f>100-11.51</f>
        <v>88.49</v>
      </c>
    </row>
    <row r="18" ht="22.5" hidden="1" customHeight="1">
      <c r="A18" s="5" t="s">
        <v>11</v>
      </c>
      <c r="B18" s="5" t="s">
        <v>104</v>
      </c>
      <c r="C18" s="351">
        <v>149.0</v>
      </c>
      <c r="D18" s="351" t="s">
        <v>17</v>
      </c>
      <c r="E18" s="603" t="s">
        <v>17</v>
      </c>
      <c r="F18" s="354" t="s">
        <v>17</v>
      </c>
      <c r="G18" s="957">
        <v>1.0</v>
      </c>
      <c r="H18" s="461"/>
      <c r="I18" s="357" t="s">
        <v>1740</v>
      </c>
      <c r="J18" s="460"/>
      <c r="K18" s="461"/>
      <c r="L18" s="834" t="s">
        <v>1651</v>
      </c>
    </row>
    <row r="19" ht="22.5" hidden="1" customHeight="1">
      <c r="A19" s="5" t="s">
        <v>11</v>
      </c>
      <c r="B19" s="5" t="s">
        <v>59</v>
      </c>
      <c r="C19" s="351">
        <v>606.0</v>
      </c>
      <c r="D19" s="394">
        <v>2.0</v>
      </c>
      <c r="E19" s="626">
        <v>0.0033</v>
      </c>
      <c r="F19" s="354" t="s">
        <v>1745</v>
      </c>
      <c r="G19" s="962">
        <v>16.0</v>
      </c>
      <c r="H19" s="963">
        <v>0.0264</v>
      </c>
      <c r="I19" s="357" t="s">
        <v>1746</v>
      </c>
      <c r="J19" s="463">
        <v>95.0</v>
      </c>
      <c r="K19" s="743">
        <v>0.1632</v>
      </c>
      <c r="L19" s="891">
        <f>100-8.5</f>
        <v>91.5</v>
      </c>
    </row>
    <row r="20" ht="22.5" hidden="1" customHeight="1">
      <c r="A20" s="5" t="s">
        <v>11</v>
      </c>
      <c r="B20" s="5" t="s">
        <v>114</v>
      </c>
      <c r="C20" s="351">
        <v>332.0</v>
      </c>
      <c r="D20" s="22">
        <v>1.0</v>
      </c>
      <c r="E20" s="968">
        <v>0.003</v>
      </c>
      <c r="F20" s="354" t="s">
        <v>1624</v>
      </c>
      <c r="G20" s="423">
        <v>5.0</v>
      </c>
      <c r="H20" s="969">
        <v>0.0151</v>
      </c>
      <c r="I20" s="357" t="s">
        <v>1751</v>
      </c>
      <c r="J20" s="970">
        <v>45.0</v>
      </c>
      <c r="K20" s="972">
        <v>0.1515</v>
      </c>
      <c r="L20" s="891">
        <f>100-5.62</f>
        <v>94.38</v>
      </c>
    </row>
    <row r="21" ht="22.5" hidden="1" customHeight="1">
      <c r="A21" s="5" t="s">
        <v>11</v>
      </c>
      <c r="B21" s="5" t="s">
        <v>119</v>
      </c>
      <c r="C21" s="351">
        <v>228.0</v>
      </c>
      <c r="D21" s="351" t="s">
        <v>17</v>
      </c>
      <c r="E21" s="603" t="s">
        <v>17</v>
      </c>
      <c r="F21" s="354" t="s">
        <v>17</v>
      </c>
      <c r="G21" s="957">
        <v>1.0</v>
      </c>
      <c r="H21" s="975">
        <v>0.0044</v>
      </c>
      <c r="I21" s="357" t="s">
        <v>1757</v>
      </c>
      <c r="J21" s="977">
        <v>22.0</v>
      </c>
      <c r="K21" s="539">
        <v>0.1009</v>
      </c>
      <c r="L21" s="891">
        <f>100-10.62</f>
        <v>89.38</v>
      </c>
    </row>
    <row r="22" ht="22.5" hidden="1" customHeight="1">
      <c r="A22" s="5" t="s">
        <v>11</v>
      </c>
      <c r="B22" s="5" t="s">
        <v>126</v>
      </c>
      <c r="C22" s="351">
        <v>214.0</v>
      </c>
      <c r="D22" s="351" t="s">
        <v>17</v>
      </c>
      <c r="E22" s="603" t="s">
        <v>17</v>
      </c>
      <c r="F22" s="354" t="s">
        <v>17</v>
      </c>
      <c r="G22" s="423">
        <v>5.0</v>
      </c>
      <c r="H22" s="981">
        <v>0.0234</v>
      </c>
      <c r="I22" s="357" t="s">
        <v>1761</v>
      </c>
      <c r="J22" s="983">
        <v>21.0</v>
      </c>
      <c r="K22" s="830">
        <v>0.1077</v>
      </c>
      <c r="L22" s="891">
        <f>100-3.6</f>
        <v>96.4</v>
      </c>
    </row>
    <row r="23" ht="22.5" hidden="1" customHeight="1">
      <c r="A23" s="5" t="s">
        <v>11</v>
      </c>
      <c r="B23" s="5" t="s">
        <v>136</v>
      </c>
      <c r="C23" s="351">
        <v>385.0</v>
      </c>
      <c r="D23" s="351" t="s">
        <v>17</v>
      </c>
      <c r="E23" s="603" t="s">
        <v>17</v>
      </c>
      <c r="F23" s="354" t="s">
        <v>17</v>
      </c>
      <c r="G23" s="423">
        <v>5.0</v>
      </c>
      <c r="H23" s="985">
        <v>0.013</v>
      </c>
      <c r="I23" s="357" t="s">
        <v>1765</v>
      </c>
      <c r="J23" s="494">
        <v>35.0</v>
      </c>
      <c r="K23" s="531">
        <v>0.0975</v>
      </c>
      <c r="L23" s="891">
        <f>100-4.02</f>
        <v>95.98</v>
      </c>
    </row>
    <row r="24" ht="22.5" hidden="1" customHeight="1">
      <c r="A24" s="5" t="s">
        <v>11</v>
      </c>
      <c r="B24" s="5" t="s">
        <v>72</v>
      </c>
      <c r="C24" s="351">
        <v>294.0</v>
      </c>
      <c r="D24" s="351" t="s">
        <v>17</v>
      </c>
      <c r="E24" s="603" t="s">
        <v>17</v>
      </c>
      <c r="F24" s="354" t="s">
        <v>17</v>
      </c>
      <c r="G24" s="674">
        <v>3.0</v>
      </c>
      <c r="H24" s="510">
        <v>0.0102</v>
      </c>
      <c r="I24" s="357" t="s">
        <v>1772</v>
      </c>
      <c r="J24" s="990">
        <v>14.0</v>
      </c>
      <c r="K24" s="992">
        <v>0.0511</v>
      </c>
      <c r="L24" s="891">
        <f>100-0.53</f>
        <v>99.47</v>
      </c>
    </row>
    <row r="25" ht="22.5" hidden="1" customHeight="1">
      <c r="A25" s="5" t="s">
        <v>11</v>
      </c>
      <c r="B25" s="5" t="s">
        <v>145</v>
      </c>
      <c r="C25" s="351">
        <v>254.0</v>
      </c>
      <c r="D25" s="365">
        <v>3.0</v>
      </c>
      <c r="E25" s="651">
        <v>0.0117</v>
      </c>
      <c r="F25" s="354" t="s">
        <v>1776</v>
      </c>
      <c r="G25" s="853">
        <v>9.0</v>
      </c>
      <c r="H25" s="474">
        <v>0.0354</v>
      </c>
      <c r="I25" s="357" t="s">
        <v>1777</v>
      </c>
      <c r="J25" s="1000">
        <v>34.0</v>
      </c>
      <c r="K25" s="822">
        <v>0.1459</v>
      </c>
      <c r="L25" s="891">
        <f>100-8.89</f>
        <v>91.11</v>
      </c>
    </row>
    <row r="26" ht="22.5" hidden="1" customHeight="1">
      <c r="A26" s="5" t="s">
        <v>11</v>
      </c>
      <c r="B26" s="5" t="s">
        <v>85</v>
      </c>
      <c r="C26" s="351">
        <v>438.0</v>
      </c>
      <c r="D26" s="351" t="s">
        <v>17</v>
      </c>
      <c r="E26" s="603" t="s">
        <v>17</v>
      </c>
      <c r="F26" s="354" t="s">
        <v>17</v>
      </c>
      <c r="G26" s="674">
        <v>3.0</v>
      </c>
      <c r="H26" s="666">
        <v>0.0068</v>
      </c>
      <c r="I26" s="357" t="s">
        <v>1779</v>
      </c>
      <c r="J26" s="431">
        <v>51.0</v>
      </c>
      <c r="K26" s="434">
        <v>0.1262</v>
      </c>
      <c r="L26" s="891">
        <f>100-1.5</f>
        <v>98.5</v>
      </c>
    </row>
    <row r="27" ht="22.5" hidden="1" customHeight="1">
      <c r="A27" s="5" t="s">
        <v>11</v>
      </c>
      <c r="B27" s="35" t="s">
        <v>79</v>
      </c>
      <c r="C27" s="351">
        <v>494.0</v>
      </c>
      <c r="D27" s="351" t="s">
        <v>17</v>
      </c>
      <c r="E27" s="603" t="s">
        <v>17</v>
      </c>
      <c r="F27" s="354" t="s">
        <v>17</v>
      </c>
      <c r="G27" s="1009">
        <v>11.0</v>
      </c>
      <c r="H27" s="821">
        <v>0.0223</v>
      </c>
      <c r="I27" s="357" t="s">
        <v>1782</v>
      </c>
      <c r="J27" s="400">
        <v>78.0</v>
      </c>
      <c r="K27" s="617">
        <v>0.1618</v>
      </c>
      <c r="L27" s="891">
        <f>100-3.02</f>
        <v>96.98</v>
      </c>
    </row>
    <row r="28" ht="22.5" hidden="1" customHeight="1">
      <c r="A28" s="5" t="s">
        <v>11</v>
      </c>
      <c r="B28" s="5" t="s">
        <v>109</v>
      </c>
      <c r="C28" s="351">
        <v>407.0</v>
      </c>
      <c r="D28" s="351" t="s">
        <v>17</v>
      </c>
      <c r="E28" s="603" t="s">
        <v>17</v>
      </c>
      <c r="F28" s="354" t="s">
        <v>17</v>
      </c>
      <c r="G28" s="1015">
        <v>10.0</v>
      </c>
      <c r="H28" s="1016">
        <v>0.0246</v>
      </c>
      <c r="I28" s="357" t="s">
        <v>1789</v>
      </c>
      <c r="J28" s="1000">
        <v>34.0</v>
      </c>
      <c r="K28" s="499">
        <v>0.0885</v>
      </c>
      <c r="L28" s="834" t="s">
        <v>1651</v>
      </c>
    </row>
    <row r="29" ht="22.5" hidden="1" customHeight="1">
      <c r="A29" s="5" t="s">
        <v>11</v>
      </c>
      <c r="B29" s="5" t="s">
        <v>49</v>
      </c>
      <c r="C29" s="351">
        <v>609.0</v>
      </c>
      <c r="D29" s="351" t="s">
        <v>17</v>
      </c>
      <c r="E29" s="603" t="s">
        <v>17</v>
      </c>
      <c r="F29" s="354" t="s">
        <v>17</v>
      </c>
      <c r="G29" s="423">
        <v>5.0</v>
      </c>
      <c r="H29" s="772">
        <v>0.0082</v>
      </c>
      <c r="I29" s="357" t="s">
        <v>1792</v>
      </c>
      <c r="J29" s="1021">
        <v>76.0</v>
      </c>
      <c r="K29" s="865">
        <v>0.1336</v>
      </c>
      <c r="L29" s="891">
        <f>100-1.04</f>
        <v>98.96</v>
      </c>
    </row>
    <row r="30" ht="22.5" hidden="1" customHeight="1">
      <c r="A30" s="5" t="s">
        <v>11</v>
      </c>
      <c r="B30" s="5" t="s">
        <v>115</v>
      </c>
      <c r="C30" s="351">
        <v>392.0</v>
      </c>
      <c r="D30" s="22">
        <v>1.0</v>
      </c>
      <c r="E30" s="664">
        <v>0.0025</v>
      </c>
      <c r="F30" s="354" t="s">
        <v>1796</v>
      </c>
      <c r="G30" s="519">
        <v>6.0</v>
      </c>
      <c r="H30" s="972">
        <v>0.0153</v>
      </c>
      <c r="I30" s="357" t="s">
        <v>1798</v>
      </c>
      <c r="J30" s="625">
        <v>43.0</v>
      </c>
      <c r="K30" s="1023">
        <v>0.1194</v>
      </c>
      <c r="L30" s="891">
        <f>100-1.92</f>
        <v>98.08</v>
      </c>
    </row>
    <row r="31" ht="22.5" hidden="1" customHeight="1">
      <c r="A31" s="5" t="s">
        <v>11</v>
      </c>
      <c r="B31" s="5" t="s">
        <v>45</v>
      </c>
      <c r="C31" s="351">
        <v>612.0</v>
      </c>
      <c r="D31" s="351" t="s">
        <v>17</v>
      </c>
      <c r="E31" s="351" t="s">
        <v>17</v>
      </c>
      <c r="F31" s="354" t="s">
        <v>17</v>
      </c>
      <c r="G31" s="634">
        <v>12.0</v>
      </c>
      <c r="H31" s="764">
        <v>0.0196</v>
      </c>
      <c r="I31" s="357" t="s">
        <v>1804</v>
      </c>
      <c r="J31" s="760">
        <v>81.0</v>
      </c>
      <c r="K31" s="608">
        <v>0.1426</v>
      </c>
      <c r="L31" s="891">
        <f>100-7.47</f>
        <v>92.53</v>
      </c>
    </row>
    <row r="32" ht="22.5" hidden="1" customHeight="1">
      <c r="A32" s="5" t="s">
        <v>11</v>
      </c>
      <c r="B32" s="5" t="s">
        <v>170</v>
      </c>
      <c r="C32" s="351">
        <v>236.0</v>
      </c>
      <c r="D32" s="22">
        <v>1.0</v>
      </c>
      <c r="E32" s="772">
        <v>0.0042</v>
      </c>
      <c r="F32" s="354" t="s">
        <v>915</v>
      </c>
      <c r="G32" s="674">
        <v>3.0</v>
      </c>
      <c r="H32" s="600">
        <v>0.0127</v>
      </c>
      <c r="I32" s="357" t="s">
        <v>1809</v>
      </c>
      <c r="J32" s="673">
        <v>27.0</v>
      </c>
      <c r="K32" s="675">
        <v>0.1184</v>
      </c>
      <c r="L32" s="891">
        <f>100-3.67</f>
        <v>96.33</v>
      </c>
    </row>
    <row r="33" ht="22.5" hidden="1" customHeight="1">
      <c r="A33" s="5" t="s">
        <v>11</v>
      </c>
      <c r="B33" s="5" t="s">
        <v>123</v>
      </c>
      <c r="C33" s="351">
        <v>385.0</v>
      </c>
      <c r="D33" s="351" t="s">
        <v>17</v>
      </c>
      <c r="E33" s="603" t="s">
        <v>17</v>
      </c>
      <c r="F33" s="354" t="s">
        <v>17</v>
      </c>
      <c r="G33" s="1009">
        <v>11.0</v>
      </c>
      <c r="H33" s="1035">
        <v>0.0286</v>
      </c>
      <c r="I33" s="357" t="s">
        <v>1814</v>
      </c>
      <c r="J33" s="1036">
        <v>46.0</v>
      </c>
      <c r="K33" s="678">
        <v>0.1311</v>
      </c>
      <c r="L33" s="891">
        <f>100-3.75</f>
        <v>96.25</v>
      </c>
    </row>
    <row r="34" ht="22.5" hidden="1" customHeight="1">
      <c r="A34" s="5" t="s">
        <v>11</v>
      </c>
      <c r="B34" s="5" t="s">
        <v>96</v>
      </c>
      <c r="C34" s="351">
        <v>383.0</v>
      </c>
      <c r="D34" s="351" t="s">
        <v>17</v>
      </c>
      <c r="E34" s="603" t="s">
        <v>17</v>
      </c>
      <c r="F34" s="354" t="s">
        <v>17</v>
      </c>
      <c r="G34" s="402">
        <v>7.0</v>
      </c>
      <c r="H34" s="1037">
        <v>0.0183</v>
      </c>
      <c r="I34" s="357" t="s">
        <v>1818</v>
      </c>
      <c r="J34" s="831">
        <v>29.0</v>
      </c>
      <c r="K34" s="681">
        <v>0.0822</v>
      </c>
      <c r="L34" s="891">
        <f>100-0.08</f>
        <v>99.92</v>
      </c>
    </row>
    <row r="35" ht="22.5" hidden="1" customHeight="1">
      <c r="A35" s="5" t="s">
        <v>11</v>
      </c>
      <c r="B35" s="5" t="s">
        <v>156</v>
      </c>
      <c r="C35" s="351">
        <v>390.0</v>
      </c>
      <c r="D35" s="22">
        <v>1.0</v>
      </c>
      <c r="E35" s="664">
        <v>0.0026</v>
      </c>
      <c r="F35" s="354" t="s">
        <v>915</v>
      </c>
      <c r="G35" s="402">
        <v>7.0</v>
      </c>
      <c r="H35" s="533">
        <v>0.0179</v>
      </c>
      <c r="I35" s="357" t="s">
        <v>1823</v>
      </c>
      <c r="J35" s="1040">
        <v>47.0</v>
      </c>
      <c r="K35" s="1041">
        <v>0.1298</v>
      </c>
      <c r="L35" s="891">
        <f>100-2.1</f>
        <v>97.9</v>
      </c>
    </row>
    <row r="36" ht="22.5" hidden="1" customHeight="1">
      <c r="A36" s="5" t="s">
        <v>11</v>
      </c>
      <c r="B36" s="5" t="s">
        <v>153</v>
      </c>
      <c r="C36" s="351">
        <v>299.0</v>
      </c>
      <c r="D36" s="351" t="s">
        <v>17</v>
      </c>
      <c r="E36" s="603" t="s">
        <v>17</v>
      </c>
      <c r="F36" s="354" t="s">
        <v>17</v>
      </c>
      <c r="G36" s="1042">
        <v>8.0</v>
      </c>
      <c r="H36" s="774">
        <v>0.0268</v>
      </c>
      <c r="I36" s="357" t="s">
        <v>1826</v>
      </c>
      <c r="J36" s="494">
        <v>35.0</v>
      </c>
      <c r="K36" s="368">
        <v>0.1246</v>
      </c>
      <c r="L36" s="891">
        <f>100-1.56</f>
        <v>98.44</v>
      </c>
    </row>
    <row r="37" ht="22.5" hidden="1" customHeight="1">
      <c r="A37" s="5" t="s">
        <v>11</v>
      </c>
      <c r="B37" s="5" t="s">
        <v>159</v>
      </c>
      <c r="C37" s="351">
        <v>262.0</v>
      </c>
      <c r="D37" s="351" t="s">
        <v>17</v>
      </c>
      <c r="E37" s="603" t="s">
        <v>17</v>
      </c>
      <c r="F37" s="354" t="s">
        <v>17</v>
      </c>
      <c r="G37" s="957">
        <v>1.0</v>
      </c>
      <c r="H37" s="1044">
        <v>0.0038</v>
      </c>
      <c r="I37" s="357" t="s">
        <v>105</v>
      </c>
      <c r="J37" s="674">
        <v>39.0</v>
      </c>
      <c r="K37" s="1047">
        <v>0.1573</v>
      </c>
      <c r="L37" s="891">
        <f>100-5.74</f>
        <v>94.26</v>
      </c>
    </row>
    <row r="38" ht="22.5" hidden="1" customHeight="1">
      <c r="A38" s="5" t="s">
        <v>11</v>
      </c>
      <c r="B38" s="5" t="s">
        <v>26</v>
      </c>
      <c r="C38" s="351">
        <v>720.0</v>
      </c>
      <c r="D38" s="365">
        <v>3.0</v>
      </c>
      <c r="E38" s="499">
        <v>0.0041</v>
      </c>
      <c r="F38" s="354" t="s">
        <v>1484</v>
      </c>
      <c r="G38" s="1042">
        <v>8.0</v>
      </c>
      <c r="H38" s="1048">
        <v>0.0111</v>
      </c>
      <c r="I38" s="357" t="s">
        <v>1832</v>
      </c>
      <c r="J38" s="1049">
        <v>69.0</v>
      </c>
      <c r="K38" s="482">
        <v>0.0999</v>
      </c>
      <c r="L38" s="891">
        <f>100-7.05</f>
        <v>92.95</v>
      </c>
    </row>
    <row r="39" ht="22.5" hidden="1" customHeight="1">
      <c r="A39" s="5" t="s">
        <v>11</v>
      </c>
      <c r="B39" s="5" t="s">
        <v>23</v>
      </c>
      <c r="C39" s="351">
        <v>696.0</v>
      </c>
      <c r="D39" s="351" t="s">
        <v>17</v>
      </c>
      <c r="E39" s="603" t="s">
        <v>17</v>
      </c>
      <c r="F39" s="354" t="s">
        <v>17</v>
      </c>
      <c r="G39" s="748">
        <v>14.0</v>
      </c>
      <c r="H39" s="472">
        <v>0.0201</v>
      </c>
      <c r="I39" s="357" t="s">
        <v>1835</v>
      </c>
      <c r="J39" s="1051">
        <v>91.0</v>
      </c>
      <c r="K39" s="517">
        <v>0.1375</v>
      </c>
      <c r="L39" s="891">
        <f>100-3.95</f>
        <v>96.05</v>
      </c>
    </row>
    <row r="40" ht="22.5" hidden="1" customHeight="1">
      <c r="A40" s="5" t="s">
        <v>11</v>
      </c>
      <c r="B40" s="5" t="s">
        <v>63</v>
      </c>
      <c r="C40" s="351">
        <v>517.0</v>
      </c>
      <c r="D40" s="22">
        <v>1.0</v>
      </c>
      <c r="E40" s="850">
        <v>0.0019</v>
      </c>
      <c r="F40" s="354" t="s">
        <v>277</v>
      </c>
      <c r="G40" s="402">
        <v>7.0</v>
      </c>
      <c r="H40" s="1053">
        <v>0.0135</v>
      </c>
      <c r="I40" s="357" t="s">
        <v>1839</v>
      </c>
      <c r="J40" s="977">
        <v>22.0</v>
      </c>
      <c r="K40" s="23">
        <v>0.0435</v>
      </c>
      <c r="L40" s="834" t="s">
        <v>1651</v>
      </c>
    </row>
    <row r="41" ht="22.5" customHeight="1">
      <c r="A41" s="5" t="s">
        <v>185</v>
      </c>
      <c r="B41" s="5" t="s">
        <v>15</v>
      </c>
      <c r="C41" s="50">
        <v>35.0</v>
      </c>
      <c r="D41" s="47" t="s">
        <v>258</v>
      </c>
      <c r="E41" s="47">
        <v>0.0</v>
      </c>
      <c r="F41" s="28">
        <v>0.0</v>
      </c>
      <c r="G41" s="47">
        <v>1.0</v>
      </c>
      <c r="H41" s="1025" t="s">
        <v>1844</v>
      </c>
      <c r="I41" s="47">
        <v>0.0</v>
      </c>
      <c r="J41" s="57">
        <v>6.0</v>
      </c>
      <c r="K41" s="47" t="s">
        <v>1847</v>
      </c>
      <c r="L41" s="47" t="s">
        <v>1848</v>
      </c>
    </row>
    <row r="42" ht="22.5" customHeight="1">
      <c r="A42" s="5" t="s">
        <v>185</v>
      </c>
      <c r="B42" s="5" t="s">
        <v>13</v>
      </c>
      <c r="C42" s="50">
        <v>643.0</v>
      </c>
      <c r="D42" s="47" t="s">
        <v>258</v>
      </c>
      <c r="E42" s="47">
        <v>0.0</v>
      </c>
      <c r="F42" s="28">
        <v>0.0</v>
      </c>
      <c r="G42" s="47">
        <v>23.0</v>
      </c>
      <c r="H42" s="1025" t="s">
        <v>304</v>
      </c>
      <c r="I42" s="47" t="s">
        <v>1851</v>
      </c>
      <c r="J42" s="57">
        <v>115.0</v>
      </c>
      <c r="K42" s="47" t="s">
        <v>1853</v>
      </c>
      <c r="L42" s="47" t="s">
        <v>298</v>
      </c>
    </row>
    <row r="43" ht="22.5" customHeight="1">
      <c r="A43" s="5" t="s">
        <v>185</v>
      </c>
      <c r="B43" s="5" t="s">
        <v>27</v>
      </c>
      <c r="C43" s="50">
        <v>239.0</v>
      </c>
      <c r="D43" s="47" t="s">
        <v>258</v>
      </c>
      <c r="E43" s="47">
        <v>0.0</v>
      </c>
      <c r="F43" s="28">
        <v>0.0</v>
      </c>
      <c r="G43" s="47">
        <v>4.0</v>
      </c>
      <c r="H43" s="1025" t="s">
        <v>1855</v>
      </c>
      <c r="I43" s="47" t="s">
        <v>1856</v>
      </c>
      <c r="J43" s="57">
        <v>32.0</v>
      </c>
      <c r="K43" s="47" t="s">
        <v>1858</v>
      </c>
      <c r="L43" s="47" t="s">
        <v>298</v>
      </c>
    </row>
    <row r="44" ht="22.5" customHeight="1">
      <c r="A44" s="5" t="s">
        <v>185</v>
      </c>
      <c r="B44" s="5" t="s">
        <v>33</v>
      </c>
      <c r="C44" s="50">
        <v>332.0</v>
      </c>
      <c r="D44" s="47" t="s">
        <v>1860</v>
      </c>
      <c r="E44" s="47">
        <v>1.0</v>
      </c>
      <c r="F44" s="28">
        <v>0.0</v>
      </c>
      <c r="G44" s="47">
        <v>11.0</v>
      </c>
      <c r="H44" s="1025" t="s">
        <v>1861</v>
      </c>
      <c r="I44" s="47">
        <v>165165.0</v>
      </c>
      <c r="J44" s="57">
        <v>78.0</v>
      </c>
      <c r="K44" s="47" t="s">
        <v>1862</v>
      </c>
      <c r="L44" s="47" t="s">
        <v>298</v>
      </c>
    </row>
    <row r="45" ht="22.5" customHeight="1">
      <c r="A45" s="5" t="s">
        <v>185</v>
      </c>
      <c r="B45" s="5" t="s">
        <v>19</v>
      </c>
      <c r="C45" s="50">
        <v>447.0</v>
      </c>
      <c r="D45" s="47" t="s">
        <v>258</v>
      </c>
      <c r="E45" s="47">
        <v>0.0</v>
      </c>
      <c r="F45" s="28">
        <v>0.0</v>
      </c>
      <c r="G45" s="47">
        <v>17.0</v>
      </c>
      <c r="H45" s="1025" t="s">
        <v>1863</v>
      </c>
      <c r="I45" s="47" t="s">
        <v>1864</v>
      </c>
      <c r="J45" s="57">
        <v>154.0</v>
      </c>
      <c r="K45" s="47" t="s">
        <v>1865</v>
      </c>
      <c r="L45" s="47" t="s">
        <v>1866</v>
      </c>
    </row>
    <row r="46" ht="22.5" customHeight="1">
      <c r="A46" s="5" t="s">
        <v>185</v>
      </c>
      <c r="B46" s="5" t="s">
        <v>58</v>
      </c>
      <c r="C46" s="50">
        <v>212.0</v>
      </c>
      <c r="D46" s="47" t="s">
        <v>258</v>
      </c>
      <c r="E46" s="47">
        <v>0.0</v>
      </c>
      <c r="F46" s="28">
        <v>0.0</v>
      </c>
      <c r="G46" s="47">
        <v>13.0</v>
      </c>
      <c r="H46" s="1025" t="s">
        <v>1870</v>
      </c>
      <c r="I46" s="47" t="s">
        <v>1871</v>
      </c>
      <c r="J46" s="57">
        <v>38.0</v>
      </c>
      <c r="K46" s="47" t="s">
        <v>1872</v>
      </c>
      <c r="L46" s="47" t="s">
        <v>298</v>
      </c>
    </row>
    <row r="47" ht="22.5" customHeight="1">
      <c r="A47" s="5" t="s">
        <v>185</v>
      </c>
      <c r="B47" s="5" t="s">
        <v>77</v>
      </c>
      <c r="C47" s="50">
        <v>97.0</v>
      </c>
      <c r="D47" s="47" t="s">
        <v>258</v>
      </c>
      <c r="E47" s="47">
        <v>0.0</v>
      </c>
      <c r="F47" s="28">
        <v>0.0</v>
      </c>
      <c r="G47" s="47">
        <v>2.0</v>
      </c>
      <c r="H47" s="1025" t="s">
        <v>1083</v>
      </c>
      <c r="I47" s="55">
        <v>0.0</v>
      </c>
      <c r="J47" s="57">
        <v>7.0</v>
      </c>
      <c r="K47" s="47" t="s">
        <v>1875</v>
      </c>
      <c r="L47" s="47" t="s">
        <v>298</v>
      </c>
    </row>
    <row r="48" ht="22.5" customHeight="1">
      <c r="A48" s="5" t="s">
        <v>185</v>
      </c>
      <c r="B48" s="5" t="s">
        <v>82</v>
      </c>
      <c r="C48" s="50">
        <v>130.0</v>
      </c>
      <c r="D48" s="47" t="s">
        <v>258</v>
      </c>
      <c r="E48" s="47">
        <v>0.0</v>
      </c>
      <c r="F48" s="28">
        <v>0.0</v>
      </c>
      <c r="G48" s="47">
        <v>2.0</v>
      </c>
      <c r="H48" s="1025" t="s">
        <v>560</v>
      </c>
      <c r="I48" s="47">
        <v>25665.0</v>
      </c>
      <c r="J48" s="57">
        <v>19.0</v>
      </c>
      <c r="K48" s="47" t="s">
        <v>1877</v>
      </c>
      <c r="L48" s="47" t="s">
        <v>298</v>
      </c>
    </row>
    <row r="49" ht="22.5" customHeight="1">
      <c r="A49" s="5" t="s">
        <v>185</v>
      </c>
      <c r="B49" s="50" t="s">
        <v>94</v>
      </c>
      <c r="C49" s="50">
        <v>0.0</v>
      </c>
      <c r="D49" s="47" t="s">
        <v>258</v>
      </c>
      <c r="E49" s="47">
        <v>0.0</v>
      </c>
      <c r="F49" s="28">
        <v>0.0</v>
      </c>
      <c r="G49" s="47">
        <v>0.0</v>
      </c>
      <c r="H49" s="1025" t="s">
        <v>258</v>
      </c>
      <c r="I49" s="50">
        <v>0.0</v>
      </c>
      <c r="J49" s="57">
        <v>0.0</v>
      </c>
      <c r="K49" s="47" t="s">
        <v>258</v>
      </c>
      <c r="L49" s="47" t="s">
        <v>298</v>
      </c>
    </row>
    <row r="50" ht="22.5" customHeight="1">
      <c r="A50" s="5" t="s">
        <v>185</v>
      </c>
      <c r="B50" s="5" t="s">
        <v>90</v>
      </c>
      <c r="C50" s="50">
        <v>10.0</v>
      </c>
      <c r="D50" s="47" t="s">
        <v>258</v>
      </c>
      <c r="E50" s="47">
        <v>0.0</v>
      </c>
      <c r="F50" s="28">
        <v>0.0</v>
      </c>
      <c r="G50" s="47">
        <v>0.0</v>
      </c>
      <c r="H50" s="1025" t="s">
        <v>258</v>
      </c>
      <c r="I50" s="50">
        <v>0.0</v>
      </c>
      <c r="J50" s="57">
        <v>4.0</v>
      </c>
      <c r="K50" s="47" t="s">
        <v>486</v>
      </c>
      <c r="L50" s="47" t="s">
        <v>298</v>
      </c>
    </row>
    <row r="51" ht="22.5" customHeight="1">
      <c r="A51" s="5" t="s">
        <v>185</v>
      </c>
      <c r="B51" s="5" t="s">
        <v>39</v>
      </c>
      <c r="C51" s="50">
        <v>52.0</v>
      </c>
      <c r="D51" s="47" t="s">
        <v>841</v>
      </c>
      <c r="E51" s="47">
        <v>3.0</v>
      </c>
      <c r="F51" s="28">
        <v>0.0</v>
      </c>
      <c r="G51" s="47">
        <v>6.0</v>
      </c>
      <c r="H51" s="1025" t="s">
        <v>1880</v>
      </c>
      <c r="I51" s="47" t="s">
        <v>1881</v>
      </c>
      <c r="J51" s="57">
        <v>29.0</v>
      </c>
      <c r="K51" s="47" t="s">
        <v>1882</v>
      </c>
      <c r="L51" s="47" t="s">
        <v>1883</v>
      </c>
    </row>
    <row r="52" ht="22.5" customHeight="1">
      <c r="A52" s="5" t="s">
        <v>185</v>
      </c>
      <c r="B52" s="5" t="s">
        <v>59</v>
      </c>
      <c r="C52" s="13">
        <v>67.0</v>
      </c>
      <c r="D52" s="47" t="s">
        <v>1462</v>
      </c>
      <c r="E52" s="47">
        <v>1.0</v>
      </c>
      <c r="F52" s="28">
        <v>0.0</v>
      </c>
      <c r="G52" s="47">
        <v>2.0</v>
      </c>
      <c r="H52" s="1025" t="s">
        <v>344</v>
      </c>
      <c r="I52" s="47" t="s">
        <v>1884</v>
      </c>
      <c r="J52" s="57">
        <v>43.0</v>
      </c>
      <c r="K52" s="47" t="s">
        <v>1885</v>
      </c>
      <c r="L52" s="47" t="s">
        <v>1886</v>
      </c>
    </row>
    <row r="53" ht="22.5" customHeight="1">
      <c r="A53" s="5" t="s">
        <v>185</v>
      </c>
      <c r="B53" s="5" t="s">
        <v>114</v>
      </c>
      <c r="C53" s="13">
        <v>139.0</v>
      </c>
      <c r="D53" s="47" t="s">
        <v>258</v>
      </c>
      <c r="E53" s="47">
        <v>0.0</v>
      </c>
      <c r="F53" s="28">
        <v>0.0</v>
      </c>
      <c r="G53" s="47">
        <v>8.0</v>
      </c>
      <c r="H53" s="1025" t="s">
        <v>1888</v>
      </c>
      <c r="I53" s="47">
        <v>111195.0</v>
      </c>
      <c r="J53" s="57">
        <v>40.0</v>
      </c>
      <c r="K53" s="47" t="s">
        <v>1889</v>
      </c>
      <c r="L53" s="47" t="s">
        <v>298</v>
      </c>
    </row>
    <row r="54" ht="22.5" customHeight="1">
      <c r="A54" s="5" t="s">
        <v>185</v>
      </c>
      <c r="B54" s="5" t="s">
        <v>136</v>
      </c>
      <c r="C54" s="13">
        <v>65.0</v>
      </c>
      <c r="D54" s="47" t="s">
        <v>258</v>
      </c>
      <c r="E54" s="47">
        <v>0.0</v>
      </c>
      <c r="F54" s="28">
        <v>0.0</v>
      </c>
      <c r="G54" s="47">
        <v>1.0</v>
      </c>
      <c r="H54" s="1025" t="s">
        <v>390</v>
      </c>
      <c r="I54" s="47">
        <v>0.0</v>
      </c>
      <c r="J54" s="57">
        <v>17.0</v>
      </c>
      <c r="K54" s="47" t="s">
        <v>1890</v>
      </c>
      <c r="L54" s="47" t="s">
        <v>298</v>
      </c>
    </row>
    <row r="55" ht="22.5" customHeight="1">
      <c r="A55" s="5" t="s">
        <v>185</v>
      </c>
      <c r="B55" s="5" t="s">
        <v>85</v>
      </c>
      <c r="C55" s="13">
        <v>289.0</v>
      </c>
      <c r="D55" s="47" t="s">
        <v>258</v>
      </c>
      <c r="E55" s="47">
        <v>0.0</v>
      </c>
      <c r="F55" s="28">
        <v>0.0</v>
      </c>
      <c r="G55" s="47">
        <v>5.0</v>
      </c>
      <c r="H55" s="1025" t="s">
        <v>1892</v>
      </c>
      <c r="I55" s="47">
        <v>6334.0</v>
      </c>
      <c r="J55" s="57">
        <v>40.0</v>
      </c>
      <c r="K55" s="47" t="s">
        <v>1893</v>
      </c>
      <c r="L55" s="47" t="s">
        <v>1894</v>
      </c>
    </row>
    <row r="56" ht="22.5" customHeight="1">
      <c r="A56" s="5" t="s">
        <v>185</v>
      </c>
      <c r="B56" s="35" t="s">
        <v>79</v>
      </c>
      <c r="C56" s="13">
        <v>166.0</v>
      </c>
      <c r="D56" s="47" t="s">
        <v>258</v>
      </c>
      <c r="E56" s="47">
        <v>0.0</v>
      </c>
      <c r="F56" s="28">
        <v>0.0</v>
      </c>
      <c r="G56" s="47">
        <v>2.0</v>
      </c>
      <c r="H56" s="1025" t="s">
        <v>551</v>
      </c>
      <c r="I56" s="47" t="s">
        <v>1895</v>
      </c>
      <c r="J56" s="57">
        <v>51.0</v>
      </c>
      <c r="K56" s="47" t="s">
        <v>1896</v>
      </c>
      <c r="L56" s="47" t="s">
        <v>1897</v>
      </c>
    </row>
    <row r="57" ht="22.5" customHeight="1">
      <c r="A57" s="5" t="s">
        <v>185</v>
      </c>
      <c r="B57" s="5" t="s">
        <v>45</v>
      </c>
      <c r="C57" s="13">
        <v>219.0</v>
      </c>
      <c r="D57" s="47" t="s">
        <v>258</v>
      </c>
      <c r="E57" s="47">
        <v>0.0</v>
      </c>
      <c r="F57" s="28">
        <v>0.0</v>
      </c>
      <c r="G57" s="47">
        <v>4.0</v>
      </c>
      <c r="H57" s="1025" t="s">
        <v>533</v>
      </c>
      <c r="I57" s="47">
        <v>38567.0</v>
      </c>
      <c r="J57" s="57">
        <v>11.0</v>
      </c>
      <c r="K57" s="47" t="s">
        <v>1898</v>
      </c>
      <c r="L57" s="47" t="s">
        <v>298</v>
      </c>
    </row>
    <row r="58" ht="22.5" customHeight="1">
      <c r="A58" s="5" t="s">
        <v>185</v>
      </c>
      <c r="B58" s="5" t="s">
        <v>170</v>
      </c>
      <c r="C58" s="13">
        <v>69.0</v>
      </c>
      <c r="D58" s="47" t="s">
        <v>258</v>
      </c>
      <c r="E58" s="47">
        <v>0.0</v>
      </c>
      <c r="F58" s="28">
        <v>0.0</v>
      </c>
      <c r="G58" s="47">
        <v>0.0</v>
      </c>
      <c r="H58" s="1025" t="s">
        <v>258</v>
      </c>
      <c r="I58" s="50">
        <v>0.0</v>
      </c>
      <c r="J58" s="57">
        <v>8.0</v>
      </c>
      <c r="K58" s="47" t="s">
        <v>1900</v>
      </c>
      <c r="L58" s="47" t="s">
        <v>1901</v>
      </c>
    </row>
    <row r="59" ht="22.5" customHeight="1">
      <c r="A59" s="5" t="s">
        <v>185</v>
      </c>
      <c r="B59" s="5" t="s">
        <v>153</v>
      </c>
      <c r="C59" s="13">
        <v>117.0</v>
      </c>
      <c r="D59" s="47" t="s">
        <v>258</v>
      </c>
      <c r="E59" s="47">
        <v>0.0</v>
      </c>
      <c r="F59" s="28">
        <v>0.0</v>
      </c>
      <c r="G59" s="47">
        <v>6.0</v>
      </c>
      <c r="H59" s="1025" t="s">
        <v>865</v>
      </c>
      <c r="I59" s="47">
        <v>13301.0</v>
      </c>
      <c r="J59" s="57">
        <v>20.0</v>
      </c>
      <c r="K59" s="47" t="s">
        <v>1902</v>
      </c>
      <c r="L59" s="47" t="s">
        <v>298</v>
      </c>
    </row>
    <row r="60" ht="22.5" customHeight="1">
      <c r="A60" s="5" t="s">
        <v>185</v>
      </c>
      <c r="B60" s="5" t="s">
        <v>26</v>
      </c>
      <c r="C60" s="13">
        <v>502.0</v>
      </c>
      <c r="D60" s="47" t="s">
        <v>1903</v>
      </c>
      <c r="E60" s="47">
        <v>1.0</v>
      </c>
      <c r="F60" s="28">
        <v>0.0</v>
      </c>
      <c r="G60" s="47">
        <v>12.0</v>
      </c>
      <c r="H60" s="1025" t="s">
        <v>401</v>
      </c>
      <c r="I60" s="47" t="s">
        <v>1904</v>
      </c>
      <c r="J60" s="57">
        <v>27.0</v>
      </c>
      <c r="K60" s="47" t="s">
        <v>1905</v>
      </c>
      <c r="L60" s="47" t="s">
        <v>1906</v>
      </c>
    </row>
    <row r="61" ht="22.5" customHeight="1">
      <c r="A61" s="5" t="s">
        <v>185</v>
      </c>
      <c r="B61" s="5" t="s">
        <v>23</v>
      </c>
      <c r="C61" s="13">
        <v>276.0</v>
      </c>
      <c r="D61" s="47" t="s">
        <v>258</v>
      </c>
      <c r="E61" s="47">
        <v>0.0</v>
      </c>
      <c r="F61" s="28">
        <v>0.0</v>
      </c>
      <c r="G61" s="47">
        <v>12.0</v>
      </c>
      <c r="H61" s="1025" t="s">
        <v>1908</v>
      </c>
      <c r="I61" s="47" t="s">
        <v>1909</v>
      </c>
      <c r="J61" s="57">
        <v>87.0</v>
      </c>
      <c r="K61" s="47" t="s">
        <v>1910</v>
      </c>
      <c r="L61" s="47" t="s">
        <v>298</v>
      </c>
    </row>
    <row r="62" ht="22.5" customHeight="1">
      <c r="A62" s="5" t="s">
        <v>185</v>
      </c>
      <c r="B62" s="5" t="s">
        <v>159</v>
      </c>
      <c r="C62" s="13">
        <v>35.0</v>
      </c>
      <c r="D62" s="47" t="s">
        <v>258</v>
      </c>
      <c r="E62" s="47">
        <v>0.0</v>
      </c>
      <c r="F62" s="28">
        <v>0.0</v>
      </c>
      <c r="G62" s="47">
        <v>0.0</v>
      </c>
      <c r="H62" s="1025" t="s">
        <v>258</v>
      </c>
      <c r="I62" s="50">
        <v>0.0</v>
      </c>
      <c r="J62" s="57">
        <v>12.0</v>
      </c>
      <c r="K62" s="47" t="s">
        <v>1911</v>
      </c>
      <c r="L62" s="47" t="s">
        <v>1912</v>
      </c>
    </row>
    <row r="63" ht="22.5" customHeight="1">
      <c r="A63" s="5" t="s">
        <v>185</v>
      </c>
      <c r="B63" s="5" t="s">
        <v>63</v>
      </c>
      <c r="C63" s="13">
        <v>311.0</v>
      </c>
      <c r="D63" s="47" t="s">
        <v>258</v>
      </c>
      <c r="E63" s="47">
        <v>0.0</v>
      </c>
      <c r="F63" s="28">
        <v>0.0</v>
      </c>
      <c r="G63" s="47">
        <v>4.0</v>
      </c>
      <c r="H63" s="1025" t="s">
        <v>1913</v>
      </c>
      <c r="I63" s="47" t="s">
        <v>1914</v>
      </c>
      <c r="J63" s="57">
        <v>32.0</v>
      </c>
      <c r="K63" s="47" t="s">
        <v>1916</v>
      </c>
      <c r="L63" s="47" t="s">
        <v>298</v>
      </c>
    </row>
    <row r="64" ht="22.5" customHeight="1">
      <c r="A64" s="5" t="s">
        <v>185</v>
      </c>
      <c r="B64" s="5" t="s">
        <v>123</v>
      </c>
      <c r="C64" s="13">
        <v>39.0</v>
      </c>
      <c r="D64" s="47" t="s">
        <v>258</v>
      </c>
      <c r="E64" s="47">
        <v>0.0</v>
      </c>
      <c r="F64" s="28">
        <v>0.0</v>
      </c>
      <c r="G64" s="47">
        <v>1.0</v>
      </c>
      <c r="H64" s="1025" t="s">
        <v>362</v>
      </c>
      <c r="I64" s="47">
        <v>25665.0</v>
      </c>
      <c r="J64" s="57">
        <v>1.0</v>
      </c>
      <c r="K64" s="47" t="s">
        <v>362</v>
      </c>
      <c r="L64" s="47" t="s">
        <v>1917</v>
      </c>
    </row>
    <row r="65" ht="22.5" hidden="1" customHeight="1">
      <c r="A65" s="5" t="s">
        <v>383</v>
      </c>
      <c r="B65" s="5" t="s">
        <v>15</v>
      </c>
      <c r="C65" s="699">
        <v>50.0</v>
      </c>
      <c r="D65" s="699">
        <v>1.0</v>
      </c>
      <c r="E65" s="1076">
        <v>0.02</v>
      </c>
      <c r="F65" s="28">
        <v>0.0</v>
      </c>
      <c r="G65" s="999">
        <v>2.0</v>
      </c>
      <c r="H65" s="714">
        <v>0.04</v>
      </c>
      <c r="I65" s="28">
        <v>0.0</v>
      </c>
      <c r="J65" s="999">
        <v>3.0</v>
      </c>
      <c r="K65" s="1078">
        <v>0.022408963585434174</v>
      </c>
      <c r="L65" s="278">
        <v>0.8594</v>
      </c>
    </row>
    <row r="66" ht="22.5" hidden="1" customHeight="1">
      <c r="A66" s="5" t="s">
        <v>383</v>
      </c>
      <c r="B66" s="5" t="s">
        <v>13</v>
      </c>
      <c r="C66" s="699">
        <v>365.0</v>
      </c>
      <c r="D66" s="699">
        <v>1.0</v>
      </c>
      <c r="E66" s="1079">
        <v>0.0027397260273972603</v>
      </c>
      <c r="F66" s="28">
        <v>0.0</v>
      </c>
      <c r="G66" s="999">
        <v>7.0</v>
      </c>
      <c r="H66" s="714">
        <v>0.019178082191780823</v>
      </c>
      <c r="I66" s="28">
        <v>0.0</v>
      </c>
      <c r="J66" s="1006">
        <v>8.0</v>
      </c>
      <c r="K66" s="1080">
        <v>0.02120141342756184</v>
      </c>
      <c r="L66" s="281">
        <v>0.9845</v>
      </c>
    </row>
    <row r="67" ht="22.5" hidden="1" customHeight="1">
      <c r="A67" s="5" t="s">
        <v>383</v>
      </c>
      <c r="B67" s="5" t="s">
        <v>27</v>
      </c>
      <c r="C67" s="699">
        <v>75.0</v>
      </c>
      <c r="D67" s="699">
        <v>0.0</v>
      </c>
      <c r="E67" s="714">
        <v>0.0</v>
      </c>
      <c r="F67" s="28">
        <v>0.0</v>
      </c>
      <c r="G67" s="999">
        <v>4.0</v>
      </c>
      <c r="H67" s="714">
        <v>0.05333333333333334</v>
      </c>
      <c r="I67" s="28">
        <v>0.0</v>
      </c>
      <c r="J67" s="1006">
        <v>0.0</v>
      </c>
      <c r="K67" s="1081">
        <v>0.06097560975609756</v>
      </c>
      <c r="L67" s="281">
        <v>0.9688</v>
      </c>
    </row>
    <row r="68" ht="22.5" hidden="1" customHeight="1">
      <c r="A68" s="5" t="s">
        <v>383</v>
      </c>
      <c r="B68" s="5" t="s">
        <v>33</v>
      </c>
      <c r="C68" s="699">
        <v>151.0</v>
      </c>
      <c r="D68" s="699">
        <v>1.0</v>
      </c>
      <c r="E68" s="1083">
        <v>0.006622516556291391</v>
      </c>
      <c r="F68" s="28">
        <v>0.0</v>
      </c>
      <c r="G68" s="999">
        <v>5.0</v>
      </c>
      <c r="H68" s="714">
        <v>0.033112582781456956</v>
      </c>
      <c r="I68" s="28">
        <v>0.0</v>
      </c>
      <c r="J68" s="1006">
        <v>6.0</v>
      </c>
      <c r="K68" s="1084">
        <v>0.07575757575757576</v>
      </c>
      <c r="L68" s="281">
        <v>0.9671</v>
      </c>
    </row>
    <row r="69" ht="22.5" hidden="1" customHeight="1">
      <c r="A69" s="5" t="s">
        <v>383</v>
      </c>
      <c r="B69" s="5" t="s">
        <v>19</v>
      </c>
      <c r="C69" s="699">
        <v>255.0</v>
      </c>
      <c r="D69" s="699">
        <v>0.0</v>
      </c>
      <c r="E69" s="714">
        <v>0.0</v>
      </c>
      <c r="F69" s="28">
        <v>0.0</v>
      </c>
      <c r="G69" s="999">
        <v>12.0</v>
      </c>
      <c r="H69" s="714">
        <v>0.047058823529411764</v>
      </c>
      <c r="I69" s="28">
        <v>0.0</v>
      </c>
      <c r="J69" s="1006">
        <v>15.0</v>
      </c>
      <c r="K69" s="1086">
        <v>0.04054054054054054</v>
      </c>
      <c r="L69" s="278">
        <v>0.93</v>
      </c>
    </row>
    <row r="70" ht="22.5" hidden="1" customHeight="1">
      <c r="A70" s="5" t="s">
        <v>383</v>
      </c>
      <c r="B70" s="5" t="s">
        <v>63</v>
      </c>
      <c r="C70" s="699">
        <v>109.0</v>
      </c>
      <c r="D70" s="699">
        <v>0.0</v>
      </c>
      <c r="E70" s="714">
        <v>0.0</v>
      </c>
      <c r="F70" s="28">
        <v>0.0</v>
      </c>
      <c r="G70" s="999">
        <v>0.0</v>
      </c>
      <c r="H70" s="714">
        <v>0.0</v>
      </c>
      <c r="I70" s="28">
        <v>0.0</v>
      </c>
      <c r="J70" s="1006">
        <v>2.0</v>
      </c>
      <c r="K70" s="1092">
        <v>0.019230769230769232</v>
      </c>
      <c r="L70" s="281">
        <v>0.9761</v>
      </c>
    </row>
    <row r="71" ht="22.5" hidden="1" customHeight="1">
      <c r="A71" s="5" t="s">
        <v>383</v>
      </c>
      <c r="B71" s="5" t="s">
        <v>58</v>
      </c>
      <c r="C71" s="699">
        <v>109.0</v>
      </c>
      <c r="D71" s="699">
        <v>0.0</v>
      </c>
      <c r="E71" s="714">
        <v>0.0</v>
      </c>
      <c r="F71" s="28">
        <v>0.0</v>
      </c>
      <c r="G71" s="999">
        <v>3.0</v>
      </c>
      <c r="H71" s="714">
        <v>0.027522935779816515</v>
      </c>
      <c r="I71" s="28">
        <v>0.0</v>
      </c>
      <c r="J71" s="1097">
        <v>5.0</v>
      </c>
      <c r="K71" s="1098">
        <v>0.046296296296296294</v>
      </c>
      <c r="L71" s="289">
        <v>0.9832</v>
      </c>
    </row>
    <row r="72" ht="22.5" hidden="1" customHeight="1">
      <c r="A72" s="5" t="s">
        <v>383</v>
      </c>
      <c r="B72" s="5" t="s">
        <v>77</v>
      </c>
      <c r="C72" s="699">
        <v>105.0</v>
      </c>
      <c r="D72" s="699">
        <v>3.0</v>
      </c>
      <c r="E72" s="1100">
        <v>0.02857142857142857</v>
      </c>
      <c r="F72" s="28">
        <v>0.0</v>
      </c>
      <c r="G72" s="999">
        <v>3.0</v>
      </c>
      <c r="H72" s="714">
        <v>0.02857142857142857</v>
      </c>
      <c r="I72" s="28">
        <v>0.0</v>
      </c>
      <c r="J72" s="1006">
        <v>1.0</v>
      </c>
      <c r="K72" s="1102">
        <v>0.00980392156862745</v>
      </c>
      <c r="L72" s="278">
        <v>0.9287</v>
      </c>
    </row>
    <row r="73" ht="22.5" hidden="1" customHeight="1">
      <c r="A73" s="5" t="s">
        <v>383</v>
      </c>
      <c r="B73" s="5" t="s">
        <v>82</v>
      </c>
      <c r="C73" s="699">
        <v>70.0</v>
      </c>
      <c r="D73" s="699">
        <v>0.0</v>
      </c>
      <c r="E73" s="714">
        <v>0.0</v>
      </c>
      <c r="F73" s="28">
        <v>0.0</v>
      </c>
      <c r="G73" s="999">
        <v>0.0</v>
      </c>
      <c r="H73" s="714">
        <v>0.0</v>
      </c>
      <c r="I73" s="28">
        <v>0.0</v>
      </c>
      <c r="J73" s="1006">
        <v>3.0</v>
      </c>
      <c r="K73" s="1103">
        <v>0.04285714285714286</v>
      </c>
      <c r="L73" s="281">
        <v>0.996</v>
      </c>
    </row>
    <row r="74" ht="22.5" hidden="1" customHeight="1">
      <c r="A74" s="5" t="s">
        <v>383</v>
      </c>
      <c r="B74" s="5" t="s">
        <v>39</v>
      </c>
      <c r="C74" s="699">
        <v>26.0</v>
      </c>
      <c r="D74" s="699">
        <v>1.0</v>
      </c>
      <c r="E74" s="714">
        <v>0.038461538461538464</v>
      </c>
      <c r="F74" s="28">
        <v>0.0</v>
      </c>
      <c r="G74" s="999">
        <v>1.0</v>
      </c>
      <c r="H74" s="714">
        <v>0.038461538461538464</v>
      </c>
      <c r="I74" s="28">
        <v>0.0</v>
      </c>
      <c r="J74" s="1006">
        <v>4.0</v>
      </c>
      <c r="K74" s="1104">
        <v>0.17391304347826086</v>
      </c>
      <c r="L74" s="281">
        <v>1.0</v>
      </c>
    </row>
    <row r="75" ht="22.5" hidden="1" customHeight="1">
      <c r="A75" s="5" t="s">
        <v>383</v>
      </c>
      <c r="B75" s="5" t="s">
        <v>59</v>
      </c>
      <c r="C75" s="699">
        <v>39.0</v>
      </c>
      <c r="D75" s="699">
        <v>4.0</v>
      </c>
      <c r="E75" s="1105">
        <v>0.10256410256410256</v>
      </c>
      <c r="F75" s="28">
        <v>0.0</v>
      </c>
      <c r="G75" s="999">
        <v>0.0</v>
      </c>
      <c r="H75" s="714">
        <v>0.0</v>
      </c>
      <c r="I75" s="28">
        <v>0.0</v>
      </c>
      <c r="J75" s="1006">
        <v>1.0</v>
      </c>
      <c r="K75" s="1106">
        <v>0.029411764705882353</v>
      </c>
      <c r="L75" s="281">
        <v>0.9945</v>
      </c>
    </row>
    <row r="76" ht="22.5" hidden="1" customHeight="1">
      <c r="A76" s="5" t="s">
        <v>383</v>
      </c>
      <c r="B76" s="5" t="s">
        <v>114</v>
      </c>
      <c r="C76" s="699">
        <v>146.0</v>
      </c>
      <c r="D76" s="699">
        <v>1.0</v>
      </c>
      <c r="E76" s="1083">
        <v>0.00684931506849315</v>
      </c>
      <c r="F76" s="28">
        <v>0.0</v>
      </c>
      <c r="G76" s="999">
        <v>7.0</v>
      </c>
      <c r="H76" s="714">
        <v>0.04794520547945205</v>
      </c>
      <c r="I76" s="28">
        <v>0.0</v>
      </c>
      <c r="J76" s="1006">
        <v>9.0</v>
      </c>
      <c r="K76" s="1107">
        <v>0.06382978723404255</v>
      </c>
      <c r="L76" s="281">
        <v>0.9622</v>
      </c>
    </row>
    <row r="77" ht="22.5" hidden="1" customHeight="1">
      <c r="A77" s="5" t="s">
        <v>383</v>
      </c>
      <c r="B77" s="5" t="s">
        <v>136</v>
      </c>
      <c r="C77" s="699">
        <v>74.0</v>
      </c>
      <c r="D77" s="699">
        <v>0.0</v>
      </c>
      <c r="E77" s="714">
        <v>0.0</v>
      </c>
      <c r="F77" s="28">
        <v>0.0</v>
      </c>
      <c r="G77" s="999">
        <v>1.0</v>
      </c>
      <c r="H77" s="714">
        <v>0.013513513513513514</v>
      </c>
      <c r="I77" s="28">
        <v>0.0</v>
      </c>
      <c r="J77" s="1006">
        <v>8.0</v>
      </c>
      <c r="K77" s="1108">
        <v>0.11267605633802817</v>
      </c>
      <c r="L77" s="281">
        <v>0.9971</v>
      </c>
    </row>
    <row r="78" ht="22.5" hidden="1" customHeight="1">
      <c r="A78" s="5" t="s">
        <v>383</v>
      </c>
      <c r="B78" s="96" t="s">
        <v>501</v>
      </c>
      <c r="C78" s="273">
        <v>96.0</v>
      </c>
      <c r="D78" s="273">
        <v>1.0</v>
      </c>
      <c r="E78" s="1109">
        <v>0.010416666666666666</v>
      </c>
      <c r="F78" s="28">
        <v>0.0</v>
      </c>
      <c r="G78" s="511">
        <v>2.0</v>
      </c>
      <c r="H78" s="276">
        <v>0.020833333333333332</v>
      </c>
      <c r="I78" s="28">
        <v>0.0</v>
      </c>
      <c r="J78" s="275">
        <v>2.0</v>
      </c>
      <c r="K78" s="1110">
        <v>0.021505376344086023</v>
      </c>
      <c r="L78" s="281">
        <v>0.9944</v>
      </c>
    </row>
    <row r="79" ht="22.5" hidden="1" customHeight="1">
      <c r="A79" s="5" t="s">
        <v>383</v>
      </c>
      <c r="B79" s="35" t="s">
        <v>79</v>
      </c>
      <c r="C79" s="273">
        <v>134.0</v>
      </c>
      <c r="D79" s="273">
        <v>0.0</v>
      </c>
      <c r="E79" s="276">
        <v>0.0</v>
      </c>
      <c r="F79" s="28">
        <v>0.0</v>
      </c>
      <c r="G79" s="511">
        <v>4.0</v>
      </c>
      <c r="H79" s="276">
        <v>0.029850746268656716</v>
      </c>
      <c r="I79" s="28">
        <v>0.0</v>
      </c>
      <c r="J79" s="275">
        <v>1.0</v>
      </c>
      <c r="K79" s="1111">
        <v>0.007575757575757576</v>
      </c>
      <c r="L79" s="281">
        <v>0.9979</v>
      </c>
    </row>
    <row r="80" ht="22.5" hidden="1" customHeight="1">
      <c r="A80" s="5" t="s">
        <v>383</v>
      </c>
      <c r="B80" s="5" t="s">
        <v>45</v>
      </c>
      <c r="C80" s="273">
        <v>101.0</v>
      </c>
      <c r="D80" s="273">
        <v>1.0</v>
      </c>
      <c r="E80" s="580">
        <v>0.009900990099009901</v>
      </c>
      <c r="F80" s="28">
        <v>0.0</v>
      </c>
      <c r="G80" s="511">
        <v>2.0</v>
      </c>
      <c r="H80" s="276">
        <v>0.019801980198019802</v>
      </c>
      <c r="I80" s="28">
        <v>0.0</v>
      </c>
      <c r="J80" s="275">
        <v>5.0</v>
      </c>
      <c r="K80" s="1112">
        <v>0.05102040816326531</v>
      </c>
      <c r="L80" s="281">
        <v>0.9908</v>
      </c>
    </row>
    <row r="81" ht="22.5" hidden="1" customHeight="1">
      <c r="A81" s="5" t="s">
        <v>383</v>
      </c>
      <c r="B81" s="5" t="s">
        <v>123</v>
      </c>
      <c r="C81" s="273">
        <v>65.0</v>
      </c>
      <c r="D81" s="273">
        <v>0.0</v>
      </c>
      <c r="E81" s="276">
        <v>0.0</v>
      </c>
      <c r="F81" s="28">
        <v>0.0</v>
      </c>
      <c r="G81" s="511">
        <v>3.0</v>
      </c>
      <c r="H81" s="276">
        <v>0.046153846153846156</v>
      </c>
      <c r="I81" s="28">
        <v>0.0</v>
      </c>
      <c r="J81" s="275">
        <v>4.0</v>
      </c>
      <c r="K81" s="1113">
        <v>0.06153846153846154</v>
      </c>
      <c r="L81" s="281">
        <v>0.9885</v>
      </c>
    </row>
    <row r="82" ht="22.5" hidden="1" customHeight="1">
      <c r="A82" s="5" t="s">
        <v>383</v>
      </c>
      <c r="B82" s="5" t="s">
        <v>153</v>
      </c>
      <c r="C82" s="273">
        <v>44.0</v>
      </c>
      <c r="D82" s="273">
        <v>0.0</v>
      </c>
      <c r="E82" s="276">
        <v>0.0</v>
      </c>
      <c r="F82" s="28">
        <v>0.0</v>
      </c>
      <c r="G82" s="511">
        <v>3.0</v>
      </c>
      <c r="H82" s="276">
        <v>0.06818181818181818</v>
      </c>
      <c r="I82" s="28">
        <v>0.0</v>
      </c>
      <c r="J82" s="275">
        <v>3.0</v>
      </c>
      <c r="K82" s="1114">
        <v>0.07142857142857142</v>
      </c>
      <c r="L82" s="281">
        <v>0.9993</v>
      </c>
    </row>
    <row r="83" ht="22.5" hidden="1" customHeight="1">
      <c r="A83" s="5" t="s">
        <v>383</v>
      </c>
      <c r="B83" s="5" t="s">
        <v>159</v>
      </c>
      <c r="C83" s="273">
        <v>62.0</v>
      </c>
      <c r="D83" s="273">
        <v>2.0</v>
      </c>
      <c r="E83" s="599">
        <v>0.03225806451612903</v>
      </c>
      <c r="F83" s="28">
        <v>0.0</v>
      </c>
      <c r="G83" s="511">
        <v>1.0</v>
      </c>
      <c r="H83" s="276">
        <v>0.016129032258064516</v>
      </c>
      <c r="I83" s="28">
        <v>0.0</v>
      </c>
      <c r="J83" s="275">
        <v>5.0</v>
      </c>
      <c r="K83" s="1115">
        <v>0.08333333333333333</v>
      </c>
      <c r="L83" s="278">
        <v>0.9258</v>
      </c>
    </row>
    <row r="84" ht="22.5" hidden="1" customHeight="1">
      <c r="A84" s="5" t="s">
        <v>383</v>
      </c>
      <c r="B84" s="5" t="s">
        <v>26</v>
      </c>
      <c r="C84" s="273">
        <v>285.0</v>
      </c>
      <c r="D84" s="273">
        <v>0.0</v>
      </c>
      <c r="E84" s="276">
        <v>0.0</v>
      </c>
      <c r="F84" s="28">
        <v>0.0</v>
      </c>
      <c r="G84" s="511">
        <v>5.0</v>
      </c>
      <c r="H84" s="276">
        <v>0.017543859649122806</v>
      </c>
      <c r="I84" s="28">
        <v>0.0</v>
      </c>
      <c r="J84" s="275">
        <v>6.0</v>
      </c>
      <c r="K84" s="1118">
        <v>0.02120141342756184</v>
      </c>
      <c r="L84" s="281">
        <v>0.979</v>
      </c>
    </row>
    <row r="85" ht="22.5" hidden="1" customHeight="1">
      <c r="A85" s="5" t="s">
        <v>383</v>
      </c>
      <c r="B85" s="5" t="s">
        <v>23</v>
      </c>
      <c r="C85" s="273">
        <v>203.0</v>
      </c>
      <c r="D85" s="273">
        <v>2.0</v>
      </c>
      <c r="E85" s="580">
        <v>0.009852216748768473</v>
      </c>
      <c r="F85" s="28">
        <v>0.0</v>
      </c>
      <c r="G85" s="511">
        <v>11.0</v>
      </c>
      <c r="H85" s="276">
        <v>0.054187192118226604</v>
      </c>
      <c r="I85" s="28">
        <v>0.0</v>
      </c>
      <c r="J85" s="77">
        <v>15.0</v>
      </c>
      <c r="K85" s="1120">
        <v>0.07575757575757576</v>
      </c>
      <c r="L85" s="289">
        <v>1.0</v>
      </c>
    </row>
    <row r="86" ht="22.5" hidden="1" customHeight="1">
      <c r="A86" s="233"/>
      <c r="B86" s="234"/>
      <c r="C86" s="341"/>
      <c r="D86" s="341"/>
      <c r="E86" s="342"/>
      <c r="F86" s="343"/>
      <c r="G86" s="341"/>
      <c r="H86" s="1085"/>
      <c r="I86" s="344"/>
      <c r="J86" s="341"/>
      <c r="K86" s="342"/>
      <c r="L86" s="1087"/>
    </row>
    <row r="87" ht="22.5" hidden="1" customHeight="1">
      <c r="A87" s="233"/>
      <c r="B87" s="234"/>
      <c r="C87" s="345"/>
      <c r="D87" s="345"/>
      <c r="E87" s="1088"/>
      <c r="F87" s="1089"/>
      <c r="G87" s="345"/>
      <c r="H87" s="1090"/>
      <c r="I87" s="1091"/>
      <c r="J87" s="345"/>
      <c r="K87" s="1088"/>
      <c r="L87" s="1087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108"/>
      <c r="F90" s="108"/>
      <c r="G90" s="108"/>
      <c r="H90" s="1093"/>
      <c r="I90" s="315"/>
      <c r="J90" s="108"/>
      <c r="K90" s="108"/>
      <c r="L90" s="108"/>
    </row>
    <row r="91">
      <c r="C91" s="108"/>
      <c r="D91" s="108"/>
      <c r="E91" s="526"/>
      <c r="G91" s="588"/>
      <c r="H91" s="1099"/>
      <c r="I91" s="314"/>
      <c r="J91" s="79"/>
      <c r="K91" s="79"/>
      <c r="L91" s="79"/>
    </row>
    <row r="92">
      <c r="C92" s="108"/>
      <c r="D92" s="108"/>
      <c r="E92" s="526"/>
      <c r="G92" s="588"/>
      <c r="H92" s="1099"/>
      <c r="I92" s="314"/>
      <c r="J92" s="79"/>
      <c r="K92" s="79"/>
      <c r="L92" s="79"/>
    </row>
    <row r="93">
      <c r="C93" s="108"/>
      <c r="D93" s="108"/>
      <c r="E93" s="526"/>
      <c r="G93" s="1058"/>
      <c r="H93" s="1101"/>
      <c r="I93" s="314"/>
      <c r="J93" s="79"/>
      <c r="K93" s="79"/>
      <c r="L93" s="79"/>
    </row>
    <row r="94">
      <c r="C94" s="108"/>
      <c r="D94" s="245"/>
      <c r="E94" s="246"/>
      <c r="F94" s="246"/>
      <c r="G94" s="246"/>
      <c r="H94" s="1101"/>
      <c r="I94" s="314"/>
      <c r="J94" s="79"/>
      <c r="K94" s="79"/>
      <c r="L94" s="79"/>
    </row>
    <row r="95">
      <c r="C95" s="108"/>
      <c r="E95" s="247"/>
      <c r="F95" s="1128"/>
      <c r="G95" s="247"/>
      <c r="H95" s="1101"/>
      <c r="I95" s="314"/>
      <c r="J95" s="79"/>
      <c r="K95" s="79"/>
      <c r="L95" s="79"/>
    </row>
    <row r="96">
      <c r="C96" s="108"/>
      <c r="E96" s="247"/>
      <c r="F96" s="1128"/>
      <c r="G96" s="247"/>
      <c r="H96" s="1101"/>
      <c r="I96" s="314"/>
      <c r="J96" s="79"/>
      <c r="K96" s="79"/>
      <c r="L96" s="79"/>
    </row>
    <row r="97">
      <c r="C97" s="108"/>
      <c r="E97" s="247"/>
      <c r="F97" s="1128"/>
      <c r="G97" s="247"/>
      <c r="H97" s="1101"/>
      <c r="I97" s="314"/>
      <c r="J97" s="79"/>
      <c r="K97" s="79"/>
      <c r="L97" s="79"/>
    </row>
    <row r="98">
      <c r="C98" s="108"/>
      <c r="E98" s="247"/>
      <c r="F98" s="1128"/>
      <c r="G98" s="247"/>
      <c r="H98" s="1101"/>
      <c r="I98" s="314"/>
      <c r="J98" s="79"/>
      <c r="K98" s="79"/>
      <c r="L98" s="79"/>
    </row>
    <row r="99">
      <c r="C99" s="108"/>
      <c r="E99" s="247"/>
      <c r="F99" s="1128"/>
      <c r="G99" s="247"/>
      <c r="H99" s="1101"/>
      <c r="I99" s="314"/>
      <c r="J99" s="79"/>
      <c r="K99" s="79"/>
      <c r="L99" s="79"/>
    </row>
    <row r="100">
      <c r="C100" s="108"/>
      <c r="E100" s="247"/>
      <c r="F100" s="1128"/>
      <c r="G100" s="247"/>
      <c r="H100" s="1101"/>
      <c r="I100" s="314"/>
      <c r="J100" s="79"/>
      <c r="K100" s="79"/>
      <c r="L100" s="79"/>
    </row>
    <row r="101">
      <c r="C101" s="79"/>
      <c r="E101" s="247"/>
      <c r="F101" s="1128"/>
      <c r="G101" s="247"/>
      <c r="H101" s="1101"/>
      <c r="I101" s="314"/>
      <c r="J101" s="79"/>
      <c r="K101" s="79"/>
      <c r="L101" s="79"/>
    </row>
    <row r="102">
      <c r="C102" s="79"/>
      <c r="E102" s="247"/>
      <c r="F102" s="1128"/>
      <c r="G102" s="247"/>
      <c r="H102" s="1101"/>
      <c r="I102" s="314"/>
      <c r="J102" s="79"/>
      <c r="K102" s="79"/>
      <c r="L102" s="79"/>
    </row>
    <row r="103">
      <c r="C103" s="79"/>
      <c r="E103" s="247"/>
      <c r="F103" s="1128"/>
      <c r="G103" s="247"/>
      <c r="H103" s="1101"/>
      <c r="I103" s="314"/>
      <c r="J103" s="79"/>
      <c r="K103" s="79"/>
      <c r="L103" s="79"/>
    </row>
    <row r="104">
      <c r="C104" s="79"/>
      <c r="E104" s="247"/>
      <c r="F104" s="1128"/>
      <c r="G104" s="247"/>
      <c r="H104" s="1101"/>
      <c r="I104" s="314"/>
      <c r="J104" s="79"/>
      <c r="K104" s="79"/>
      <c r="L104" s="79"/>
    </row>
    <row r="105">
      <c r="C105" s="79"/>
      <c r="E105" s="247"/>
      <c r="F105" s="1128"/>
      <c r="G105" s="247"/>
      <c r="H105" s="1101"/>
      <c r="I105" s="314"/>
      <c r="J105" s="79"/>
      <c r="K105" s="79"/>
      <c r="L105" s="79"/>
    </row>
    <row r="106">
      <c r="C106" s="79"/>
      <c r="E106" s="247"/>
      <c r="F106" s="1128"/>
      <c r="G106" s="247"/>
      <c r="H106" s="1101"/>
      <c r="I106" s="314"/>
      <c r="J106" s="79"/>
      <c r="K106" s="79"/>
      <c r="L106" s="79"/>
    </row>
    <row r="107">
      <c r="C107" s="79"/>
      <c r="E107" s="247"/>
      <c r="F107" s="1128"/>
      <c r="G107" s="247"/>
      <c r="H107" s="1101"/>
      <c r="I107" s="314"/>
      <c r="J107" s="79"/>
      <c r="K107" s="79"/>
      <c r="L107" s="79"/>
    </row>
    <row r="108">
      <c r="C108" s="79"/>
      <c r="E108" s="247"/>
      <c r="F108" s="1128"/>
      <c r="G108" s="247"/>
      <c r="H108" s="1101"/>
      <c r="I108" s="314"/>
      <c r="J108" s="79"/>
      <c r="K108" s="79"/>
      <c r="L108" s="79"/>
    </row>
    <row r="109">
      <c r="C109" s="79"/>
      <c r="E109" s="247"/>
      <c r="F109" s="1128"/>
      <c r="G109" s="247"/>
      <c r="H109" s="1101"/>
      <c r="I109" s="314"/>
      <c r="J109" s="79"/>
      <c r="K109" s="79"/>
      <c r="L109" s="79"/>
    </row>
    <row r="110">
      <c r="C110" s="79"/>
      <c r="E110" s="247"/>
      <c r="F110" s="1128"/>
      <c r="G110" s="247"/>
      <c r="H110" s="1101"/>
      <c r="I110" s="314"/>
      <c r="J110" s="79"/>
      <c r="K110" s="79"/>
      <c r="L110" s="79"/>
    </row>
    <row r="111">
      <c r="C111" s="79"/>
      <c r="E111" s="247"/>
      <c r="F111" s="1128"/>
      <c r="G111" s="247"/>
      <c r="H111" s="1101"/>
      <c r="I111" s="314"/>
      <c r="J111" s="79"/>
      <c r="K111" s="79"/>
      <c r="L111" s="79"/>
    </row>
    <row r="112">
      <c r="C112" s="79"/>
      <c r="E112" s="247"/>
      <c r="F112" s="1128"/>
      <c r="G112" s="247"/>
      <c r="H112" s="1101"/>
      <c r="I112" s="314"/>
      <c r="J112" s="79"/>
      <c r="K112" s="79"/>
      <c r="L112" s="79"/>
    </row>
    <row r="113">
      <c r="C113" s="79"/>
      <c r="E113" s="247"/>
      <c r="F113" s="1128"/>
      <c r="G113" s="247"/>
      <c r="H113" s="1101"/>
      <c r="I113" s="314"/>
      <c r="J113" s="79"/>
      <c r="K113" s="79"/>
      <c r="L113" s="79"/>
    </row>
    <row r="114">
      <c r="C114" s="79"/>
      <c r="E114" s="247"/>
      <c r="F114" s="1128"/>
      <c r="G114" s="247"/>
      <c r="H114" s="1101"/>
      <c r="I114" s="314"/>
      <c r="J114" s="79"/>
      <c r="K114" s="79"/>
      <c r="L114" s="79"/>
    </row>
    <row r="115">
      <c r="C115" s="79"/>
      <c r="E115" s="247"/>
      <c r="F115" s="1128"/>
      <c r="G115" s="247"/>
      <c r="H115" s="1101"/>
      <c r="I115" s="314"/>
      <c r="J115" s="79"/>
      <c r="K115" s="79"/>
      <c r="L115" s="79"/>
    </row>
    <row r="116">
      <c r="C116" s="79"/>
      <c r="E116" s="247"/>
      <c r="F116" s="1128"/>
      <c r="G116" s="247"/>
      <c r="H116" s="1101"/>
      <c r="I116" s="314"/>
      <c r="J116" s="79"/>
      <c r="K116" s="79"/>
      <c r="L116" s="79"/>
    </row>
    <row r="117">
      <c r="C117" s="79"/>
      <c r="E117" s="247"/>
      <c r="F117" s="1128"/>
      <c r="G117" s="247"/>
      <c r="H117" s="1101"/>
      <c r="I117" s="314"/>
      <c r="J117" s="79"/>
      <c r="K117" s="79"/>
      <c r="L117" s="79"/>
    </row>
    <row r="118">
      <c r="C118" s="79"/>
      <c r="E118" s="247"/>
      <c r="F118" s="1128"/>
      <c r="G118" s="247"/>
      <c r="H118" s="1101"/>
      <c r="I118" s="314"/>
      <c r="J118" s="79"/>
      <c r="K118" s="79"/>
      <c r="L118" s="79"/>
    </row>
    <row r="119">
      <c r="C119" s="79"/>
      <c r="E119" s="1132"/>
      <c r="F119" s="1132"/>
      <c r="G119" s="1132"/>
      <c r="H119" s="1101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252"/>
      <c r="I743" s="314"/>
      <c r="J743" s="79"/>
      <c r="K743" s="79"/>
      <c r="L743" s="79"/>
    </row>
  </sheetData>
  <dataValidations>
    <dataValidation allowBlank="1" showDropDown="1" sqref="L2:L8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3</v>
      </c>
      <c r="E1" s="264" t="s">
        <v>4</v>
      </c>
      <c r="F1" s="779" t="s">
        <v>12</v>
      </c>
      <c r="G1" s="264" t="s">
        <v>5</v>
      </c>
      <c r="H1" s="780" t="s">
        <v>6</v>
      </c>
      <c r="I1" s="781" t="s">
        <v>7</v>
      </c>
      <c r="J1" s="264" t="s">
        <v>8</v>
      </c>
      <c r="K1" s="264" t="s">
        <v>9</v>
      </c>
      <c r="L1" s="147" t="s">
        <v>10</v>
      </c>
    </row>
    <row r="2" ht="22.5" customHeight="1">
      <c r="A2" s="5" t="s">
        <v>11</v>
      </c>
      <c r="B2" s="5" t="s">
        <v>15</v>
      </c>
      <c r="C2" s="340">
        <v>1566.0</v>
      </c>
      <c r="D2" s="832">
        <v>2.0</v>
      </c>
      <c r="E2" s="867">
        <v>0.0013</v>
      </c>
      <c r="F2" s="553" t="s">
        <v>1478</v>
      </c>
      <c r="G2" s="1116">
        <v>30.0</v>
      </c>
      <c r="H2" s="978">
        <v>0.0192</v>
      </c>
      <c r="I2" s="556" t="s">
        <v>1923</v>
      </c>
      <c r="J2" s="1117">
        <v>235.0</v>
      </c>
      <c r="K2" s="787">
        <v>0.1669</v>
      </c>
      <c r="L2" s="794">
        <f>(100-12.95)</f>
        <v>87.05</v>
      </c>
    </row>
    <row r="3" ht="22.5" customHeight="1">
      <c r="A3" s="5" t="s">
        <v>11</v>
      </c>
      <c r="B3" s="5" t="s">
        <v>13</v>
      </c>
      <c r="C3" s="340">
        <v>5509.0</v>
      </c>
      <c r="D3" s="341">
        <v>1.0</v>
      </c>
      <c r="E3" s="342">
        <v>2.0E-4</v>
      </c>
      <c r="F3" s="553" t="s">
        <v>1624</v>
      </c>
      <c r="G3" s="869">
        <v>111.0</v>
      </c>
      <c r="H3" s="967">
        <v>0.0201</v>
      </c>
      <c r="I3" s="556" t="s">
        <v>1924</v>
      </c>
      <c r="J3" s="1119">
        <v>455.0</v>
      </c>
      <c r="K3" s="815">
        <v>0.089</v>
      </c>
      <c r="L3" s="794">
        <f>100-3.03</f>
        <v>96.97</v>
      </c>
    </row>
    <row r="4" ht="22.5" customHeight="1">
      <c r="A4" s="5" t="s">
        <v>11</v>
      </c>
      <c r="B4" s="5" t="s">
        <v>27</v>
      </c>
      <c r="C4" s="340">
        <v>2715.0</v>
      </c>
      <c r="D4" s="341">
        <v>1.0</v>
      </c>
      <c r="E4" s="1121">
        <v>4.0E-4</v>
      </c>
      <c r="F4" s="553" t="s">
        <v>1624</v>
      </c>
      <c r="G4" s="1122">
        <v>43.0</v>
      </c>
      <c r="H4" s="1123">
        <v>0.0158</v>
      </c>
      <c r="I4" s="556" t="s">
        <v>1925</v>
      </c>
      <c r="J4" s="1124">
        <v>259.0</v>
      </c>
      <c r="K4" s="839">
        <v>0.1038</v>
      </c>
      <c r="L4" s="812">
        <f>100-2.81</f>
        <v>97.19</v>
      </c>
    </row>
    <row r="5" ht="22.5" customHeight="1">
      <c r="A5" s="5" t="s">
        <v>11</v>
      </c>
      <c r="B5" s="5" t="s">
        <v>33</v>
      </c>
      <c r="C5" s="340">
        <v>3299.0</v>
      </c>
      <c r="D5" s="1125">
        <v>7.0</v>
      </c>
      <c r="E5" s="1126">
        <v>0.0021</v>
      </c>
      <c r="F5" s="553" t="s">
        <v>1926</v>
      </c>
      <c r="G5" s="1127">
        <v>62.0</v>
      </c>
      <c r="H5" s="798">
        <v>0.0188</v>
      </c>
      <c r="I5" s="556" t="s">
        <v>1927</v>
      </c>
      <c r="J5" s="1129">
        <v>344.0</v>
      </c>
      <c r="K5" s="995">
        <v>0.1147</v>
      </c>
      <c r="L5" s="794">
        <f>100-3.73</f>
        <v>96.27</v>
      </c>
    </row>
    <row r="6" ht="22.5" customHeight="1">
      <c r="A6" s="5" t="s">
        <v>11</v>
      </c>
      <c r="B6" s="5" t="s">
        <v>918</v>
      </c>
      <c r="C6" s="340">
        <v>756.0</v>
      </c>
      <c r="D6" s="340" t="s">
        <v>17</v>
      </c>
      <c r="E6" s="782" t="s">
        <v>17</v>
      </c>
      <c r="F6" s="553" t="s">
        <v>17</v>
      </c>
      <c r="G6" s="1130">
        <v>12.0</v>
      </c>
      <c r="H6" s="1131">
        <v>0.0172</v>
      </c>
      <c r="I6" s="556" t="s">
        <v>1928</v>
      </c>
      <c r="J6" s="341">
        <v>25.0</v>
      </c>
      <c r="K6" s="342">
        <v>0.035</v>
      </c>
      <c r="L6" s="878">
        <f>100-0.11</f>
        <v>99.89</v>
      </c>
    </row>
    <row r="7" ht="22.5" customHeight="1">
      <c r="A7" s="5" t="s">
        <v>11</v>
      </c>
      <c r="B7" s="5" t="s">
        <v>19</v>
      </c>
      <c r="C7" s="340">
        <v>4805.0</v>
      </c>
      <c r="D7" s="1122">
        <v>5.0</v>
      </c>
      <c r="E7" s="1133">
        <v>0.001</v>
      </c>
      <c r="F7" s="553" t="s">
        <v>1929</v>
      </c>
      <c r="G7" s="1134">
        <v>75.0</v>
      </c>
      <c r="H7" s="1123">
        <v>0.0158</v>
      </c>
      <c r="I7" s="556" t="s">
        <v>1930</v>
      </c>
      <c r="J7" s="1135">
        <v>526.0</v>
      </c>
      <c r="K7" s="1136">
        <v>0.1157</v>
      </c>
      <c r="L7" s="891">
        <f>100-5.11</f>
        <v>94.89</v>
      </c>
    </row>
    <row r="8" ht="22.5" customHeight="1">
      <c r="A8" s="5" t="s">
        <v>11</v>
      </c>
      <c r="B8" s="5" t="s">
        <v>46</v>
      </c>
      <c r="C8" s="340">
        <v>372.0</v>
      </c>
      <c r="D8" s="979">
        <v>3.0</v>
      </c>
      <c r="E8" s="1137">
        <v>0.008</v>
      </c>
      <c r="F8" s="553" t="s">
        <v>1931</v>
      </c>
      <c r="G8" s="1138">
        <v>9.0</v>
      </c>
      <c r="H8" s="910">
        <v>0.0242</v>
      </c>
      <c r="I8" s="556" t="s">
        <v>1932</v>
      </c>
      <c r="J8" s="1139">
        <v>31.0</v>
      </c>
      <c r="K8" s="1140">
        <v>0.0925</v>
      </c>
      <c r="L8" s="891">
        <f>100-11.43</f>
        <v>88.57</v>
      </c>
    </row>
    <row r="9" ht="22.5" customHeight="1">
      <c r="A9" s="5" t="s">
        <v>11</v>
      </c>
      <c r="B9" s="5" t="s">
        <v>50</v>
      </c>
      <c r="C9" s="340">
        <v>1814.0</v>
      </c>
      <c r="D9" s="1141">
        <v>4.0</v>
      </c>
      <c r="E9" s="1142">
        <v>0.0022</v>
      </c>
      <c r="F9" s="553" t="s">
        <v>1933</v>
      </c>
      <c r="G9" s="1143">
        <v>30.0</v>
      </c>
      <c r="H9" s="1144">
        <v>0.0165</v>
      </c>
      <c r="I9" s="556" t="s">
        <v>1934</v>
      </c>
      <c r="J9" s="1145">
        <v>164.0</v>
      </c>
      <c r="K9" s="1146">
        <v>0.1012</v>
      </c>
      <c r="L9" s="891">
        <f>100-2.2</f>
        <v>97.8</v>
      </c>
    </row>
    <row r="10" ht="22.5" customHeight="1">
      <c r="A10" s="5" t="s">
        <v>11</v>
      </c>
      <c r="B10" s="5" t="s">
        <v>58</v>
      </c>
      <c r="C10" s="340">
        <v>2307.0</v>
      </c>
      <c r="D10" s="341">
        <v>1.0</v>
      </c>
      <c r="E10" s="1147">
        <v>4.0E-4</v>
      </c>
      <c r="F10" s="553" t="s">
        <v>1602</v>
      </c>
      <c r="G10" s="1148">
        <v>65.0</v>
      </c>
      <c r="H10" s="1149">
        <v>0.0282</v>
      </c>
      <c r="I10" s="556" t="s">
        <v>1935</v>
      </c>
      <c r="J10" s="1150">
        <v>113.0</v>
      </c>
      <c r="K10" s="908">
        <v>0.0515</v>
      </c>
      <c r="L10" s="891">
        <f>100-2.74</f>
        <v>97.26</v>
      </c>
    </row>
    <row r="11" ht="22.5" customHeight="1">
      <c r="A11" s="5" t="s">
        <v>11</v>
      </c>
      <c r="B11" s="5" t="s">
        <v>64</v>
      </c>
      <c r="C11" s="340">
        <v>1663.0</v>
      </c>
      <c r="D11" s="341">
        <v>1.0</v>
      </c>
      <c r="E11" s="1151">
        <v>6.0E-4</v>
      </c>
      <c r="F11" s="553" t="s">
        <v>915</v>
      </c>
      <c r="G11" s="1152">
        <v>18.0</v>
      </c>
      <c r="H11" s="1153">
        <v>0.0108</v>
      </c>
      <c r="I11" s="556" t="s">
        <v>1936</v>
      </c>
      <c r="J11" s="1154">
        <v>92.0</v>
      </c>
      <c r="K11" s="868">
        <v>0.0599</v>
      </c>
      <c r="L11" s="891">
        <f>100-0.42</f>
        <v>99.58</v>
      </c>
    </row>
    <row r="12" ht="22.5" customHeight="1">
      <c r="A12" s="5" t="s">
        <v>11</v>
      </c>
      <c r="B12" s="5" t="s">
        <v>71</v>
      </c>
      <c r="C12" s="340">
        <v>1583.0</v>
      </c>
      <c r="D12" s="340" t="s">
        <v>17</v>
      </c>
      <c r="E12" s="782" t="s">
        <v>17</v>
      </c>
      <c r="F12" s="553" t="s">
        <v>17</v>
      </c>
      <c r="G12" s="1155">
        <v>35.0</v>
      </c>
      <c r="H12" s="1156">
        <v>0.0221</v>
      </c>
      <c r="I12" s="556" t="s">
        <v>1937</v>
      </c>
      <c r="J12" s="1157">
        <v>241.0</v>
      </c>
      <c r="K12" s="1158">
        <v>0.1695</v>
      </c>
      <c r="L12" s="834">
        <f>100-0.35</f>
        <v>99.65</v>
      </c>
    </row>
    <row r="13" ht="22.5" customHeight="1">
      <c r="A13" s="5" t="s">
        <v>11</v>
      </c>
      <c r="B13" s="5" t="s">
        <v>77</v>
      </c>
      <c r="C13" s="340">
        <v>1764.0</v>
      </c>
      <c r="D13" s="979">
        <v>3.0</v>
      </c>
      <c r="E13" s="868">
        <v>0.0017</v>
      </c>
      <c r="F13" s="553" t="s">
        <v>1938</v>
      </c>
      <c r="G13" s="1159">
        <v>23.0</v>
      </c>
      <c r="H13" s="1142">
        <v>0.013</v>
      </c>
      <c r="I13" s="556" t="s">
        <v>1939</v>
      </c>
      <c r="J13" s="919">
        <v>155.0</v>
      </c>
      <c r="K13" s="1160">
        <v>0.0941</v>
      </c>
      <c r="L13" s="891">
        <f>100-3.95</f>
        <v>96.05</v>
      </c>
    </row>
    <row r="14" ht="22.5" customHeight="1">
      <c r="A14" s="5" t="s">
        <v>11</v>
      </c>
      <c r="B14" s="5" t="s">
        <v>82</v>
      </c>
      <c r="C14" s="340">
        <v>1765.0</v>
      </c>
      <c r="D14" s="341">
        <v>1.0</v>
      </c>
      <c r="E14" s="1161">
        <v>6.0E-4</v>
      </c>
      <c r="F14" s="553" t="s">
        <v>1607</v>
      </c>
      <c r="G14" s="1162">
        <v>20.0</v>
      </c>
      <c r="H14" s="801">
        <v>0.0113</v>
      </c>
      <c r="I14" s="556" t="s">
        <v>1940</v>
      </c>
      <c r="J14" s="828">
        <v>116.0</v>
      </c>
      <c r="K14" s="793">
        <v>0.0694</v>
      </c>
      <c r="L14" s="891">
        <f>100-3.23</f>
        <v>96.77</v>
      </c>
    </row>
    <row r="15" ht="22.5" customHeight="1">
      <c r="A15" s="5" t="s">
        <v>11</v>
      </c>
      <c r="B15" s="5" t="s">
        <v>90</v>
      </c>
      <c r="C15" s="340">
        <v>1861.0</v>
      </c>
      <c r="D15" s="341">
        <v>1.0</v>
      </c>
      <c r="E15" s="1163">
        <v>5.0E-4</v>
      </c>
      <c r="F15" s="553" t="s">
        <v>1723</v>
      </c>
      <c r="G15" s="1164">
        <v>26.0</v>
      </c>
      <c r="H15" s="1165">
        <v>0.014</v>
      </c>
      <c r="I15" s="556" t="s">
        <v>1941</v>
      </c>
      <c r="J15" s="1166">
        <v>179.0</v>
      </c>
      <c r="K15" s="839">
        <v>0.1038</v>
      </c>
      <c r="L15" s="891">
        <f>100-2.49</f>
        <v>97.51</v>
      </c>
    </row>
    <row r="16" ht="22.5" customHeight="1">
      <c r="A16" s="5" t="s">
        <v>11</v>
      </c>
      <c r="B16" s="5" t="s">
        <v>94</v>
      </c>
      <c r="C16" s="340">
        <v>1609.0</v>
      </c>
      <c r="D16" s="341">
        <v>1.0</v>
      </c>
      <c r="E16" s="1151">
        <v>6.0E-4</v>
      </c>
      <c r="F16" s="553" t="s">
        <v>1662</v>
      </c>
      <c r="G16" s="1167">
        <v>24.0</v>
      </c>
      <c r="H16" s="1168">
        <v>0.0155</v>
      </c>
      <c r="I16" s="556" t="s">
        <v>1942</v>
      </c>
      <c r="J16" s="1169">
        <v>119.0</v>
      </c>
      <c r="K16" s="980">
        <v>0.0841</v>
      </c>
      <c r="L16" s="891">
        <f>100-0.6</f>
        <v>99.4</v>
      </c>
    </row>
    <row r="17" ht="22.5" customHeight="1">
      <c r="A17" s="5" t="s">
        <v>11</v>
      </c>
      <c r="B17" s="5" t="s">
        <v>39</v>
      </c>
      <c r="C17" s="340">
        <v>3464.0</v>
      </c>
      <c r="D17" s="1125">
        <v>7.0</v>
      </c>
      <c r="E17" s="829">
        <v>0.002</v>
      </c>
      <c r="F17" s="553" t="s">
        <v>1943</v>
      </c>
      <c r="G17" s="947">
        <v>86.0</v>
      </c>
      <c r="H17" s="1170">
        <v>0.0248</v>
      </c>
      <c r="I17" s="556" t="s">
        <v>1944</v>
      </c>
      <c r="J17" s="869">
        <v>583.0</v>
      </c>
      <c r="K17" s="814">
        <v>0.1867</v>
      </c>
      <c r="L17" s="891">
        <f>100-7.82</f>
        <v>92.18</v>
      </c>
    </row>
    <row r="18" ht="22.5" customHeight="1">
      <c r="A18" s="5" t="s">
        <v>11</v>
      </c>
      <c r="B18" s="5" t="s">
        <v>104</v>
      </c>
      <c r="C18" s="1173">
        <v>727.0</v>
      </c>
      <c r="D18" s="1175">
        <v>6.0</v>
      </c>
      <c r="E18" s="1177">
        <v>0.0082</v>
      </c>
      <c r="F18" s="553" t="s">
        <v>1946</v>
      </c>
      <c r="G18" s="1180">
        <v>6.0</v>
      </c>
      <c r="H18" s="879"/>
      <c r="I18" s="556" t="s">
        <v>1948</v>
      </c>
      <c r="J18" s="881"/>
      <c r="K18" s="879"/>
      <c r="L18" s="834">
        <f>100-0.25</f>
        <v>99.75</v>
      </c>
    </row>
    <row r="19" ht="22.5" customHeight="1">
      <c r="A19" s="5" t="s">
        <v>11</v>
      </c>
      <c r="B19" s="5" t="s">
        <v>59</v>
      </c>
      <c r="C19" s="340">
        <v>2439.0</v>
      </c>
      <c r="D19" s="341">
        <v>1.0</v>
      </c>
      <c r="E19" s="552">
        <v>4.0E-4</v>
      </c>
      <c r="F19" s="553" t="s">
        <v>1676</v>
      </c>
      <c r="G19" s="1191">
        <v>39.0</v>
      </c>
      <c r="H19" s="790">
        <v>0.016</v>
      </c>
      <c r="I19" s="556" t="s">
        <v>1951</v>
      </c>
      <c r="J19" s="1117">
        <v>236.0</v>
      </c>
      <c r="K19" s="1194">
        <v>0.1</v>
      </c>
      <c r="L19" s="891">
        <f>100-5.31</f>
        <v>94.69</v>
      </c>
    </row>
    <row r="20" ht="22.5" customHeight="1">
      <c r="A20" s="5" t="s">
        <v>11</v>
      </c>
      <c r="B20" s="5" t="s">
        <v>114</v>
      </c>
      <c r="C20" s="340">
        <v>3128.0</v>
      </c>
      <c r="D20" s="1122">
        <v>5.0</v>
      </c>
      <c r="E20" s="833">
        <v>0.0016</v>
      </c>
      <c r="F20" s="553" t="s">
        <v>1954</v>
      </c>
      <c r="G20" s="1200">
        <v>63.0</v>
      </c>
      <c r="H20" s="784">
        <v>0.0205</v>
      </c>
      <c r="I20" s="556" t="s">
        <v>1955</v>
      </c>
      <c r="J20" s="1202">
        <v>274.0</v>
      </c>
      <c r="K20" s="1204">
        <v>0.0929</v>
      </c>
      <c r="L20" s="891">
        <f>100-3.59</f>
        <v>96.41</v>
      </c>
    </row>
    <row r="21" ht="22.5" customHeight="1">
      <c r="A21" s="5" t="s">
        <v>11</v>
      </c>
      <c r="B21" s="5" t="s">
        <v>119</v>
      </c>
      <c r="C21" s="340">
        <v>1619.0</v>
      </c>
      <c r="D21" s="341">
        <v>1.0</v>
      </c>
      <c r="E21" s="1151">
        <v>6.0E-4</v>
      </c>
      <c r="F21" s="553" t="s">
        <v>1624</v>
      </c>
      <c r="G21" s="817">
        <v>31.0</v>
      </c>
      <c r="H21" s="978">
        <v>0.0191</v>
      </c>
      <c r="I21" s="556" t="s">
        <v>1958</v>
      </c>
      <c r="J21" s="1207">
        <v>208.0</v>
      </c>
      <c r="K21" s="1209">
        <v>0.1416</v>
      </c>
      <c r="L21" s="891">
        <f>100-6.88</f>
        <v>93.12</v>
      </c>
    </row>
    <row r="22" ht="22.5" customHeight="1">
      <c r="A22" s="5" t="s">
        <v>11</v>
      </c>
      <c r="B22" s="5" t="s">
        <v>126</v>
      </c>
      <c r="C22" s="340">
        <v>1232.0</v>
      </c>
      <c r="D22" s="1141">
        <v>4.0</v>
      </c>
      <c r="E22" s="1213">
        <v>0.0032</v>
      </c>
      <c r="F22" s="553" t="s">
        <v>1960</v>
      </c>
      <c r="G22" s="1167">
        <v>24.0</v>
      </c>
      <c r="H22" s="1217">
        <v>0.0195</v>
      </c>
      <c r="I22" s="556" t="s">
        <v>1962</v>
      </c>
      <c r="J22" s="1219">
        <v>81.0</v>
      </c>
      <c r="K22" s="1220">
        <v>0.0704</v>
      </c>
      <c r="L22" s="891">
        <f>100-5.91</f>
        <v>94.09</v>
      </c>
    </row>
    <row r="23" ht="22.5" customHeight="1">
      <c r="A23" s="5" t="s">
        <v>11</v>
      </c>
      <c r="B23" s="5" t="s">
        <v>136</v>
      </c>
      <c r="C23" s="340">
        <v>1138.0</v>
      </c>
      <c r="D23" s="832">
        <v>2.0</v>
      </c>
      <c r="E23" s="558">
        <v>0.0018</v>
      </c>
      <c r="F23" s="553" t="s">
        <v>1965</v>
      </c>
      <c r="G23" s="987">
        <v>33.0</v>
      </c>
      <c r="H23" s="1228">
        <v>0.029</v>
      </c>
      <c r="I23" s="556" t="s">
        <v>1966</v>
      </c>
      <c r="J23" s="1229">
        <v>105.0</v>
      </c>
      <c r="K23" s="1146">
        <v>0.1014</v>
      </c>
      <c r="L23" s="891">
        <f>100-2.92</f>
        <v>97.08</v>
      </c>
    </row>
    <row r="24" ht="22.5" customHeight="1">
      <c r="A24" s="5" t="s">
        <v>11</v>
      </c>
      <c r="B24" s="5" t="s">
        <v>72</v>
      </c>
      <c r="C24" s="340">
        <v>1854.0</v>
      </c>
      <c r="D24" s="340" t="s">
        <v>17</v>
      </c>
      <c r="E24" s="782" t="s">
        <v>17</v>
      </c>
      <c r="F24" s="553" t="s">
        <v>17</v>
      </c>
      <c r="G24" s="1219">
        <v>15.0</v>
      </c>
      <c r="H24" s="1238">
        <v>0.0081</v>
      </c>
      <c r="I24" s="556" t="s">
        <v>1970</v>
      </c>
      <c r="J24" s="1241">
        <v>165.0</v>
      </c>
      <c r="K24" s="978">
        <v>0.0949</v>
      </c>
      <c r="L24" s="891">
        <f>100-0.23</f>
        <v>99.77</v>
      </c>
    </row>
    <row r="25" ht="22.5" customHeight="1">
      <c r="A25" s="5" t="s">
        <v>11</v>
      </c>
      <c r="B25" s="5" t="s">
        <v>145</v>
      </c>
      <c r="C25" s="340">
        <v>1523.0</v>
      </c>
      <c r="D25" s="341">
        <v>1.0</v>
      </c>
      <c r="E25" s="886">
        <v>7.0E-4</v>
      </c>
      <c r="F25" s="553" t="s">
        <v>1662</v>
      </c>
      <c r="G25" s="917">
        <v>11.0</v>
      </c>
      <c r="H25" s="888">
        <v>0.0072</v>
      </c>
      <c r="I25" s="556" t="s">
        <v>1972</v>
      </c>
      <c r="J25" s="852">
        <v>58.0</v>
      </c>
      <c r="K25" s="1161">
        <v>0.0415</v>
      </c>
      <c r="L25" s="891">
        <f>100-8</f>
        <v>92</v>
      </c>
    </row>
    <row r="26" ht="22.5" customHeight="1">
      <c r="A26" s="5" t="s">
        <v>11</v>
      </c>
      <c r="B26" s="5" t="s">
        <v>85</v>
      </c>
      <c r="C26" s="340">
        <v>1260.0</v>
      </c>
      <c r="D26" s="869">
        <v>12.0</v>
      </c>
      <c r="E26" s="814">
        <v>0.0094</v>
      </c>
      <c r="F26" s="553" t="s">
        <v>1975</v>
      </c>
      <c r="G26" s="1122">
        <v>43.0</v>
      </c>
      <c r="H26" s="1250">
        <v>0.0341</v>
      </c>
      <c r="I26" s="556" t="s">
        <v>1976</v>
      </c>
      <c r="J26" s="1008">
        <v>158.0</v>
      </c>
      <c r="K26" s="1228">
        <v>0.1373</v>
      </c>
      <c r="L26" s="891">
        <f>100-2.43</f>
        <v>97.57</v>
      </c>
    </row>
    <row r="27" ht="22.5" customHeight="1">
      <c r="A27" s="5" t="s">
        <v>11</v>
      </c>
      <c r="B27" s="35" t="s">
        <v>79</v>
      </c>
      <c r="C27" s="340">
        <v>2023.0</v>
      </c>
      <c r="D27" s="340" t="s">
        <v>17</v>
      </c>
      <c r="E27" s="782" t="s">
        <v>17</v>
      </c>
      <c r="F27" s="553" t="s">
        <v>17</v>
      </c>
      <c r="G27" s="817">
        <v>31.0</v>
      </c>
      <c r="H27" s="1255">
        <v>0.0153</v>
      </c>
      <c r="I27" s="556" t="s">
        <v>1980</v>
      </c>
      <c r="J27" s="1191">
        <v>206.0</v>
      </c>
      <c r="K27" s="824">
        <v>0.1082</v>
      </c>
      <c r="L27" s="891">
        <f>100-2.16</f>
        <v>97.84</v>
      </c>
    </row>
    <row r="28" ht="22.5" customHeight="1">
      <c r="A28" s="5" t="s">
        <v>11</v>
      </c>
      <c r="B28" s="5" t="s">
        <v>109</v>
      </c>
      <c r="C28" s="340">
        <v>2032.0</v>
      </c>
      <c r="D28" s="340" t="s">
        <v>17</v>
      </c>
      <c r="E28" s="782" t="s">
        <v>17</v>
      </c>
      <c r="F28" s="553" t="s">
        <v>17</v>
      </c>
      <c r="G28" s="991">
        <v>36.0</v>
      </c>
      <c r="H28" s="815">
        <v>0.0177</v>
      </c>
      <c r="I28" s="556" t="s">
        <v>1982</v>
      </c>
      <c r="J28" s="1219">
        <v>81.0</v>
      </c>
      <c r="K28" s="1151">
        <v>0.0422</v>
      </c>
      <c r="L28" s="834">
        <f>100-0.33</f>
        <v>99.67</v>
      </c>
    </row>
    <row r="29" ht="22.5" customHeight="1">
      <c r="A29" s="5" t="s">
        <v>11</v>
      </c>
      <c r="B29" s="5" t="s">
        <v>49</v>
      </c>
      <c r="C29" s="340">
        <v>2797.0</v>
      </c>
      <c r="D29" s="1122">
        <v>5.0</v>
      </c>
      <c r="E29" s="1265">
        <v>0.0018</v>
      </c>
      <c r="F29" s="553" t="s">
        <v>1985</v>
      </c>
      <c r="G29" s="1266">
        <v>55.0</v>
      </c>
      <c r="H29" s="1267">
        <v>0.0197</v>
      </c>
      <c r="I29" s="556" t="s">
        <v>1987</v>
      </c>
      <c r="J29" s="1157">
        <v>242.0</v>
      </c>
      <c r="K29" s="905">
        <v>0.0916</v>
      </c>
      <c r="L29" s="891">
        <f>100-2.36</f>
        <v>97.64</v>
      </c>
    </row>
    <row r="30" ht="22.5" customHeight="1">
      <c r="A30" s="5" t="s">
        <v>11</v>
      </c>
      <c r="B30" s="5" t="s">
        <v>115</v>
      </c>
      <c r="C30" s="340">
        <v>1923.0</v>
      </c>
      <c r="D30" s="832">
        <v>2.0</v>
      </c>
      <c r="E30" s="1133">
        <v>0.001</v>
      </c>
      <c r="F30" s="553" t="s">
        <v>1796</v>
      </c>
      <c r="G30" s="1164">
        <v>26.0</v>
      </c>
      <c r="H30" s="818">
        <v>0.0135</v>
      </c>
      <c r="I30" s="556" t="s">
        <v>1992</v>
      </c>
      <c r="J30" s="1275">
        <v>143.0</v>
      </c>
      <c r="K30" s="790">
        <v>0.0812</v>
      </c>
      <c r="L30" s="891">
        <f>100-0.96</f>
        <v>99.04</v>
      </c>
    </row>
    <row r="31" ht="22.5" customHeight="1">
      <c r="A31" s="5" t="s">
        <v>11</v>
      </c>
      <c r="B31" s="5" t="s">
        <v>45</v>
      </c>
      <c r="C31" s="340">
        <v>3222.0</v>
      </c>
      <c r="D31" s="340" t="s">
        <v>17</v>
      </c>
      <c r="E31" s="340" t="s">
        <v>17</v>
      </c>
      <c r="F31" s="553" t="s">
        <v>17</v>
      </c>
      <c r="G31" s="1278">
        <v>50.0</v>
      </c>
      <c r="H31" s="1168">
        <v>0.0155</v>
      </c>
      <c r="I31" s="556" t="s">
        <v>1995</v>
      </c>
      <c r="J31" s="1280">
        <v>213.0</v>
      </c>
      <c r="K31" s="818">
        <v>0.071</v>
      </c>
      <c r="L31" s="891">
        <f>100-3.58</f>
        <v>96.42</v>
      </c>
    </row>
    <row r="32" ht="22.5" customHeight="1">
      <c r="A32" s="5" t="s">
        <v>11</v>
      </c>
      <c r="B32" s="5" t="s">
        <v>170</v>
      </c>
      <c r="C32" s="340">
        <v>1310.0</v>
      </c>
      <c r="D32" s="1175">
        <v>6.0</v>
      </c>
      <c r="E32" s="1285">
        <v>0.0046</v>
      </c>
      <c r="F32" s="553" t="s">
        <v>1998</v>
      </c>
      <c r="G32" s="1286">
        <v>18.0</v>
      </c>
      <c r="H32" s="1287">
        <v>0.0137</v>
      </c>
      <c r="I32" s="556" t="s">
        <v>2000</v>
      </c>
      <c r="J32" s="1241">
        <v>165.0</v>
      </c>
      <c r="K32" s="988">
        <v>0.1348</v>
      </c>
      <c r="L32" s="891">
        <f>100-2.53</f>
        <v>97.47</v>
      </c>
    </row>
    <row r="33" ht="22.5" customHeight="1">
      <c r="A33" s="5" t="s">
        <v>11</v>
      </c>
      <c r="B33" s="5" t="s">
        <v>123</v>
      </c>
      <c r="C33" s="340">
        <v>1928.0</v>
      </c>
      <c r="D33" s="1175">
        <v>6.0</v>
      </c>
      <c r="E33" s="811">
        <v>0.0031</v>
      </c>
      <c r="F33" s="553" t="s">
        <v>2003</v>
      </c>
      <c r="G33" s="1294">
        <v>76.0</v>
      </c>
      <c r="H33" s="814">
        <v>0.0405</v>
      </c>
      <c r="I33" s="556" t="s">
        <v>2004</v>
      </c>
      <c r="J33" s="1166">
        <v>180.0</v>
      </c>
      <c r="K33" s="1295">
        <v>0.1025</v>
      </c>
      <c r="L33" s="891">
        <f>100-4.34</f>
        <v>95.66</v>
      </c>
    </row>
    <row r="34" ht="22.5" customHeight="1">
      <c r="A34" s="5" t="s">
        <v>11</v>
      </c>
      <c r="B34" s="5" t="s">
        <v>96</v>
      </c>
      <c r="C34" s="340">
        <v>1820.0</v>
      </c>
      <c r="D34" s="340" t="s">
        <v>17</v>
      </c>
      <c r="E34" s="782" t="s">
        <v>17</v>
      </c>
      <c r="F34" s="553" t="s">
        <v>17</v>
      </c>
      <c r="G34" s="1275">
        <v>27.0</v>
      </c>
      <c r="H34" s="1301">
        <v>0.0148</v>
      </c>
      <c r="I34" s="556" t="s">
        <v>2007</v>
      </c>
      <c r="J34" s="1303">
        <v>94.0</v>
      </c>
      <c r="K34" s="1304">
        <v>0.0565</v>
      </c>
      <c r="L34" s="891">
        <f>100-0.37</f>
        <v>99.63</v>
      </c>
    </row>
    <row r="35" ht="22.5" customHeight="1">
      <c r="A35" s="5" t="s">
        <v>11</v>
      </c>
      <c r="B35" s="5" t="s">
        <v>156</v>
      </c>
      <c r="C35" s="340">
        <v>1919.0</v>
      </c>
      <c r="D35" s="979">
        <v>3.0</v>
      </c>
      <c r="E35" s="833">
        <v>0.0016</v>
      </c>
      <c r="F35" s="553" t="s">
        <v>2011</v>
      </c>
      <c r="G35" s="1122">
        <v>43.0</v>
      </c>
      <c r="H35" s="1312">
        <v>0.0224</v>
      </c>
      <c r="I35" s="556" t="s">
        <v>2013</v>
      </c>
      <c r="J35" s="1313">
        <v>183.0</v>
      </c>
      <c r="K35" s="1295">
        <v>0.1024</v>
      </c>
      <c r="L35" s="891">
        <f>100-1.9</f>
        <v>98.1</v>
      </c>
    </row>
    <row r="36" ht="22.5" customHeight="1">
      <c r="A36" s="5" t="s">
        <v>11</v>
      </c>
      <c r="B36" s="5" t="s">
        <v>153</v>
      </c>
      <c r="C36" s="340">
        <v>1432.0</v>
      </c>
      <c r="D36" s="341">
        <v>1.0</v>
      </c>
      <c r="E36" s="888">
        <v>7.0E-4</v>
      </c>
      <c r="F36" s="553" t="s">
        <v>277</v>
      </c>
      <c r="G36" s="1275">
        <v>27.0</v>
      </c>
      <c r="H36" s="1321">
        <v>0.0189</v>
      </c>
      <c r="I36" s="556" t="s">
        <v>2016</v>
      </c>
      <c r="J36" s="1322">
        <v>127.0</v>
      </c>
      <c r="K36" s="1323">
        <v>0.0954</v>
      </c>
      <c r="L36" s="891">
        <f>100-1.38</f>
        <v>98.62</v>
      </c>
    </row>
    <row r="37" ht="22.5" customHeight="1">
      <c r="A37" s="5" t="s">
        <v>11</v>
      </c>
      <c r="B37" s="5" t="s">
        <v>159</v>
      </c>
      <c r="C37" s="340">
        <v>1346.0</v>
      </c>
      <c r="D37" s="341">
        <v>1.0</v>
      </c>
      <c r="E37" s="918">
        <v>7.0E-4</v>
      </c>
      <c r="F37" s="553" t="s">
        <v>1766</v>
      </c>
      <c r="G37" s="806">
        <v>7.0</v>
      </c>
      <c r="H37" s="342">
        <v>0.0052</v>
      </c>
      <c r="I37" s="556" t="s">
        <v>2021</v>
      </c>
      <c r="J37" s="819">
        <v>136.0</v>
      </c>
      <c r="K37" s="1333">
        <v>0.1095</v>
      </c>
      <c r="L37" s="891">
        <f>100-3.57</f>
        <v>96.43</v>
      </c>
    </row>
    <row r="38" ht="22.5" customHeight="1">
      <c r="A38" s="5" t="s">
        <v>11</v>
      </c>
      <c r="B38" s="5" t="s">
        <v>26</v>
      </c>
      <c r="C38" s="340">
        <v>3648.0</v>
      </c>
      <c r="D38" s="1336">
        <v>11.0</v>
      </c>
      <c r="E38" s="790">
        <v>0.003</v>
      </c>
      <c r="F38" s="553" t="s">
        <v>2024</v>
      </c>
      <c r="G38" s="1266">
        <v>55.0</v>
      </c>
      <c r="H38" s="802">
        <v>0.0151</v>
      </c>
      <c r="I38" s="556" t="s">
        <v>2025</v>
      </c>
      <c r="J38" s="1340">
        <v>333.0</v>
      </c>
      <c r="K38" s="1341">
        <v>0.0979</v>
      </c>
      <c r="L38" s="891">
        <f>100-6.85</f>
        <v>93.15</v>
      </c>
    </row>
    <row r="39" ht="22.5" customHeight="1">
      <c r="A39" s="5" t="s">
        <v>11</v>
      </c>
      <c r="B39" s="5" t="s">
        <v>23</v>
      </c>
      <c r="C39" s="340">
        <v>3357.0</v>
      </c>
      <c r="D39" s="340" t="s">
        <v>17</v>
      </c>
      <c r="E39" s="782" t="s">
        <v>17</v>
      </c>
      <c r="F39" s="553" t="s">
        <v>17</v>
      </c>
      <c r="G39" s="1347">
        <v>56.0</v>
      </c>
      <c r="H39" s="796">
        <v>0.0167</v>
      </c>
      <c r="I39" s="556" t="s">
        <v>2029</v>
      </c>
      <c r="J39" s="1349">
        <v>345.0</v>
      </c>
      <c r="K39" s="824">
        <v>0.1081</v>
      </c>
      <c r="L39" s="891">
        <f>100-3.66</f>
        <v>96.34</v>
      </c>
    </row>
    <row r="40" ht="22.5" customHeight="1">
      <c r="A40" s="5" t="s">
        <v>11</v>
      </c>
      <c r="B40" s="5" t="s">
        <v>63</v>
      </c>
      <c r="C40" s="340">
        <f>1726+812</f>
        <v>2538</v>
      </c>
      <c r="D40" s="1353">
        <v>12.0</v>
      </c>
      <c r="E40" s="1156">
        <v>0.0095</v>
      </c>
      <c r="F40" s="553">
        <f>29553.3+29088.4</f>
        <v>58641.7</v>
      </c>
      <c r="G40" s="828">
        <v>32.0</v>
      </c>
      <c r="H40" s="939">
        <v>0.0243</v>
      </c>
      <c r="I40" s="556">
        <f>402415+66418</f>
        <v>468833</v>
      </c>
      <c r="J40" s="1357">
        <f>123+37</f>
        <v>160</v>
      </c>
      <c r="K40" s="1358">
        <v>0.1033</v>
      </c>
      <c r="L40" s="834">
        <f>100-1.75</f>
        <v>98.25</v>
      </c>
    </row>
    <row r="41" ht="22.5" customHeight="1">
      <c r="A41" s="5" t="s">
        <v>185</v>
      </c>
      <c r="B41" s="5" t="s">
        <v>15</v>
      </c>
      <c r="C41" s="50">
        <v>164.0</v>
      </c>
      <c r="D41" s="1367">
        <v>0.0</v>
      </c>
      <c r="E41" s="1367" t="s">
        <v>258</v>
      </c>
      <c r="F41" s="28">
        <v>0.0</v>
      </c>
      <c r="G41" s="1367">
        <v>11.0</v>
      </c>
      <c r="H41" s="1369" t="s">
        <v>2035</v>
      </c>
      <c r="I41" s="1367" t="s">
        <v>2036</v>
      </c>
      <c r="J41" s="51">
        <v>30.0</v>
      </c>
      <c r="K41" s="1367" t="s">
        <v>2038</v>
      </c>
      <c r="L41" s="1375" t="s">
        <v>2040</v>
      </c>
    </row>
    <row r="42" ht="22.5" customHeight="1">
      <c r="A42" s="5" t="s">
        <v>185</v>
      </c>
      <c r="B42" s="5" t="s">
        <v>13</v>
      </c>
      <c r="C42" s="50">
        <v>2667.0</v>
      </c>
      <c r="D42" s="1367">
        <v>0.0</v>
      </c>
      <c r="E42" s="1367" t="s">
        <v>258</v>
      </c>
      <c r="F42" s="28">
        <v>0.0</v>
      </c>
      <c r="G42" s="1367">
        <v>113.0</v>
      </c>
      <c r="H42" s="1369" t="s">
        <v>2042</v>
      </c>
      <c r="I42" s="1367" t="s">
        <v>2043</v>
      </c>
      <c r="J42" s="51">
        <v>419.0</v>
      </c>
      <c r="K42" s="1367" t="s">
        <v>2044</v>
      </c>
      <c r="L42" s="1375" t="s">
        <v>287</v>
      </c>
    </row>
    <row r="43" ht="22.5" customHeight="1">
      <c r="A43" s="5" t="s">
        <v>185</v>
      </c>
      <c r="B43" s="5" t="s">
        <v>27</v>
      </c>
      <c r="C43" s="50">
        <v>1074.0</v>
      </c>
      <c r="D43" s="1367">
        <v>1.0</v>
      </c>
      <c r="E43" s="1367" t="s">
        <v>399</v>
      </c>
      <c r="F43" s="28">
        <v>0.0</v>
      </c>
      <c r="G43" s="1367">
        <v>31.0</v>
      </c>
      <c r="H43" s="1369" t="s">
        <v>2048</v>
      </c>
      <c r="I43" s="1367" t="s">
        <v>2049</v>
      </c>
      <c r="J43" s="51">
        <v>168.0</v>
      </c>
      <c r="K43" s="1367" t="s">
        <v>2050</v>
      </c>
      <c r="L43" s="1375" t="s">
        <v>2051</v>
      </c>
    </row>
    <row r="44" ht="22.5" customHeight="1">
      <c r="A44" s="5" t="s">
        <v>185</v>
      </c>
      <c r="B44" s="5" t="s">
        <v>33</v>
      </c>
      <c r="C44" s="50">
        <v>1479.0</v>
      </c>
      <c r="D44" s="1367">
        <v>3.0</v>
      </c>
      <c r="E44" s="1367" t="s">
        <v>634</v>
      </c>
      <c r="F44" s="28">
        <v>0.0</v>
      </c>
      <c r="G44" s="1367">
        <v>47.0</v>
      </c>
      <c r="H44" s="1369" t="s">
        <v>764</v>
      </c>
      <c r="I44" s="1367" t="s">
        <v>2056</v>
      </c>
      <c r="J44" s="51">
        <v>375.0</v>
      </c>
      <c r="K44" s="1367" t="s">
        <v>2058</v>
      </c>
      <c r="L44" s="1375" t="s">
        <v>1129</v>
      </c>
    </row>
    <row r="45" ht="22.5" customHeight="1">
      <c r="A45" s="5" t="s">
        <v>185</v>
      </c>
      <c r="B45" s="5" t="s">
        <v>19</v>
      </c>
      <c r="C45" s="50">
        <v>1863.0</v>
      </c>
      <c r="D45" s="1367">
        <v>0.0</v>
      </c>
      <c r="E45" s="1367" t="s">
        <v>258</v>
      </c>
      <c r="F45" s="28">
        <v>0.0</v>
      </c>
      <c r="G45" s="1367">
        <v>80.0</v>
      </c>
      <c r="H45" s="1369" t="s">
        <v>825</v>
      </c>
      <c r="I45" s="1367" t="s">
        <v>2063</v>
      </c>
      <c r="J45" s="51">
        <v>664.0</v>
      </c>
      <c r="K45" s="1367" t="s">
        <v>2064</v>
      </c>
      <c r="L45" s="1375" t="s">
        <v>2066</v>
      </c>
    </row>
    <row r="46" ht="22.5" customHeight="1">
      <c r="A46" s="5" t="s">
        <v>185</v>
      </c>
      <c r="B46" s="5" t="s">
        <v>58</v>
      </c>
      <c r="C46" s="50">
        <v>925.0</v>
      </c>
      <c r="D46" s="1367">
        <v>3.0</v>
      </c>
      <c r="E46" s="1367" t="s">
        <v>1072</v>
      </c>
      <c r="F46" s="28">
        <v>0.0</v>
      </c>
      <c r="G46" s="1367">
        <v>49.0</v>
      </c>
      <c r="H46" s="1369" t="s">
        <v>2071</v>
      </c>
      <c r="I46" s="47" t="s">
        <v>2072</v>
      </c>
      <c r="J46" s="51">
        <v>201.0</v>
      </c>
      <c r="K46" s="1367" t="s">
        <v>2074</v>
      </c>
      <c r="L46" s="1375" t="s">
        <v>847</v>
      </c>
    </row>
    <row r="47" ht="22.5" customHeight="1">
      <c r="A47" s="5" t="s">
        <v>185</v>
      </c>
      <c r="B47" s="5" t="s">
        <v>77</v>
      </c>
      <c r="C47" s="50">
        <v>442.0</v>
      </c>
      <c r="D47" s="1367">
        <v>1.0</v>
      </c>
      <c r="E47" s="1367" t="s">
        <v>567</v>
      </c>
      <c r="F47" s="28">
        <v>0.0</v>
      </c>
      <c r="G47" s="1367">
        <v>15.0</v>
      </c>
      <c r="H47" s="1369" t="s">
        <v>2078</v>
      </c>
      <c r="I47" s="1367" t="s">
        <v>2079</v>
      </c>
      <c r="J47" s="51">
        <v>52.0</v>
      </c>
      <c r="K47" s="1367" t="s">
        <v>2083</v>
      </c>
      <c r="L47" s="1375" t="s">
        <v>2084</v>
      </c>
    </row>
    <row r="48" ht="22.5" customHeight="1">
      <c r="A48" s="5" t="s">
        <v>185</v>
      </c>
      <c r="B48" s="5" t="s">
        <v>82</v>
      </c>
      <c r="C48" s="50">
        <v>539.0</v>
      </c>
      <c r="D48" s="1367">
        <v>0.0</v>
      </c>
      <c r="E48" s="1367" t="s">
        <v>258</v>
      </c>
      <c r="F48" s="28">
        <v>0.0</v>
      </c>
      <c r="G48" s="1367">
        <v>17.0</v>
      </c>
      <c r="H48" s="1369" t="s">
        <v>1833</v>
      </c>
      <c r="I48" s="1367" t="s">
        <v>2089</v>
      </c>
      <c r="J48" s="51">
        <v>37.0</v>
      </c>
      <c r="K48" s="1367" t="s">
        <v>2090</v>
      </c>
      <c r="L48" s="1375" t="s">
        <v>2091</v>
      </c>
    </row>
    <row r="49" ht="22.5" customHeight="1">
      <c r="A49" s="5" t="s">
        <v>185</v>
      </c>
      <c r="B49" s="50" t="s">
        <v>94</v>
      </c>
      <c r="C49" s="50">
        <v>16.0</v>
      </c>
      <c r="D49" s="1367">
        <v>0.0</v>
      </c>
      <c r="E49" s="1367" t="s">
        <v>258</v>
      </c>
      <c r="F49" s="28">
        <v>0.0</v>
      </c>
      <c r="G49" s="1367">
        <v>2.0</v>
      </c>
      <c r="H49" s="1369" t="s">
        <v>2097</v>
      </c>
      <c r="I49" s="50">
        <v>0.0</v>
      </c>
      <c r="J49" s="51">
        <v>7.0</v>
      </c>
      <c r="K49" s="174" t="s">
        <v>2098</v>
      </c>
      <c r="L49" s="174" t="s">
        <v>298</v>
      </c>
    </row>
    <row r="50" ht="22.5" customHeight="1">
      <c r="A50" s="5" t="s">
        <v>185</v>
      </c>
      <c r="B50" s="5" t="s">
        <v>90</v>
      </c>
      <c r="C50" s="50">
        <v>73.0</v>
      </c>
      <c r="D50" s="1367">
        <v>0.0</v>
      </c>
      <c r="E50" s="1367" t="s">
        <v>258</v>
      </c>
      <c r="F50" s="28">
        <v>0.0</v>
      </c>
      <c r="G50" s="1367">
        <v>0.0</v>
      </c>
      <c r="H50" s="1369" t="s">
        <v>258</v>
      </c>
      <c r="I50" s="1367" t="s">
        <v>1817</v>
      </c>
      <c r="J50" s="51">
        <v>6.0</v>
      </c>
      <c r="K50" s="174" t="s">
        <v>659</v>
      </c>
      <c r="L50" s="174" t="s">
        <v>298</v>
      </c>
    </row>
    <row r="51" ht="22.5" customHeight="1">
      <c r="A51" s="5" t="s">
        <v>185</v>
      </c>
      <c r="B51" s="5" t="s">
        <v>39</v>
      </c>
      <c r="C51" s="50">
        <v>207.0</v>
      </c>
      <c r="D51" s="1367">
        <v>3.0</v>
      </c>
      <c r="E51" s="1367" t="s">
        <v>2108</v>
      </c>
      <c r="F51" s="28">
        <v>0.0</v>
      </c>
      <c r="G51" s="1367">
        <v>17.0</v>
      </c>
      <c r="H51" s="1369" t="s">
        <v>2109</v>
      </c>
      <c r="I51" s="1367" t="s">
        <v>2110</v>
      </c>
      <c r="J51" s="51">
        <v>90.0</v>
      </c>
      <c r="K51" s="1367" t="s">
        <v>2112</v>
      </c>
      <c r="L51" s="174" t="s">
        <v>2114</v>
      </c>
    </row>
    <row r="52" ht="22.5" customHeight="1">
      <c r="A52" s="5" t="s">
        <v>185</v>
      </c>
      <c r="B52" s="5" t="s">
        <v>59</v>
      </c>
      <c r="C52" s="13">
        <v>373.0</v>
      </c>
      <c r="D52" s="1367">
        <v>2.0</v>
      </c>
      <c r="E52" s="1367" t="s">
        <v>2118</v>
      </c>
      <c r="F52" s="28">
        <v>0.0</v>
      </c>
      <c r="G52" s="1367">
        <v>19.0</v>
      </c>
      <c r="H52" s="1369" t="s">
        <v>865</v>
      </c>
      <c r="I52" s="1367" t="s">
        <v>2120</v>
      </c>
      <c r="J52" s="51">
        <v>120.0</v>
      </c>
      <c r="K52" s="1367" t="s">
        <v>2121</v>
      </c>
      <c r="L52" s="174" t="s">
        <v>2124</v>
      </c>
    </row>
    <row r="53" ht="22.5" customHeight="1">
      <c r="A53" s="5" t="s">
        <v>185</v>
      </c>
      <c r="B53" s="5" t="s">
        <v>114</v>
      </c>
      <c r="C53" s="13">
        <v>602.0</v>
      </c>
      <c r="D53" s="1367">
        <v>0.0</v>
      </c>
      <c r="E53" s="1367" t="s">
        <v>258</v>
      </c>
      <c r="F53" s="28">
        <v>0.0</v>
      </c>
      <c r="G53" s="1367">
        <v>33.0</v>
      </c>
      <c r="H53" s="1369" t="s">
        <v>2128</v>
      </c>
      <c r="I53" s="1367" t="s">
        <v>2130</v>
      </c>
      <c r="J53" s="51">
        <v>193.0</v>
      </c>
      <c r="K53" s="1367" t="s">
        <v>2132</v>
      </c>
      <c r="L53" s="174" t="s">
        <v>298</v>
      </c>
    </row>
    <row r="54" ht="22.5" customHeight="1">
      <c r="A54" s="5" t="s">
        <v>185</v>
      </c>
      <c r="B54" s="5" t="s">
        <v>136</v>
      </c>
      <c r="C54" s="13">
        <v>265.0</v>
      </c>
      <c r="D54" s="1367">
        <v>0.0</v>
      </c>
      <c r="E54" s="1367" t="s">
        <v>258</v>
      </c>
      <c r="F54" s="28">
        <v>0.0</v>
      </c>
      <c r="G54" s="1367">
        <v>9.0</v>
      </c>
      <c r="H54" s="1369" t="s">
        <v>1007</v>
      </c>
      <c r="I54" s="1445">
        <v>1822653.0</v>
      </c>
      <c r="J54" s="51">
        <v>73.0</v>
      </c>
      <c r="K54" s="1367" t="s">
        <v>2140</v>
      </c>
      <c r="L54" s="174" t="s">
        <v>298</v>
      </c>
    </row>
    <row r="55" ht="22.5" customHeight="1">
      <c r="A55" s="5" t="s">
        <v>185</v>
      </c>
      <c r="B55" s="5" t="s">
        <v>85</v>
      </c>
      <c r="C55" s="13">
        <v>1234.0</v>
      </c>
      <c r="D55" s="1367">
        <v>0.0</v>
      </c>
      <c r="E55" s="1367" t="s">
        <v>258</v>
      </c>
      <c r="F55" s="28">
        <v>0.0</v>
      </c>
      <c r="G55" s="1367">
        <v>38.0</v>
      </c>
      <c r="H55" s="1369" t="s">
        <v>2143</v>
      </c>
      <c r="I55" s="1367" t="s">
        <v>2147</v>
      </c>
      <c r="J55" s="51">
        <v>218.0</v>
      </c>
      <c r="K55" s="1367" t="s">
        <v>2149</v>
      </c>
      <c r="L55" s="1375" t="s">
        <v>465</v>
      </c>
    </row>
    <row r="56" ht="22.5" customHeight="1">
      <c r="A56" s="5" t="s">
        <v>185</v>
      </c>
      <c r="B56" s="35" t="s">
        <v>79</v>
      </c>
      <c r="C56" s="13">
        <v>761.0</v>
      </c>
      <c r="D56" s="1367">
        <v>0.0</v>
      </c>
      <c r="E56" s="1367" t="s">
        <v>258</v>
      </c>
      <c r="F56" s="28">
        <v>0.0</v>
      </c>
      <c r="G56" s="1367">
        <v>32.0</v>
      </c>
      <c r="H56" s="1369" t="s">
        <v>1834</v>
      </c>
      <c r="I56" s="1367" t="s">
        <v>2155</v>
      </c>
      <c r="J56" s="51">
        <v>241.0</v>
      </c>
      <c r="K56" s="1367" t="s">
        <v>2156</v>
      </c>
      <c r="L56" s="1375" t="s">
        <v>777</v>
      </c>
    </row>
    <row r="57" ht="22.5" customHeight="1">
      <c r="A57" s="5" t="s">
        <v>185</v>
      </c>
      <c r="B57" s="5" t="s">
        <v>45</v>
      </c>
      <c r="C57" s="13">
        <v>959.0</v>
      </c>
      <c r="D57" s="1367">
        <v>1.0</v>
      </c>
      <c r="E57" s="1367" t="s">
        <v>515</v>
      </c>
      <c r="F57" s="28">
        <v>0.0</v>
      </c>
      <c r="G57" s="1367">
        <v>40.0</v>
      </c>
      <c r="H57" s="1369" t="s">
        <v>2162</v>
      </c>
      <c r="I57" s="1367" t="s">
        <v>2163</v>
      </c>
      <c r="J57" s="51">
        <v>53.0</v>
      </c>
      <c r="K57" s="1367" t="s">
        <v>2165</v>
      </c>
      <c r="L57" s="1375" t="s">
        <v>298</v>
      </c>
    </row>
    <row r="58" ht="22.5" customHeight="1">
      <c r="A58" s="5" t="s">
        <v>185</v>
      </c>
      <c r="B58" s="5" t="s">
        <v>170</v>
      </c>
      <c r="C58" s="13">
        <v>390.0</v>
      </c>
      <c r="D58" s="1367">
        <v>0.0</v>
      </c>
      <c r="E58" s="1367" t="s">
        <v>258</v>
      </c>
      <c r="F58" s="28">
        <v>0.0</v>
      </c>
      <c r="G58" s="1367">
        <v>13.0</v>
      </c>
      <c r="H58" s="1369" t="s">
        <v>2170</v>
      </c>
      <c r="I58" s="1367" t="s">
        <v>2171</v>
      </c>
      <c r="J58" s="51">
        <v>48.0</v>
      </c>
      <c r="K58" s="1367" t="s">
        <v>2173</v>
      </c>
      <c r="L58" s="1375" t="s">
        <v>2174</v>
      </c>
    </row>
    <row r="59" ht="22.5" customHeight="1">
      <c r="A59" s="5" t="s">
        <v>185</v>
      </c>
      <c r="B59" s="5" t="s">
        <v>153</v>
      </c>
      <c r="C59" s="13">
        <v>555.0</v>
      </c>
      <c r="D59" s="1367">
        <v>1.0</v>
      </c>
      <c r="E59" s="1367" t="s">
        <v>607</v>
      </c>
      <c r="F59" s="28">
        <v>0.0</v>
      </c>
      <c r="G59" s="1367">
        <v>25.0</v>
      </c>
      <c r="H59" s="1369" t="s">
        <v>2180</v>
      </c>
      <c r="I59" s="47" t="s">
        <v>2181</v>
      </c>
      <c r="J59" s="51">
        <v>96.0</v>
      </c>
      <c r="K59" s="1367" t="s">
        <v>2183</v>
      </c>
      <c r="L59" s="1375" t="s">
        <v>293</v>
      </c>
    </row>
    <row r="60" ht="22.5" customHeight="1">
      <c r="A60" s="5" t="s">
        <v>185</v>
      </c>
      <c r="B60" s="5" t="s">
        <v>26</v>
      </c>
      <c r="C60" s="13">
        <v>2244.0</v>
      </c>
      <c r="D60" s="1367">
        <v>2.0</v>
      </c>
      <c r="E60" s="1367" t="s">
        <v>1427</v>
      </c>
      <c r="F60" s="28">
        <v>0.0</v>
      </c>
      <c r="G60" s="1367">
        <v>77.0</v>
      </c>
      <c r="H60" s="1369" t="s">
        <v>1137</v>
      </c>
      <c r="I60" s="47" t="s">
        <v>2189</v>
      </c>
      <c r="J60" s="51">
        <v>198.0</v>
      </c>
      <c r="K60" s="1367" t="s">
        <v>1111</v>
      </c>
      <c r="L60" s="1375" t="s">
        <v>2192</v>
      </c>
    </row>
    <row r="61" ht="22.5" customHeight="1">
      <c r="A61" s="5" t="s">
        <v>185</v>
      </c>
      <c r="B61" s="5" t="s">
        <v>23</v>
      </c>
      <c r="C61" s="13">
        <v>1221.0</v>
      </c>
      <c r="D61" s="1367">
        <v>2.0</v>
      </c>
      <c r="E61" s="1367" t="s">
        <v>1067</v>
      </c>
      <c r="F61" s="28">
        <v>0.0</v>
      </c>
      <c r="G61" s="1367">
        <v>52.0</v>
      </c>
      <c r="H61" s="1369" t="s">
        <v>1683</v>
      </c>
      <c r="I61" s="47" t="s">
        <v>2196</v>
      </c>
      <c r="J61" s="51">
        <v>337.0</v>
      </c>
      <c r="K61" s="1367" t="s">
        <v>2197</v>
      </c>
      <c r="L61" s="1375" t="s">
        <v>298</v>
      </c>
    </row>
    <row r="62" ht="22.5" customHeight="1">
      <c r="A62" s="5" t="s">
        <v>185</v>
      </c>
      <c r="B62" s="5" t="s">
        <v>159</v>
      </c>
      <c r="C62" s="13">
        <v>183.0</v>
      </c>
      <c r="D62" s="1367">
        <v>0.0</v>
      </c>
      <c r="E62" s="1367" t="s">
        <v>258</v>
      </c>
      <c r="F62" s="28">
        <v>0.0</v>
      </c>
      <c r="G62" s="1367">
        <v>9.0</v>
      </c>
      <c r="H62" s="1369" t="s">
        <v>2204</v>
      </c>
      <c r="I62" s="47" t="s">
        <v>2206</v>
      </c>
      <c r="J62" s="51">
        <v>54.0</v>
      </c>
      <c r="K62" s="1367" t="s">
        <v>1726</v>
      </c>
      <c r="L62" s="174" t="s">
        <v>2210</v>
      </c>
    </row>
    <row r="63" ht="22.5" customHeight="1">
      <c r="A63" s="5" t="s">
        <v>185</v>
      </c>
      <c r="B63" s="5" t="s">
        <v>63</v>
      </c>
      <c r="C63" s="13">
        <v>1357.0</v>
      </c>
      <c r="D63" s="1367">
        <v>0.0</v>
      </c>
      <c r="E63" s="1367" t="s">
        <v>258</v>
      </c>
      <c r="F63" s="28">
        <v>0.0</v>
      </c>
      <c r="G63" s="1367">
        <v>32.0</v>
      </c>
      <c r="H63" s="1369" t="s">
        <v>1253</v>
      </c>
      <c r="I63" s="47" t="s">
        <v>2218</v>
      </c>
      <c r="J63" s="51">
        <v>349.0</v>
      </c>
      <c r="K63" s="1367" t="s">
        <v>2220</v>
      </c>
      <c r="L63" s="1375" t="s">
        <v>2221</v>
      </c>
    </row>
    <row r="64" ht="22.5" customHeight="1">
      <c r="A64" s="5" t="s">
        <v>185</v>
      </c>
      <c r="B64" s="5" t="s">
        <v>123</v>
      </c>
      <c r="C64" s="13">
        <v>208.0</v>
      </c>
      <c r="D64" s="1367">
        <v>0.0</v>
      </c>
      <c r="E64" s="1367" t="s">
        <v>258</v>
      </c>
      <c r="F64" s="28">
        <v>0.0</v>
      </c>
      <c r="G64" s="1367">
        <v>18.0</v>
      </c>
      <c r="H64" s="1369" t="s">
        <v>2226</v>
      </c>
      <c r="I64" s="47" t="s">
        <v>2227</v>
      </c>
      <c r="J64" s="51">
        <v>28.0</v>
      </c>
      <c r="K64" s="1367" t="s">
        <v>2228</v>
      </c>
      <c r="L64" s="1375" t="s">
        <v>2229</v>
      </c>
    </row>
    <row r="65" ht="22.5" customHeight="1">
      <c r="A65" s="5" t="s">
        <v>383</v>
      </c>
      <c r="B65" s="5" t="s">
        <v>15</v>
      </c>
      <c r="C65" s="273">
        <v>251.0</v>
      </c>
      <c r="D65" s="273">
        <v>8.0</v>
      </c>
      <c r="E65" s="1486">
        <v>0.03187250996015936</v>
      </c>
      <c r="F65" s="28">
        <v>0.0</v>
      </c>
      <c r="G65" s="511">
        <v>4.0</v>
      </c>
      <c r="H65" s="276">
        <v>0.01593625498007968</v>
      </c>
      <c r="I65" s="28">
        <v>0.0</v>
      </c>
      <c r="J65" s="511">
        <v>14.0</v>
      </c>
      <c r="K65" s="1488">
        <v>0.059322033898305086</v>
      </c>
      <c r="L65" s="578">
        <v>0.9969</v>
      </c>
    </row>
    <row r="66" ht="22.5" customHeight="1">
      <c r="A66" s="5" t="s">
        <v>383</v>
      </c>
      <c r="B66" s="5" t="s">
        <v>13</v>
      </c>
      <c r="C66" s="273">
        <v>1676.0</v>
      </c>
      <c r="D66" s="273">
        <v>4.0</v>
      </c>
      <c r="E66" s="303">
        <v>0.002386634844868735</v>
      </c>
      <c r="F66" s="28">
        <v>0.0</v>
      </c>
      <c r="G66" s="511">
        <v>47.0</v>
      </c>
      <c r="H66" s="276">
        <v>0.028042959427207637</v>
      </c>
      <c r="I66" s="28">
        <v>0.0</v>
      </c>
      <c r="J66" s="275">
        <v>42.0</v>
      </c>
      <c r="K66" s="1490">
        <v>0.02556299452221546</v>
      </c>
      <c r="L66" s="578">
        <v>0.9969</v>
      </c>
    </row>
    <row r="67" ht="22.5" customHeight="1">
      <c r="A67" s="5" t="s">
        <v>383</v>
      </c>
      <c r="B67" s="5" t="s">
        <v>27</v>
      </c>
      <c r="C67" s="273">
        <v>396.0</v>
      </c>
      <c r="D67" s="273">
        <v>1.0</v>
      </c>
      <c r="E67" s="1493">
        <v>0.0025252525252525255</v>
      </c>
      <c r="F67" s="28">
        <v>0.0</v>
      </c>
      <c r="G67" s="511">
        <v>9.0</v>
      </c>
      <c r="H67" s="276">
        <v>0.022727272727272728</v>
      </c>
      <c r="I67" s="28">
        <v>0.0</v>
      </c>
      <c r="J67" s="275">
        <v>6.0</v>
      </c>
      <c r="K67" s="1494">
        <v>0.015267175572519083</v>
      </c>
      <c r="L67" s="578">
        <v>0.9996</v>
      </c>
    </row>
    <row r="68" ht="22.5" customHeight="1">
      <c r="A68" s="5" t="s">
        <v>383</v>
      </c>
      <c r="B68" s="5" t="s">
        <v>33</v>
      </c>
      <c r="C68" s="273">
        <v>671.0</v>
      </c>
      <c r="D68" s="273">
        <v>5.0</v>
      </c>
      <c r="E68" s="577">
        <v>0.007451564828614009</v>
      </c>
      <c r="F68" s="28">
        <v>0.0</v>
      </c>
      <c r="G68" s="511">
        <v>17.0</v>
      </c>
      <c r="H68" s="276">
        <v>0.02533532041728763</v>
      </c>
      <c r="I68" s="28">
        <v>0.0</v>
      </c>
      <c r="J68" s="275">
        <v>47.0</v>
      </c>
      <c r="K68" s="1502">
        <v>0.07121212121212121</v>
      </c>
      <c r="L68" s="578">
        <v>0.9996</v>
      </c>
    </row>
    <row r="69" ht="22.5" customHeight="1">
      <c r="A69" s="5" t="s">
        <v>383</v>
      </c>
      <c r="B69" s="5" t="s">
        <v>19</v>
      </c>
      <c r="C69" s="273">
        <v>1147.0</v>
      </c>
      <c r="D69" s="273">
        <v>3.0</v>
      </c>
      <c r="E69" s="1493">
        <v>0.0026155187445510027</v>
      </c>
      <c r="F69" s="28">
        <v>0.0</v>
      </c>
      <c r="G69" s="511">
        <v>44.0</v>
      </c>
      <c r="H69" s="276">
        <v>0.03836094158674804</v>
      </c>
      <c r="I69" s="28">
        <v>0.0</v>
      </c>
      <c r="J69" s="275">
        <v>64.0</v>
      </c>
      <c r="K69" s="1508">
        <v>0.05739910313901345</v>
      </c>
      <c r="L69" s="576">
        <v>0.9113</v>
      </c>
    </row>
    <row r="70" ht="22.5" customHeight="1">
      <c r="A70" s="5" t="s">
        <v>383</v>
      </c>
      <c r="B70" s="5" t="s">
        <v>63</v>
      </c>
      <c r="C70" s="273">
        <f>389+126</f>
        <v>515</v>
      </c>
      <c r="D70" s="273">
        <v>0.0</v>
      </c>
      <c r="E70" s="276">
        <v>0.0</v>
      </c>
      <c r="F70" s="28">
        <v>0.0</v>
      </c>
      <c r="G70" s="511">
        <v>8.0</v>
      </c>
      <c r="H70" s="276">
        <v>0.012853470437017995</v>
      </c>
      <c r="I70" s="28">
        <v>0.0</v>
      </c>
      <c r="J70" s="275">
        <v>15.0</v>
      </c>
      <c r="K70" s="279">
        <v>0.02894736842105263</v>
      </c>
      <c r="L70" s="578">
        <v>0.9636</v>
      </c>
    </row>
    <row r="71" ht="22.5" customHeight="1">
      <c r="A71" s="5" t="s">
        <v>383</v>
      </c>
      <c r="B71" s="5" t="s">
        <v>58</v>
      </c>
      <c r="C71" s="273">
        <v>557.0</v>
      </c>
      <c r="D71" s="273">
        <v>19.0</v>
      </c>
      <c r="E71" s="1517">
        <v>0.03411131059245961</v>
      </c>
      <c r="F71" s="28">
        <v>0.0</v>
      </c>
      <c r="G71" s="511">
        <v>17.0</v>
      </c>
      <c r="H71" s="276">
        <v>0.03052064631956912</v>
      </c>
      <c r="I71" s="28">
        <v>0.0</v>
      </c>
      <c r="J71" s="275">
        <v>16.0</v>
      </c>
      <c r="K71" s="299">
        <v>0.0300187617260788</v>
      </c>
      <c r="L71" s="1521">
        <v>0.8515</v>
      </c>
    </row>
    <row r="72" ht="22.5" customHeight="1">
      <c r="A72" s="5" t="s">
        <v>383</v>
      </c>
      <c r="B72" s="5" t="s">
        <v>77</v>
      </c>
      <c r="C72" s="273">
        <v>274.0</v>
      </c>
      <c r="D72" s="273">
        <v>0.0</v>
      </c>
      <c r="E72" s="276">
        <v>0.0</v>
      </c>
      <c r="F72" s="28">
        <v>0.0</v>
      </c>
      <c r="G72" s="511">
        <v>5.0</v>
      </c>
      <c r="H72" s="276">
        <v>0.01824817518248175</v>
      </c>
      <c r="I72" s="28">
        <v>0.0</v>
      </c>
      <c r="J72" s="275">
        <v>6.0</v>
      </c>
      <c r="K72" s="1526">
        <v>0.022058823529411766</v>
      </c>
      <c r="L72" s="576">
        <v>0.9497</v>
      </c>
    </row>
    <row r="73" ht="22.5" customHeight="1">
      <c r="A73" s="5" t="s">
        <v>383</v>
      </c>
      <c r="B73" s="5" t="s">
        <v>82</v>
      </c>
      <c r="C73" s="273">
        <v>133.0</v>
      </c>
      <c r="D73" s="273">
        <v>3.0</v>
      </c>
      <c r="E73" s="276">
        <v>0.022556390977443608</v>
      </c>
      <c r="F73" s="28">
        <v>0.0</v>
      </c>
      <c r="G73" s="511">
        <v>6.0</v>
      </c>
      <c r="H73" s="276">
        <v>0.045112781954887216</v>
      </c>
      <c r="I73" s="28">
        <v>0.0</v>
      </c>
      <c r="J73" s="275">
        <v>16.0</v>
      </c>
      <c r="K73" s="276">
        <v>0.13008130081300814</v>
      </c>
      <c r="L73" s="578">
        <v>1.0</v>
      </c>
    </row>
    <row r="74" ht="22.5" customHeight="1">
      <c r="A74" s="5" t="s">
        <v>383</v>
      </c>
      <c r="B74" s="5" t="s">
        <v>39</v>
      </c>
      <c r="C74" s="273">
        <v>209.0</v>
      </c>
      <c r="D74" s="273">
        <v>8.0</v>
      </c>
      <c r="E74" s="274">
        <v>0.03827751196172249</v>
      </c>
      <c r="F74" s="28">
        <v>0.0</v>
      </c>
      <c r="G74" s="511">
        <v>3.0</v>
      </c>
      <c r="H74" s="276">
        <v>0.014354066985645933</v>
      </c>
      <c r="I74" s="28">
        <v>0.0</v>
      </c>
      <c r="J74" s="275">
        <v>7.0</v>
      </c>
      <c r="K74" s="1536">
        <v>0.035</v>
      </c>
      <c r="L74" s="578">
        <v>0.9913</v>
      </c>
    </row>
    <row r="75" ht="22.5" customHeight="1">
      <c r="A75" s="5" t="s">
        <v>383</v>
      </c>
      <c r="B75" s="5" t="s">
        <v>59</v>
      </c>
      <c r="C75" s="273">
        <v>568.0</v>
      </c>
      <c r="D75" s="273">
        <v>4.0</v>
      </c>
      <c r="E75" s="310">
        <v>0.007042253521126761</v>
      </c>
      <c r="F75" s="28">
        <v>0.0</v>
      </c>
      <c r="G75" s="511">
        <v>18.0</v>
      </c>
      <c r="H75" s="276">
        <v>0.03169014084507042</v>
      </c>
      <c r="I75" s="28">
        <v>0.0</v>
      </c>
      <c r="J75" s="275">
        <v>36.0</v>
      </c>
      <c r="K75" s="1543">
        <v>0.06521739130434782</v>
      </c>
      <c r="L75" s="1545">
        <v>0.6934</v>
      </c>
    </row>
    <row r="76" ht="22.5" customHeight="1">
      <c r="A76" s="5" t="s">
        <v>383</v>
      </c>
      <c r="B76" s="5" t="s">
        <v>114</v>
      </c>
      <c r="C76" s="273">
        <v>305.0</v>
      </c>
      <c r="D76" s="273">
        <v>2.0</v>
      </c>
      <c r="E76" s="1546">
        <v>0.006557377049180328</v>
      </c>
      <c r="F76" s="28">
        <v>0.0</v>
      </c>
      <c r="G76" s="511">
        <v>3.0</v>
      </c>
      <c r="H76" s="276">
        <v>0.009836065573770493</v>
      </c>
      <c r="I76" s="28">
        <v>0.0</v>
      </c>
      <c r="J76" s="275">
        <v>27.0</v>
      </c>
      <c r="K76" s="274">
        <v>0.09090909090909091</v>
      </c>
      <c r="L76" s="578">
        <v>0.9998</v>
      </c>
    </row>
    <row r="77" ht="22.5" customHeight="1">
      <c r="A77" s="5" t="s">
        <v>383</v>
      </c>
      <c r="B77" s="5" t="s">
        <v>136</v>
      </c>
      <c r="C77" s="273">
        <v>451.0</v>
      </c>
      <c r="D77" s="273">
        <v>1.0</v>
      </c>
      <c r="E77" s="1550">
        <v>0.0022172949002217295</v>
      </c>
      <c r="F77" s="28">
        <v>0.0</v>
      </c>
      <c r="G77" s="511">
        <v>9.0</v>
      </c>
      <c r="H77" s="276">
        <v>0.019955654101995565</v>
      </c>
      <c r="I77" s="28">
        <v>0.0</v>
      </c>
      <c r="J77" s="275">
        <v>8.0</v>
      </c>
      <c r="K77" s="1550">
        <v>0.018018018018018018</v>
      </c>
      <c r="L77" s="578">
        <v>0.9959</v>
      </c>
    </row>
    <row r="78" ht="22.5" customHeight="1">
      <c r="A78" s="5" t="s">
        <v>383</v>
      </c>
      <c r="B78" s="96" t="s">
        <v>501</v>
      </c>
      <c r="C78" s="273">
        <v>613.0</v>
      </c>
      <c r="D78" s="273">
        <v>3.0</v>
      </c>
      <c r="E78" s="1555">
        <v>0.004893964110929853</v>
      </c>
      <c r="F78" s="28">
        <v>0.0</v>
      </c>
      <c r="G78" s="511">
        <v>10.0</v>
      </c>
      <c r="H78" s="276">
        <v>0.01631321370309951</v>
      </c>
      <c r="I78" s="28">
        <v>0.0</v>
      </c>
      <c r="J78" s="275">
        <v>8.0</v>
      </c>
      <c r="K78" s="276">
        <v>0.013289036544850499</v>
      </c>
      <c r="L78" s="578">
        <v>0.9993</v>
      </c>
    </row>
    <row r="79" ht="22.5" customHeight="1">
      <c r="A79" s="5" t="s">
        <v>383</v>
      </c>
      <c r="B79" s="35" t="s">
        <v>79</v>
      </c>
      <c r="C79" s="273">
        <v>480.0</v>
      </c>
      <c r="D79" s="273">
        <v>3.0</v>
      </c>
      <c r="E79" s="1557">
        <v>0.00625</v>
      </c>
      <c r="F79" s="28">
        <v>0.0</v>
      </c>
      <c r="G79" s="511">
        <v>11.0</v>
      </c>
      <c r="H79" s="276">
        <v>0.022916666666666665</v>
      </c>
      <c r="I79" s="28">
        <v>0.0</v>
      </c>
      <c r="J79" s="275">
        <v>21.0</v>
      </c>
      <c r="K79" s="1559">
        <v>0.044967880085653104</v>
      </c>
      <c r="L79" s="578">
        <v>0.999</v>
      </c>
    </row>
    <row r="80" ht="22.5" customHeight="1">
      <c r="A80" s="5" t="s">
        <v>383</v>
      </c>
      <c r="B80" s="5" t="s">
        <v>45</v>
      </c>
      <c r="C80" s="273">
        <v>301.0</v>
      </c>
      <c r="D80" s="273">
        <v>5.0</v>
      </c>
      <c r="E80" s="1561">
        <v>0.016611295681063124</v>
      </c>
      <c r="F80" s="28">
        <v>0.0</v>
      </c>
      <c r="G80" s="511">
        <v>12.0</v>
      </c>
      <c r="H80" s="276">
        <v>0.03986710963455149</v>
      </c>
      <c r="I80" s="28">
        <v>0.0</v>
      </c>
      <c r="J80" s="275">
        <v>21.0</v>
      </c>
      <c r="K80" s="1563">
        <v>0.07191780821917808</v>
      </c>
      <c r="L80" s="578">
        <v>0.9985</v>
      </c>
    </row>
    <row r="81" ht="22.5" customHeight="1">
      <c r="A81" s="5" t="s">
        <v>383</v>
      </c>
      <c r="B81" s="5" t="s">
        <v>123</v>
      </c>
      <c r="C81" s="273">
        <v>213.0</v>
      </c>
      <c r="D81" s="273">
        <v>0.0</v>
      </c>
      <c r="E81" s="276">
        <v>0.0</v>
      </c>
      <c r="F81" s="28">
        <v>0.0</v>
      </c>
      <c r="G81" s="511">
        <v>12.0</v>
      </c>
      <c r="H81" s="276">
        <v>0.056338028169014086</v>
      </c>
      <c r="I81" s="28">
        <v>0.0</v>
      </c>
      <c r="J81" s="275">
        <v>15.0</v>
      </c>
      <c r="K81" s="1563">
        <v>0.07177033492822966</v>
      </c>
      <c r="L81" s="578">
        <v>0.9724</v>
      </c>
    </row>
    <row r="82" ht="22.5" customHeight="1">
      <c r="A82" s="5" t="s">
        <v>383</v>
      </c>
      <c r="B82" s="5" t="s">
        <v>153</v>
      </c>
      <c r="C82" s="273">
        <v>227.0</v>
      </c>
      <c r="D82" s="273">
        <v>5.0</v>
      </c>
      <c r="E82" s="1566">
        <v>0.022026431718061675</v>
      </c>
      <c r="F82" s="28">
        <v>0.0</v>
      </c>
      <c r="G82" s="511">
        <v>5.0</v>
      </c>
      <c r="H82" s="276">
        <v>0.022026431718061675</v>
      </c>
      <c r="I82" s="28">
        <v>0.0</v>
      </c>
      <c r="J82" s="275">
        <v>9.0</v>
      </c>
      <c r="K82" s="1567">
        <v>0.041666666666666664</v>
      </c>
      <c r="L82" s="578">
        <v>0.9992</v>
      </c>
    </row>
    <row r="83" ht="22.5" customHeight="1">
      <c r="A83" s="5" t="s">
        <v>383</v>
      </c>
      <c r="B83" s="5" t="s">
        <v>159</v>
      </c>
      <c r="C83" s="273">
        <v>1315.0</v>
      </c>
      <c r="D83" s="273">
        <v>5.0</v>
      </c>
      <c r="E83" s="1026">
        <v>0.0038022813688212928</v>
      </c>
      <c r="F83" s="28">
        <v>0.0</v>
      </c>
      <c r="G83" s="511">
        <v>42.0</v>
      </c>
      <c r="H83" s="276">
        <v>0.03193916349809886</v>
      </c>
      <c r="I83" s="28">
        <v>0.0</v>
      </c>
      <c r="J83" s="275">
        <v>23.0</v>
      </c>
      <c r="K83" s="1550">
        <v>0.017829457364341085</v>
      </c>
      <c r="L83" s="578">
        <v>1.0</v>
      </c>
    </row>
    <row r="84" ht="22.5" customHeight="1">
      <c r="A84" s="5" t="s">
        <v>383</v>
      </c>
      <c r="B84" s="5" t="s">
        <v>26</v>
      </c>
      <c r="C84" s="273">
        <v>503.0</v>
      </c>
      <c r="D84" s="273">
        <v>3.0</v>
      </c>
      <c r="E84" s="1569">
        <v>0.005964214711729622</v>
      </c>
      <c r="F84" s="28">
        <v>0.0</v>
      </c>
      <c r="G84" s="511">
        <v>33.0</v>
      </c>
      <c r="H84" s="276">
        <v>0.06560636182902585</v>
      </c>
      <c r="I84" s="28">
        <v>0.0</v>
      </c>
      <c r="J84" s="275">
        <v>15.0</v>
      </c>
      <c r="K84" s="606">
        <v>0.030927835051546393</v>
      </c>
      <c r="L84" s="578">
        <v>0.9966</v>
      </c>
    </row>
    <row r="85" ht="22.5" customHeight="1">
      <c r="A85" s="5" t="s">
        <v>383</v>
      </c>
      <c r="B85" s="5" t="s">
        <v>23</v>
      </c>
      <c r="C85" s="273">
        <v>849.0</v>
      </c>
      <c r="D85" s="273">
        <v>5.0</v>
      </c>
      <c r="E85" s="1569">
        <v>0.005889281507656066</v>
      </c>
      <c r="F85" s="28">
        <v>0.0</v>
      </c>
      <c r="G85" s="511">
        <v>27.0</v>
      </c>
      <c r="H85" s="276">
        <v>0.03180212014134275</v>
      </c>
      <c r="I85" s="28">
        <v>0.0</v>
      </c>
      <c r="J85" s="275">
        <v>49.0</v>
      </c>
      <c r="K85" s="1573">
        <v>0.05889423076923077</v>
      </c>
      <c r="L85" s="585">
        <v>1.0</v>
      </c>
    </row>
    <row r="86" ht="22.5" hidden="1" customHeight="1">
      <c r="A86" s="233"/>
      <c r="B86" s="234"/>
      <c r="C86" s="341"/>
      <c r="D86" s="341"/>
      <c r="E86" s="342"/>
      <c r="F86" s="343"/>
      <c r="G86" s="341"/>
      <c r="H86" s="1085"/>
      <c r="I86" s="344"/>
      <c r="J86" s="341"/>
      <c r="K86" s="342"/>
      <c r="L86" s="1087"/>
    </row>
    <row r="87" ht="22.5" hidden="1" customHeight="1">
      <c r="A87" s="233"/>
      <c r="B87" s="234"/>
      <c r="C87" s="345"/>
      <c r="D87" s="345"/>
      <c r="E87" s="1088"/>
      <c r="F87" s="1089"/>
      <c r="G87" s="345"/>
      <c r="H87" s="1090"/>
      <c r="I87" s="1091"/>
      <c r="J87" s="345"/>
      <c r="K87" s="1088"/>
      <c r="L87" s="1087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108"/>
      <c r="F90" s="108"/>
      <c r="G90" s="108"/>
      <c r="H90" s="1093"/>
      <c r="I90" s="315"/>
      <c r="J90" s="108"/>
      <c r="K90" s="108"/>
      <c r="L90" s="108"/>
    </row>
    <row r="91">
      <c r="C91" s="108"/>
      <c r="D91" s="108"/>
      <c r="E91" s="526"/>
      <c r="G91" s="588"/>
      <c r="H91" s="1099"/>
      <c r="I91" s="314"/>
      <c r="J91" s="79"/>
      <c r="K91" s="79"/>
      <c r="L91" s="79"/>
    </row>
    <row r="92">
      <c r="C92" s="108"/>
      <c r="D92" s="108"/>
      <c r="E92" s="526"/>
      <c r="G92" s="588"/>
      <c r="H92" s="1099"/>
      <c r="I92" s="314"/>
      <c r="J92" s="79"/>
      <c r="K92" s="79"/>
      <c r="L92" s="79"/>
    </row>
    <row r="93">
      <c r="C93" s="108"/>
      <c r="D93" s="108"/>
      <c r="E93" s="526"/>
      <c r="G93" s="1058"/>
      <c r="H93" s="1101"/>
      <c r="I93" s="314"/>
      <c r="J93" s="79"/>
      <c r="K93" s="79"/>
      <c r="L93" s="79"/>
    </row>
    <row r="94">
      <c r="C94" s="108"/>
      <c r="D94" s="245"/>
      <c r="E94" s="246"/>
      <c r="F94" s="246"/>
      <c r="G94" s="246"/>
      <c r="H94" s="1101"/>
      <c r="I94" s="314"/>
      <c r="J94" s="79"/>
      <c r="K94" s="79"/>
      <c r="L94" s="79"/>
    </row>
    <row r="95">
      <c r="C95" s="108"/>
      <c r="E95" s="247"/>
      <c r="F95" s="1128"/>
      <c r="G95" s="247"/>
      <c r="H95" s="1101"/>
      <c r="I95" s="314"/>
      <c r="J95" s="79"/>
      <c r="K95" s="79"/>
      <c r="L95" s="79"/>
    </row>
    <row r="96">
      <c r="C96" s="108"/>
      <c r="E96" s="247"/>
      <c r="F96" s="1128"/>
      <c r="G96" s="247"/>
      <c r="H96" s="1101"/>
      <c r="I96" s="314"/>
      <c r="J96" s="79"/>
      <c r="K96" s="79"/>
      <c r="L96" s="79"/>
    </row>
    <row r="97">
      <c r="C97" s="108"/>
      <c r="E97" s="247"/>
      <c r="F97" s="1128"/>
      <c r="G97" s="247"/>
      <c r="H97" s="1101"/>
      <c r="I97" s="314"/>
      <c r="J97" s="79"/>
      <c r="K97" s="79"/>
      <c r="L97" s="79"/>
    </row>
    <row r="98">
      <c r="C98" s="108"/>
      <c r="E98" s="247"/>
      <c r="F98" s="1128"/>
      <c r="G98" s="247"/>
      <c r="H98" s="1101"/>
      <c r="I98" s="314"/>
      <c r="J98" s="79"/>
      <c r="K98" s="79"/>
      <c r="L98" s="79"/>
    </row>
    <row r="99">
      <c r="C99" s="108"/>
      <c r="E99" s="247"/>
      <c r="F99" s="1128"/>
      <c r="G99" s="247"/>
      <c r="H99" s="1101"/>
      <c r="I99" s="314"/>
      <c r="J99" s="79"/>
      <c r="K99" s="79"/>
      <c r="L99" s="79"/>
    </row>
    <row r="100">
      <c r="C100" s="108"/>
      <c r="E100" s="247"/>
      <c r="F100" s="1128"/>
      <c r="G100" s="247"/>
      <c r="H100" s="1101"/>
      <c r="I100" s="314"/>
      <c r="J100" s="79"/>
      <c r="K100" s="79"/>
      <c r="L100" s="79"/>
    </row>
    <row r="101">
      <c r="C101" s="79"/>
      <c r="E101" s="247"/>
      <c r="F101" s="1128"/>
      <c r="G101" s="247"/>
      <c r="H101" s="1101"/>
      <c r="I101" s="314"/>
      <c r="J101" s="79"/>
      <c r="K101" s="79"/>
      <c r="L101" s="79"/>
    </row>
    <row r="102">
      <c r="C102" s="79"/>
      <c r="E102" s="247"/>
      <c r="F102" s="1128"/>
      <c r="G102" s="247"/>
      <c r="H102" s="1101"/>
      <c r="I102" s="314"/>
      <c r="J102" s="79"/>
      <c r="K102" s="79"/>
      <c r="L102" s="79"/>
    </row>
    <row r="103">
      <c r="C103" s="79"/>
      <c r="E103" s="247"/>
      <c r="F103" s="1128"/>
      <c r="G103" s="247"/>
      <c r="H103" s="1101"/>
      <c r="I103" s="314"/>
      <c r="J103" s="79"/>
      <c r="K103" s="79"/>
      <c r="L103" s="79"/>
    </row>
    <row r="104">
      <c r="C104" s="79"/>
      <c r="E104" s="247"/>
      <c r="F104" s="1128"/>
      <c r="G104" s="247"/>
      <c r="H104" s="1101"/>
      <c r="I104" s="314"/>
      <c r="J104" s="79"/>
      <c r="K104" s="79"/>
      <c r="L104" s="79"/>
    </row>
    <row r="105">
      <c r="C105" s="79"/>
      <c r="E105" s="247"/>
      <c r="F105" s="1128"/>
      <c r="G105" s="247"/>
      <c r="H105" s="1101"/>
      <c r="I105" s="314"/>
      <c r="J105" s="79"/>
      <c r="K105" s="79"/>
      <c r="L105" s="79"/>
    </row>
    <row r="106">
      <c r="C106" s="79"/>
      <c r="E106" s="247"/>
      <c r="F106" s="1128"/>
      <c r="G106" s="247"/>
      <c r="H106" s="1101"/>
      <c r="I106" s="314"/>
      <c r="J106" s="79"/>
      <c r="K106" s="79"/>
      <c r="L106" s="79"/>
    </row>
    <row r="107">
      <c r="C107" s="79"/>
      <c r="E107" s="247"/>
      <c r="F107" s="1128"/>
      <c r="G107" s="247"/>
      <c r="H107" s="1101"/>
      <c r="I107" s="314"/>
      <c r="J107" s="79"/>
      <c r="K107" s="79"/>
      <c r="L107" s="79"/>
    </row>
    <row r="108">
      <c r="C108" s="79"/>
      <c r="E108" s="247"/>
      <c r="F108" s="1128"/>
      <c r="G108" s="247"/>
      <c r="H108" s="1101"/>
      <c r="I108" s="314"/>
      <c r="J108" s="79"/>
      <c r="K108" s="79"/>
      <c r="L108" s="79"/>
    </row>
    <row r="109">
      <c r="C109" s="79"/>
      <c r="E109" s="247"/>
      <c r="F109" s="1128"/>
      <c r="G109" s="247"/>
      <c r="H109" s="1101"/>
      <c r="I109" s="314"/>
      <c r="J109" s="79"/>
      <c r="K109" s="79"/>
      <c r="L109" s="79"/>
    </row>
    <row r="110">
      <c r="C110" s="79"/>
      <c r="E110" s="247"/>
      <c r="F110" s="1128"/>
      <c r="G110" s="247"/>
      <c r="H110" s="1101"/>
      <c r="I110" s="314"/>
      <c r="J110" s="79"/>
      <c r="K110" s="79"/>
      <c r="L110" s="79"/>
    </row>
    <row r="111">
      <c r="C111" s="79"/>
      <c r="E111" s="247"/>
      <c r="F111" s="1128"/>
      <c r="G111" s="247"/>
      <c r="H111" s="1101"/>
      <c r="I111" s="314"/>
      <c r="J111" s="79"/>
      <c r="K111" s="79"/>
      <c r="L111" s="79"/>
    </row>
    <row r="112">
      <c r="C112" s="79"/>
      <c r="E112" s="247"/>
      <c r="F112" s="1128"/>
      <c r="G112" s="247"/>
      <c r="H112" s="1101"/>
      <c r="I112" s="314"/>
      <c r="J112" s="79"/>
      <c r="K112" s="79"/>
      <c r="L112" s="79"/>
    </row>
    <row r="113">
      <c r="C113" s="79"/>
      <c r="E113" s="247"/>
      <c r="F113" s="1128"/>
      <c r="G113" s="247"/>
      <c r="H113" s="1101"/>
      <c r="I113" s="314"/>
      <c r="J113" s="79"/>
      <c r="K113" s="79"/>
      <c r="L113" s="79"/>
    </row>
    <row r="114">
      <c r="C114" s="79"/>
      <c r="E114" s="247"/>
      <c r="F114" s="1128"/>
      <c r="G114" s="247"/>
      <c r="H114" s="1101"/>
      <c r="I114" s="314"/>
      <c r="J114" s="79"/>
      <c r="K114" s="79"/>
      <c r="L114" s="79"/>
    </row>
    <row r="115">
      <c r="C115" s="79"/>
      <c r="E115" s="247"/>
      <c r="F115" s="1128"/>
      <c r="G115" s="247"/>
      <c r="H115" s="1101"/>
      <c r="I115" s="314"/>
      <c r="J115" s="79"/>
      <c r="K115" s="79"/>
      <c r="L115" s="79"/>
    </row>
    <row r="116">
      <c r="C116" s="79"/>
      <c r="E116" s="247"/>
      <c r="F116" s="1128"/>
      <c r="G116" s="247"/>
      <c r="H116" s="1101"/>
      <c r="I116" s="314"/>
      <c r="J116" s="79"/>
      <c r="K116" s="79"/>
      <c r="L116" s="79"/>
    </row>
    <row r="117">
      <c r="C117" s="79"/>
      <c r="E117" s="247"/>
      <c r="F117" s="1128"/>
      <c r="G117" s="247"/>
      <c r="H117" s="1101"/>
      <c r="I117" s="314"/>
      <c r="J117" s="79"/>
      <c r="K117" s="79"/>
      <c r="L117" s="79"/>
    </row>
    <row r="118">
      <c r="C118" s="79"/>
      <c r="E118" s="247"/>
      <c r="F118" s="1128"/>
      <c r="G118" s="247"/>
      <c r="H118" s="1101"/>
      <c r="I118" s="314"/>
      <c r="J118" s="79"/>
      <c r="K118" s="79"/>
      <c r="L118" s="79"/>
    </row>
    <row r="119">
      <c r="C119" s="79"/>
      <c r="E119" s="1132"/>
      <c r="F119" s="1132"/>
      <c r="G119" s="1132"/>
      <c r="H119" s="1101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252"/>
      <c r="I743" s="314"/>
      <c r="J743" s="79"/>
      <c r="K743" s="79"/>
      <c r="L743" s="79"/>
    </row>
  </sheetData>
  <dataValidations>
    <dataValidation allowBlank="1" showDropDown="1" sqref="L2:L8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3</v>
      </c>
      <c r="E1" s="264" t="s">
        <v>4</v>
      </c>
      <c r="F1" s="779" t="s">
        <v>12</v>
      </c>
      <c r="G1" s="264" t="s">
        <v>5</v>
      </c>
      <c r="H1" s="780" t="s">
        <v>6</v>
      </c>
      <c r="I1" s="781" t="s">
        <v>7</v>
      </c>
      <c r="J1" s="264" t="s">
        <v>8</v>
      </c>
      <c r="K1" s="264" t="s">
        <v>9</v>
      </c>
      <c r="L1" s="147" t="s">
        <v>10</v>
      </c>
    </row>
    <row r="2" ht="22.5" customHeight="1">
      <c r="A2" s="5" t="s">
        <v>11</v>
      </c>
      <c r="B2" s="1171" t="s">
        <v>15</v>
      </c>
      <c r="C2" s="1172">
        <v>1562.0</v>
      </c>
      <c r="D2" s="1174">
        <v>5.0</v>
      </c>
      <c r="E2" s="1176">
        <v>0.0032</v>
      </c>
      <c r="F2" s="1178" t="s">
        <v>1945</v>
      </c>
      <c r="G2" s="1179">
        <v>31.0</v>
      </c>
      <c r="H2" s="1181">
        <v>0.0198</v>
      </c>
      <c r="I2" s="1182" t="s">
        <v>1947</v>
      </c>
      <c r="J2" s="1183">
        <v>118.0</v>
      </c>
      <c r="K2" s="1184">
        <v>0.0866</v>
      </c>
      <c r="L2" s="1185">
        <v>0.8747990688556726</v>
      </c>
    </row>
    <row r="3" ht="22.5" customHeight="1">
      <c r="A3" s="5" t="s">
        <v>11</v>
      </c>
      <c r="B3" s="1171" t="s">
        <v>13</v>
      </c>
      <c r="C3" s="1172">
        <v>5400.0</v>
      </c>
      <c r="D3" s="1186">
        <v>6.0</v>
      </c>
      <c r="E3" s="1187">
        <v>0.0011</v>
      </c>
      <c r="F3" s="1178" t="s">
        <v>1949</v>
      </c>
      <c r="G3" s="1188">
        <v>115.0</v>
      </c>
      <c r="H3" s="1189">
        <v>0.0215</v>
      </c>
      <c r="I3" s="1182" t="s">
        <v>1950</v>
      </c>
      <c r="J3" s="1190">
        <v>134.0</v>
      </c>
      <c r="K3" s="1192">
        <v>0.0266</v>
      </c>
      <c r="L3" s="1193">
        <v>0.9703125</v>
      </c>
    </row>
    <row r="4" ht="22.5" customHeight="1">
      <c r="A4" s="5" t="s">
        <v>11</v>
      </c>
      <c r="B4" s="1171" t="s">
        <v>27</v>
      </c>
      <c r="C4" s="1172">
        <v>2745.0</v>
      </c>
      <c r="D4" s="1186">
        <v>6.0</v>
      </c>
      <c r="E4" s="1195">
        <v>0.0022</v>
      </c>
      <c r="F4" s="1178" t="s">
        <v>1952</v>
      </c>
      <c r="G4" s="1196">
        <v>35.0</v>
      </c>
      <c r="H4" s="1197">
        <v>0.0131</v>
      </c>
      <c r="I4" s="1182" t="s">
        <v>1953</v>
      </c>
      <c r="J4" s="1198">
        <v>107.0</v>
      </c>
      <c r="K4" s="1199">
        <v>0.0422</v>
      </c>
      <c r="L4" s="1193">
        <v>0.9690046296296296</v>
      </c>
    </row>
    <row r="5" ht="22.5" customHeight="1">
      <c r="A5" s="5" t="s">
        <v>11</v>
      </c>
      <c r="B5" s="1171" t="s">
        <v>33</v>
      </c>
      <c r="C5" s="1172">
        <v>3320.0</v>
      </c>
      <c r="D5" s="1201">
        <v>12.0</v>
      </c>
      <c r="E5" s="1203">
        <v>0.0036</v>
      </c>
      <c r="F5" s="1178" t="s">
        <v>1956</v>
      </c>
      <c r="G5" s="1205">
        <v>39.0</v>
      </c>
      <c r="H5" s="1206">
        <v>0.012</v>
      </c>
      <c r="I5" s="1182" t="s">
        <v>1957</v>
      </c>
      <c r="J5" s="1190">
        <v>134.0</v>
      </c>
      <c r="K5" s="1208">
        <v>0.0438</v>
      </c>
      <c r="L5" s="1193">
        <v>0.9720162037037039</v>
      </c>
    </row>
    <row r="6" ht="22.5" customHeight="1">
      <c r="A6" s="5" t="s">
        <v>11</v>
      </c>
      <c r="B6" s="1171" t="s">
        <v>19</v>
      </c>
      <c r="C6" s="1172">
        <v>4865.0</v>
      </c>
      <c r="D6" s="1210">
        <v>2.0</v>
      </c>
      <c r="E6" s="1211">
        <v>4.0E-4</v>
      </c>
      <c r="F6" s="1178" t="s">
        <v>1959</v>
      </c>
      <c r="G6" s="1212">
        <v>80.0</v>
      </c>
      <c r="H6" s="1214">
        <v>0.0166</v>
      </c>
      <c r="I6" s="1182" t="s">
        <v>1961</v>
      </c>
      <c r="J6" s="1215">
        <v>188.0</v>
      </c>
      <c r="K6" s="1216">
        <v>0.0403</v>
      </c>
      <c r="L6" s="1218">
        <v>0.9464351851851852</v>
      </c>
    </row>
    <row r="7" ht="22.5" customHeight="1">
      <c r="A7" s="5" t="s">
        <v>11</v>
      </c>
      <c r="B7" s="1171" t="s">
        <v>46</v>
      </c>
      <c r="C7" s="1221">
        <v>416.0</v>
      </c>
      <c r="D7" s="1210">
        <v>2.0</v>
      </c>
      <c r="E7" s="1222">
        <v>0.0048</v>
      </c>
      <c r="F7" s="1178" t="s">
        <v>1963</v>
      </c>
      <c r="G7" s="1223">
        <v>8.0</v>
      </c>
      <c r="H7" s="1224">
        <v>0.0193</v>
      </c>
      <c r="I7" s="1182" t="s">
        <v>1964</v>
      </c>
      <c r="J7" s="1225">
        <v>7.0</v>
      </c>
      <c r="K7" s="1226">
        <v>0.0188</v>
      </c>
      <c r="L7" s="1227">
        <v>0.9942166765696178</v>
      </c>
    </row>
    <row r="8" ht="22.5" customHeight="1">
      <c r="A8" s="5" t="s">
        <v>11</v>
      </c>
      <c r="B8" s="1171" t="s">
        <v>50</v>
      </c>
      <c r="C8" s="1172">
        <v>1878.0</v>
      </c>
      <c r="D8" s="1174">
        <v>5.0</v>
      </c>
      <c r="E8" s="1230">
        <v>0.0027</v>
      </c>
      <c r="F8" s="1178" t="s">
        <v>1967</v>
      </c>
      <c r="G8" s="1231">
        <v>47.0</v>
      </c>
      <c r="H8" s="1232">
        <v>0.0256</v>
      </c>
      <c r="I8" s="1182" t="s">
        <v>1968</v>
      </c>
      <c r="J8" s="1233">
        <v>39.0</v>
      </c>
      <c r="K8" s="1234">
        <v>0.0234</v>
      </c>
      <c r="L8" s="1193">
        <v>0.9803275864596619</v>
      </c>
    </row>
    <row r="9" ht="22.5" customHeight="1">
      <c r="A9" s="5" t="s">
        <v>11</v>
      </c>
      <c r="B9" s="1171" t="s">
        <v>58</v>
      </c>
      <c r="C9" s="1172">
        <v>2272.0</v>
      </c>
      <c r="D9" s="1235" t="s">
        <v>17</v>
      </c>
      <c r="E9" s="1235" t="s">
        <v>17</v>
      </c>
      <c r="F9" s="1178" t="s">
        <v>17</v>
      </c>
      <c r="G9" s="1236">
        <v>46.0</v>
      </c>
      <c r="H9" s="1237">
        <v>0.0202</v>
      </c>
      <c r="I9" s="1182" t="s">
        <v>1969</v>
      </c>
      <c r="J9" s="1239">
        <v>31.0</v>
      </c>
      <c r="K9" s="1240">
        <v>0.0144</v>
      </c>
      <c r="L9" s="1242">
        <v>0.9911458333333333</v>
      </c>
    </row>
    <row r="10" ht="22.5" customHeight="1">
      <c r="A10" s="5" t="s">
        <v>11</v>
      </c>
      <c r="B10" s="1171" t="s">
        <v>64</v>
      </c>
      <c r="C10" s="1172">
        <v>1634.0</v>
      </c>
      <c r="D10" s="1235" t="s">
        <v>17</v>
      </c>
      <c r="E10" s="1235" t="s">
        <v>17</v>
      </c>
      <c r="F10" s="1178" t="s">
        <v>17</v>
      </c>
      <c r="G10" s="1243">
        <v>16.0</v>
      </c>
      <c r="H10" s="1244">
        <v>0.0098</v>
      </c>
      <c r="I10" s="1182" t="s">
        <v>1971</v>
      </c>
      <c r="J10" s="1245">
        <v>25.0</v>
      </c>
      <c r="K10" s="1246">
        <v>0.0168</v>
      </c>
      <c r="L10" s="1247">
        <v>0.9955324074074074</v>
      </c>
    </row>
    <row r="11" ht="22.5" customHeight="1">
      <c r="A11" s="5" t="s">
        <v>11</v>
      </c>
      <c r="B11" s="1171" t="s">
        <v>77</v>
      </c>
      <c r="C11" s="1172">
        <v>1739.0</v>
      </c>
      <c r="D11" s="1210">
        <v>2.0</v>
      </c>
      <c r="E11" s="1206">
        <v>0.0011</v>
      </c>
      <c r="F11" s="1178" t="s">
        <v>1973</v>
      </c>
      <c r="G11" s="1196">
        <v>35.0</v>
      </c>
      <c r="H11" s="1203">
        <v>0.0201</v>
      </c>
      <c r="I11" s="1182" t="s">
        <v>1974</v>
      </c>
      <c r="J11" s="1248">
        <v>52.0</v>
      </c>
      <c r="K11" s="1249">
        <v>0.0317</v>
      </c>
      <c r="L11" s="1193">
        <v>0.9594683908045977</v>
      </c>
    </row>
    <row r="12" ht="22.5" customHeight="1">
      <c r="A12" s="5" t="s">
        <v>11</v>
      </c>
      <c r="B12" s="1171" t="s">
        <v>82</v>
      </c>
      <c r="C12" s="1172">
        <v>1870.0</v>
      </c>
      <c r="D12" s="1225">
        <v>1.0</v>
      </c>
      <c r="E12" s="1251">
        <v>5.0E-4</v>
      </c>
      <c r="F12" s="1178" t="s">
        <v>41</v>
      </c>
      <c r="G12" s="1252">
        <v>13.0</v>
      </c>
      <c r="H12" s="1211">
        <v>0.007</v>
      </c>
      <c r="I12" s="1182" t="s">
        <v>1977</v>
      </c>
      <c r="J12" s="1174">
        <v>74.0</v>
      </c>
      <c r="K12" s="1199">
        <v>0.0421</v>
      </c>
      <c r="L12" s="1193">
        <v>0.9748989898989899</v>
      </c>
    </row>
    <row r="13" ht="22.5" customHeight="1">
      <c r="A13" s="5" t="s">
        <v>11</v>
      </c>
      <c r="B13" s="1171" t="s">
        <v>90</v>
      </c>
      <c r="C13" s="1172">
        <v>1814.0</v>
      </c>
      <c r="D13" s="1225">
        <v>1.0</v>
      </c>
      <c r="E13" s="1251">
        <v>6.0E-4</v>
      </c>
      <c r="F13" s="1178" t="s">
        <v>1978</v>
      </c>
      <c r="G13" s="1253">
        <v>24.0</v>
      </c>
      <c r="H13" s="1254">
        <v>0.0138</v>
      </c>
      <c r="I13" s="1182" t="s">
        <v>1979</v>
      </c>
      <c r="J13" s="1256">
        <v>58.0</v>
      </c>
      <c r="K13" s="1195">
        <v>0.0349</v>
      </c>
      <c r="L13" s="1193">
        <v>0.9730138888888888</v>
      </c>
    </row>
    <row r="14" ht="22.5" customHeight="1">
      <c r="A14" s="5" t="s">
        <v>11</v>
      </c>
      <c r="B14" s="1171" t="s">
        <v>94</v>
      </c>
      <c r="C14" s="1172">
        <v>1737.0</v>
      </c>
      <c r="D14" s="1235" t="s">
        <v>17</v>
      </c>
      <c r="E14" s="1235" t="s">
        <v>17</v>
      </c>
      <c r="F14" s="1178" t="s">
        <v>17</v>
      </c>
      <c r="G14" s="1257">
        <v>32.0</v>
      </c>
      <c r="H14" s="1258">
        <v>0.0184</v>
      </c>
      <c r="I14" s="1182" t="s">
        <v>1981</v>
      </c>
      <c r="J14" s="1259">
        <v>36.0</v>
      </c>
      <c r="K14" s="1234">
        <v>0.0234</v>
      </c>
      <c r="L14" s="1260">
        <v>0.9902166666666667</v>
      </c>
    </row>
    <row r="15" ht="22.5" customHeight="1">
      <c r="A15" s="5" t="s">
        <v>11</v>
      </c>
      <c r="B15" s="1171" t="s">
        <v>39</v>
      </c>
      <c r="C15" s="1172">
        <v>3508.0</v>
      </c>
      <c r="D15" s="1201">
        <v>12.0</v>
      </c>
      <c r="E15" s="1181">
        <v>0.0034</v>
      </c>
      <c r="F15" s="1178" t="s">
        <v>1983</v>
      </c>
      <c r="G15" s="1261">
        <v>85.0</v>
      </c>
      <c r="H15" s="1262">
        <v>0.0242</v>
      </c>
      <c r="I15" s="1182" t="s">
        <v>1984</v>
      </c>
      <c r="J15" s="1263">
        <v>209.0</v>
      </c>
      <c r="K15" s="1264">
        <v>0.066</v>
      </c>
      <c r="L15" s="1218">
        <v>0.9428032407407407</v>
      </c>
    </row>
    <row r="16" ht="22.5" customHeight="1">
      <c r="A16" s="5" t="s">
        <v>11</v>
      </c>
      <c r="B16" s="1171" t="s">
        <v>104</v>
      </c>
      <c r="C16" s="1221">
        <v>641.0</v>
      </c>
      <c r="D16" s="1174">
        <v>5.0</v>
      </c>
      <c r="E16" s="1184">
        <v>0.0077</v>
      </c>
      <c r="F16" s="1178" t="s">
        <v>1986</v>
      </c>
      <c r="G16" s="1225">
        <v>4.0</v>
      </c>
      <c r="H16" s="1224">
        <v>0.006</v>
      </c>
      <c r="I16" s="1182" t="s">
        <v>1988</v>
      </c>
      <c r="J16" s="1235" t="s">
        <v>17</v>
      </c>
      <c r="K16" s="1235" t="s">
        <v>17</v>
      </c>
      <c r="L16" s="1268">
        <v>1.0</v>
      </c>
    </row>
    <row r="17" ht="22.5" customHeight="1">
      <c r="A17" s="5" t="s">
        <v>11</v>
      </c>
      <c r="B17" s="1171" t="s">
        <v>1989</v>
      </c>
      <c r="C17" s="1172">
        <v>2427.0</v>
      </c>
      <c r="D17" s="1174">
        <v>5.0</v>
      </c>
      <c r="E17" s="1269">
        <v>0.0021</v>
      </c>
      <c r="F17" s="1178" t="s">
        <v>1990</v>
      </c>
      <c r="G17" s="1270">
        <v>36.0</v>
      </c>
      <c r="H17" s="1271">
        <v>0.0148</v>
      </c>
      <c r="I17" s="1182" t="s">
        <v>1991</v>
      </c>
      <c r="J17" s="1272">
        <v>38.0</v>
      </c>
      <c r="K17" s="1273">
        <v>0.0163</v>
      </c>
      <c r="L17" s="1274">
        <v>0.9870833333333333</v>
      </c>
    </row>
    <row r="18" ht="22.5" customHeight="1">
      <c r="A18" s="5" t="s">
        <v>11</v>
      </c>
      <c r="B18" s="1171" t="s">
        <v>59</v>
      </c>
      <c r="C18" s="1172">
        <v>3155.0</v>
      </c>
      <c r="D18" s="1186">
        <v>6.0</v>
      </c>
      <c r="E18" s="1249">
        <v>0.0019</v>
      </c>
      <c r="F18" s="1178" t="s">
        <v>1993</v>
      </c>
      <c r="G18" s="1276">
        <v>62.0</v>
      </c>
      <c r="H18" s="1176">
        <v>0.0197</v>
      </c>
      <c r="I18" s="1182" t="s">
        <v>1994</v>
      </c>
      <c r="J18" s="1277">
        <v>127.0</v>
      </c>
      <c r="K18" s="1199">
        <v>0.0424</v>
      </c>
      <c r="L18" s="1218">
        <v>0.9582398661944116</v>
      </c>
    </row>
    <row r="19" ht="22.5" customHeight="1">
      <c r="A19" s="5" t="s">
        <v>11</v>
      </c>
      <c r="B19" s="1171" t="s">
        <v>114</v>
      </c>
      <c r="C19" s="1172">
        <v>1582.0</v>
      </c>
      <c r="D19" s="1279">
        <v>3.0</v>
      </c>
      <c r="E19" s="1249">
        <v>0.0019</v>
      </c>
      <c r="F19" s="1178" t="s">
        <v>1996</v>
      </c>
      <c r="G19" s="1281">
        <v>37.0</v>
      </c>
      <c r="H19" s="1282">
        <v>0.0234</v>
      </c>
      <c r="I19" s="1182" t="s">
        <v>1997</v>
      </c>
      <c r="J19" s="1283">
        <v>63.0</v>
      </c>
      <c r="K19" s="1176">
        <v>0.0442</v>
      </c>
      <c r="L19" s="1193">
        <v>0.959861909323116</v>
      </c>
    </row>
    <row r="20" ht="22.5" customHeight="1">
      <c r="A20" s="5" t="s">
        <v>11</v>
      </c>
      <c r="B20" s="1171" t="s">
        <v>119</v>
      </c>
      <c r="C20" s="1172">
        <v>1288.0</v>
      </c>
      <c r="D20" s="1235" t="s">
        <v>17</v>
      </c>
      <c r="E20" s="1235" t="s">
        <v>17</v>
      </c>
      <c r="F20" s="1178" t="s">
        <v>17</v>
      </c>
      <c r="G20" s="1253">
        <v>24.0</v>
      </c>
      <c r="H20" s="1230">
        <v>0.0186</v>
      </c>
      <c r="I20" s="1182" t="s">
        <v>1999</v>
      </c>
      <c r="J20" s="1288">
        <v>46.0</v>
      </c>
      <c r="K20" s="1230">
        <v>0.039</v>
      </c>
      <c r="L20" s="1193">
        <v>0.9642615782150666</v>
      </c>
    </row>
    <row r="21" ht="22.5" customHeight="1">
      <c r="A21" s="5" t="s">
        <v>11</v>
      </c>
      <c r="B21" s="1171" t="s">
        <v>126</v>
      </c>
      <c r="C21" s="1172">
        <v>1148.0</v>
      </c>
      <c r="D21" s="1225">
        <v>1.0</v>
      </c>
      <c r="E21" s="1246">
        <v>9.0E-4</v>
      </c>
      <c r="F21" s="1178" t="s">
        <v>2001</v>
      </c>
      <c r="G21" s="1289">
        <v>29.0</v>
      </c>
      <c r="H21" s="1290">
        <v>0.0253</v>
      </c>
      <c r="I21" s="1182" t="s">
        <v>2002</v>
      </c>
      <c r="J21" s="1291">
        <v>27.0</v>
      </c>
      <c r="K21" s="1293">
        <v>0.025</v>
      </c>
      <c r="L21" s="1193">
        <v>0.9769387755102041</v>
      </c>
    </row>
    <row r="22" ht="22.5" customHeight="1">
      <c r="A22" s="5" t="s">
        <v>11</v>
      </c>
      <c r="B22" s="1171" t="s">
        <v>136</v>
      </c>
      <c r="C22" s="1172">
        <v>1965.0</v>
      </c>
      <c r="D22" s="1174">
        <v>5.0</v>
      </c>
      <c r="E22" s="1258">
        <v>0.0025</v>
      </c>
      <c r="F22" s="1178" t="s">
        <v>2005</v>
      </c>
      <c r="G22" s="1296">
        <v>15.0</v>
      </c>
      <c r="H22" s="1297">
        <v>0.0076</v>
      </c>
      <c r="I22" s="1182" t="s">
        <v>2006</v>
      </c>
      <c r="J22" s="1298">
        <v>40.0</v>
      </c>
      <c r="K22" s="1299">
        <v>0.0215</v>
      </c>
      <c r="L22" s="1193">
        <v>0.9775740740740742</v>
      </c>
    </row>
    <row r="23" ht="22.5" customHeight="1">
      <c r="A23" s="5" t="s">
        <v>11</v>
      </c>
      <c r="B23" s="1171" t="s">
        <v>72</v>
      </c>
      <c r="C23" s="1172">
        <v>1445.0</v>
      </c>
      <c r="D23" s="1174">
        <v>5.0</v>
      </c>
      <c r="E23" s="1181">
        <v>0.0034</v>
      </c>
      <c r="F23" s="1178" t="s">
        <v>2008</v>
      </c>
      <c r="G23" s="1302">
        <v>10.0</v>
      </c>
      <c r="H23" s="1224">
        <v>0.0069</v>
      </c>
      <c r="I23" s="1182" t="s">
        <v>2009</v>
      </c>
      <c r="J23" s="1305">
        <v>13.0</v>
      </c>
      <c r="K23" s="1211">
        <v>0.0098</v>
      </c>
      <c r="L23" s="1306">
        <v>0.9986004273504273</v>
      </c>
    </row>
    <row r="24" ht="22.5" customHeight="1">
      <c r="A24" s="5" t="s">
        <v>11</v>
      </c>
      <c r="B24" s="1171" t="s">
        <v>145</v>
      </c>
      <c r="C24" s="1172">
        <v>1391.0</v>
      </c>
      <c r="D24" s="1307">
        <v>8.0</v>
      </c>
      <c r="E24" s="1308">
        <v>0.0057</v>
      </c>
      <c r="F24" s="1178" t="s">
        <v>2010</v>
      </c>
      <c r="G24" s="1309">
        <v>30.0</v>
      </c>
      <c r="H24" s="1310">
        <v>0.0216</v>
      </c>
      <c r="I24" s="1182" t="s">
        <v>2012</v>
      </c>
      <c r="J24" s="1283">
        <v>63.0</v>
      </c>
      <c r="K24" s="1237">
        <v>0.0493</v>
      </c>
      <c r="L24" s="1193">
        <v>0.9693905345590739</v>
      </c>
    </row>
    <row r="25" ht="22.5" customHeight="1">
      <c r="A25" s="5" t="s">
        <v>11</v>
      </c>
      <c r="B25" s="1171" t="s">
        <v>85</v>
      </c>
      <c r="C25" s="1172">
        <v>2026.0</v>
      </c>
      <c r="D25" s="1314">
        <v>9.0</v>
      </c>
      <c r="E25" s="1315">
        <v>0.0044</v>
      </c>
      <c r="F25" s="1178" t="s">
        <v>2014</v>
      </c>
      <c r="G25" s="1316">
        <v>45.0</v>
      </c>
      <c r="H25" s="1317">
        <v>0.0227</v>
      </c>
      <c r="I25" s="1182" t="s">
        <v>2015</v>
      </c>
      <c r="J25" s="1318">
        <v>52.0</v>
      </c>
      <c r="K25" s="1319">
        <v>0.0275</v>
      </c>
      <c r="L25" s="1193">
        <v>0.973824074074074</v>
      </c>
    </row>
    <row r="26" ht="22.5" customHeight="1">
      <c r="A26" s="5" t="s">
        <v>11</v>
      </c>
      <c r="B26" s="1171" t="s">
        <v>109</v>
      </c>
      <c r="C26" s="1172">
        <v>2066.0</v>
      </c>
      <c r="D26" s="1186">
        <v>6.0</v>
      </c>
      <c r="E26" s="1199">
        <v>0.0029</v>
      </c>
      <c r="F26" s="1178" t="s">
        <v>2017</v>
      </c>
      <c r="G26" s="1324">
        <v>28.0</v>
      </c>
      <c r="H26" s="1325">
        <v>0.0136</v>
      </c>
      <c r="I26" s="1182" t="s">
        <v>2018</v>
      </c>
      <c r="J26" s="1291">
        <v>27.0</v>
      </c>
      <c r="K26" s="1240">
        <v>0.0141</v>
      </c>
      <c r="L26" s="1326">
        <v>0.9868349904064189</v>
      </c>
    </row>
    <row r="27" ht="22.5" customHeight="1">
      <c r="A27" s="5" t="s">
        <v>11</v>
      </c>
      <c r="B27" s="1171" t="s">
        <v>49</v>
      </c>
      <c r="C27" s="1172">
        <v>2792.0</v>
      </c>
      <c r="D27" s="1210">
        <v>2.0</v>
      </c>
      <c r="E27" s="1240">
        <v>7.0E-4</v>
      </c>
      <c r="F27" s="1178" t="s">
        <v>2019</v>
      </c>
      <c r="G27" s="1327">
        <v>43.0</v>
      </c>
      <c r="H27" s="1329">
        <v>0.0158</v>
      </c>
      <c r="I27" s="1182" t="s">
        <v>2020</v>
      </c>
      <c r="J27" s="1331">
        <v>59.0</v>
      </c>
      <c r="K27" s="1197">
        <v>0.0227</v>
      </c>
      <c r="L27" s="1332">
        <v>0.9949537037037037</v>
      </c>
    </row>
    <row r="28" ht="22.5" customHeight="1">
      <c r="A28" s="5" t="s">
        <v>11</v>
      </c>
      <c r="B28" s="1171" t="s">
        <v>115</v>
      </c>
      <c r="C28" s="1172">
        <v>1796.0</v>
      </c>
      <c r="D28" s="1210">
        <v>2.0</v>
      </c>
      <c r="E28" s="1334">
        <v>0.0011</v>
      </c>
      <c r="F28" s="1178" t="s">
        <v>2022</v>
      </c>
      <c r="G28" s="1253">
        <v>24.0</v>
      </c>
      <c r="H28" s="1234">
        <v>0.0134</v>
      </c>
      <c r="I28" s="1182" t="s">
        <v>2023</v>
      </c>
      <c r="J28" s="1335">
        <v>81.0</v>
      </c>
      <c r="K28" s="1237">
        <v>0.0496</v>
      </c>
      <c r="L28" s="1193">
        <v>0.9814666005291004</v>
      </c>
    </row>
    <row r="29" ht="22.5" customHeight="1">
      <c r="A29" s="5" t="s">
        <v>11</v>
      </c>
      <c r="B29" s="1171" t="s">
        <v>45</v>
      </c>
      <c r="C29" s="1172">
        <v>2998.0</v>
      </c>
      <c r="D29" s="1279">
        <v>3.0</v>
      </c>
      <c r="E29" s="1339">
        <v>0.001</v>
      </c>
      <c r="F29" s="1178" t="s">
        <v>2026</v>
      </c>
      <c r="G29" s="1316">
        <v>45.0</v>
      </c>
      <c r="H29" s="1192">
        <v>0.015</v>
      </c>
      <c r="I29" s="1182" t="s">
        <v>2027</v>
      </c>
      <c r="J29" s="1342">
        <v>128.0</v>
      </c>
      <c r="K29" s="1343">
        <v>0.0457</v>
      </c>
      <c r="L29" s="1218">
        <v>0.9576018518518518</v>
      </c>
    </row>
    <row r="30" ht="22.5" customHeight="1">
      <c r="A30" s="5" t="s">
        <v>11</v>
      </c>
      <c r="B30" s="1171" t="s">
        <v>170</v>
      </c>
      <c r="C30" s="1172">
        <v>1272.0</v>
      </c>
      <c r="D30" s="1210">
        <v>2.0</v>
      </c>
      <c r="E30" s="1192">
        <v>0.0016</v>
      </c>
      <c r="F30" s="1178" t="s">
        <v>1762</v>
      </c>
      <c r="G30" s="1346">
        <v>18.0</v>
      </c>
      <c r="H30" s="1293">
        <v>0.0142</v>
      </c>
      <c r="I30" s="1182" t="s">
        <v>2028</v>
      </c>
      <c r="J30" s="1348">
        <v>65.0</v>
      </c>
      <c r="K30" s="1315">
        <v>0.0557</v>
      </c>
      <c r="L30" s="1193">
        <v>0.9660348583877996</v>
      </c>
    </row>
    <row r="31" ht="22.5" customHeight="1">
      <c r="A31" s="5" t="s">
        <v>11</v>
      </c>
      <c r="B31" s="1171" t="s">
        <v>123</v>
      </c>
      <c r="C31" s="1172">
        <v>1870.0</v>
      </c>
      <c r="D31" s="1225">
        <v>1.0</v>
      </c>
      <c r="E31" s="1251">
        <v>5.0E-4</v>
      </c>
      <c r="F31" s="1178" t="s">
        <v>173</v>
      </c>
      <c r="G31" s="1350">
        <v>49.0</v>
      </c>
      <c r="H31" s="1184">
        <v>0.0262</v>
      </c>
      <c r="I31" s="1182" t="s">
        <v>2030</v>
      </c>
      <c r="J31" s="1351">
        <v>57.0</v>
      </c>
      <c r="K31" s="1269">
        <v>0.0334</v>
      </c>
      <c r="L31" s="1193">
        <v>0.9622964559386973</v>
      </c>
    </row>
    <row r="32" ht="22.5" customHeight="1">
      <c r="A32" s="5" t="s">
        <v>11</v>
      </c>
      <c r="B32" s="1171" t="s">
        <v>96</v>
      </c>
      <c r="C32" s="1172">
        <v>1626.0</v>
      </c>
      <c r="D32" s="1307">
        <v>8.0</v>
      </c>
      <c r="E32" s="1355">
        <v>0.0049</v>
      </c>
      <c r="F32" s="1178" t="s">
        <v>2031</v>
      </c>
      <c r="G32" s="1309">
        <v>30.0</v>
      </c>
      <c r="H32" s="1258">
        <v>0.0185</v>
      </c>
      <c r="I32" s="1182" t="s">
        <v>2032</v>
      </c>
      <c r="J32" s="1356">
        <v>37.0</v>
      </c>
      <c r="K32" s="1293">
        <v>0.025</v>
      </c>
      <c r="L32" s="1193">
        <v>0.9832854406130267</v>
      </c>
    </row>
    <row r="33" ht="22.5" customHeight="1">
      <c r="A33" s="5" t="s">
        <v>11</v>
      </c>
      <c r="B33" s="1171" t="s">
        <v>156</v>
      </c>
      <c r="C33" s="1172">
        <v>1839.0</v>
      </c>
      <c r="D33" s="1360">
        <v>4.0</v>
      </c>
      <c r="E33" s="1195">
        <v>0.0022</v>
      </c>
      <c r="F33" s="1178" t="s">
        <v>2033</v>
      </c>
      <c r="G33" s="1363">
        <v>34.0</v>
      </c>
      <c r="H33" s="1258">
        <v>0.0185</v>
      </c>
      <c r="I33" s="1182" t="s">
        <v>2034</v>
      </c>
      <c r="J33" s="1365">
        <v>41.0</v>
      </c>
      <c r="K33" s="1325">
        <v>0.0238</v>
      </c>
      <c r="L33" s="1368">
        <v>0.9848290598290598</v>
      </c>
    </row>
    <row r="34" ht="22.5" customHeight="1">
      <c r="A34" s="5" t="s">
        <v>11</v>
      </c>
      <c r="B34" s="1171" t="s">
        <v>153</v>
      </c>
      <c r="C34" s="1172">
        <v>1463.0</v>
      </c>
      <c r="D34" s="1225">
        <v>1.0</v>
      </c>
      <c r="E34" s="1370">
        <v>7.0E-4</v>
      </c>
      <c r="F34" s="1178" t="s">
        <v>2037</v>
      </c>
      <c r="G34" s="1371">
        <v>23.0</v>
      </c>
      <c r="H34" s="1373">
        <v>0.0157</v>
      </c>
      <c r="I34" s="1182" t="s">
        <v>2039</v>
      </c>
      <c r="J34" s="1376">
        <v>71.0</v>
      </c>
      <c r="K34" s="1377">
        <v>0.0529</v>
      </c>
      <c r="L34" s="1326">
        <v>0.986937037037037</v>
      </c>
    </row>
    <row r="35" ht="22.5" customHeight="1">
      <c r="A35" s="5" t="s">
        <v>11</v>
      </c>
      <c r="B35" s="1171" t="s">
        <v>159</v>
      </c>
      <c r="C35" s="1172">
        <v>1468.0</v>
      </c>
      <c r="D35" s="1210">
        <v>2.0</v>
      </c>
      <c r="E35" s="1325">
        <v>0.0014</v>
      </c>
      <c r="F35" s="1178" t="s">
        <v>149</v>
      </c>
      <c r="G35" s="1379">
        <v>20.0</v>
      </c>
      <c r="H35" s="1325">
        <v>0.0136</v>
      </c>
      <c r="I35" s="1182" t="s">
        <v>2041</v>
      </c>
      <c r="J35" s="1380">
        <v>22.0</v>
      </c>
      <c r="K35" s="1273">
        <v>0.0161</v>
      </c>
      <c r="L35" s="1381">
        <v>0.9905622552051124</v>
      </c>
    </row>
    <row r="36" ht="22.5" customHeight="1">
      <c r="A36" s="5" t="s">
        <v>11</v>
      </c>
      <c r="B36" s="1171" t="s">
        <v>26</v>
      </c>
      <c r="C36" s="1172">
        <v>3684.0</v>
      </c>
      <c r="D36" s="1174">
        <v>5.0</v>
      </c>
      <c r="E36" s="1325">
        <v>0.0014</v>
      </c>
      <c r="F36" s="1178" t="s">
        <v>2045</v>
      </c>
      <c r="G36" s="1383">
        <v>66.0</v>
      </c>
      <c r="H36" s="1384">
        <v>0.0182</v>
      </c>
      <c r="I36" s="1182" t="s">
        <v>2046</v>
      </c>
      <c r="J36" s="1385">
        <v>198.0</v>
      </c>
      <c r="K36" s="1189">
        <v>0.0567</v>
      </c>
      <c r="L36" s="1218">
        <v>0.9509203703703704</v>
      </c>
    </row>
    <row r="37" ht="22.5" customHeight="1">
      <c r="A37" s="5" t="s">
        <v>11</v>
      </c>
      <c r="B37" s="1171" t="s">
        <v>23</v>
      </c>
      <c r="C37" s="1172">
        <v>3478.0</v>
      </c>
      <c r="D37" s="1386">
        <v>7.0</v>
      </c>
      <c r="E37" s="1269">
        <v>0.002</v>
      </c>
      <c r="F37" s="1178" t="s">
        <v>2052</v>
      </c>
      <c r="G37" s="1327">
        <v>43.0</v>
      </c>
      <c r="H37" s="1299">
        <v>0.0124</v>
      </c>
      <c r="I37" s="1182" t="s">
        <v>2054</v>
      </c>
      <c r="J37" s="1388">
        <v>86.0</v>
      </c>
      <c r="K37" s="1389">
        <v>0.0261</v>
      </c>
      <c r="L37" s="1193">
        <v>0.966400462962963</v>
      </c>
    </row>
    <row r="38" ht="22.5" customHeight="1">
      <c r="A38" s="5" t="s">
        <v>11</v>
      </c>
      <c r="B38" s="1171" t="s">
        <v>2055</v>
      </c>
      <c r="C38" s="1172">
        <v>1808.0</v>
      </c>
      <c r="D38" s="1279">
        <v>3.0</v>
      </c>
      <c r="E38" s="1392">
        <v>0.0017</v>
      </c>
      <c r="F38" s="1178" t="s">
        <v>2059</v>
      </c>
      <c r="G38" s="1257">
        <v>32.0</v>
      </c>
      <c r="H38" s="1269">
        <v>0.0177</v>
      </c>
      <c r="I38" s="1182" t="s">
        <v>2061</v>
      </c>
      <c r="J38" s="1396">
        <v>57.0</v>
      </c>
      <c r="K38" s="1195">
        <v>0.0341</v>
      </c>
      <c r="L38" s="1400">
        <v>0.9878009259259259</v>
      </c>
    </row>
    <row r="39" ht="22.5" customHeight="1">
      <c r="A39" s="5" t="s">
        <v>11</v>
      </c>
      <c r="B39" s="1171" t="s">
        <v>497</v>
      </c>
      <c r="C39" s="1172">
        <v>2658.0</v>
      </c>
      <c r="D39" s="1263">
        <v>13.0</v>
      </c>
      <c r="E39" s="1355">
        <v>0.0049</v>
      </c>
      <c r="F39" s="1178" t="s">
        <v>2065</v>
      </c>
      <c r="G39" s="1324">
        <v>28.0</v>
      </c>
      <c r="H39" s="1402">
        <v>0.0105</v>
      </c>
      <c r="I39" s="1182" t="s">
        <v>2067</v>
      </c>
      <c r="J39" s="1186">
        <v>91.0</v>
      </c>
      <c r="K39" s="1384">
        <v>0.0356</v>
      </c>
      <c r="L39" s="1193">
        <v>0.9680185185185186</v>
      </c>
    </row>
    <row r="40" ht="22.5" customHeight="1">
      <c r="A40" s="5" t="s">
        <v>11</v>
      </c>
      <c r="B40" s="1171" t="s">
        <v>2069</v>
      </c>
      <c r="C40" s="1221">
        <v>756.0</v>
      </c>
      <c r="D40" s="1235" t="s">
        <v>17</v>
      </c>
      <c r="E40" s="1235" t="s">
        <v>17</v>
      </c>
      <c r="F40" s="1178" t="s">
        <v>17</v>
      </c>
      <c r="G40" s="1407">
        <v>9.0</v>
      </c>
      <c r="H40" s="1224">
        <v>0.0107</v>
      </c>
      <c r="I40" s="1182" t="s">
        <v>2073</v>
      </c>
      <c r="J40" s="1225">
        <v>7.0</v>
      </c>
      <c r="K40" s="1211">
        <v>0.0097</v>
      </c>
      <c r="L40" s="1409">
        <v>0.9988095238095238</v>
      </c>
    </row>
    <row r="41" ht="22.5" hidden="1" customHeight="1">
      <c r="A41" s="5" t="s">
        <v>185</v>
      </c>
      <c r="B41" s="1412" t="s">
        <v>15</v>
      </c>
      <c r="C41" s="174">
        <v>136.0</v>
      </c>
      <c r="D41" s="174">
        <v>0.0</v>
      </c>
      <c r="E41" s="174" t="s">
        <v>258</v>
      </c>
      <c r="F41" s="28">
        <v>0.0</v>
      </c>
      <c r="G41" s="47">
        <v>4.0</v>
      </c>
      <c r="H41" s="1025" t="s">
        <v>2080</v>
      </c>
      <c r="I41" s="1416" t="s">
        <v>2082</v>
      </c>
      <c r="J41" s="1419">
        <v>29.0</v>
      </c>
      <c r="K41" s="47" t="s">
        <v>2086</v>
      </c>
      <c r="L41" s="47" t="s">
        <v>2087</v>
      </c>
    </row>
    <row r="42" ht="22.5" hidden="1" customHeight="1">
      <c r="A42" s="5" t="s">
        <v>185</v>
      </c>
      <c r="B42" s="1412" t="s">
        <v>13</v>
      </c>
      <c r="C42" s="174">
        <v>2874.0</v>
      </c>
      <c r="D42" s="174">
        <v>3.0</v>
      </c>
      <c r="E42" s="174" t="s">
        <v>515</v>
      </c>
      <c r="F42" s="28">
        <v>0.0</v>
      </c>
      <c r="G42" s="47">
        <v>105.0</v>
      </c>
      <c r="H42" s="1025" t="s">
        <v>237</v>
      </c>
      <c r="I42" s="1416" t="s">
        <v>2092</v>
      </c>
      <c r="J42" s="1425">
        <v>450.0</v>
      </c>
      <c r="K42" s="47" t="s">
        <v>2050</v>
      </c>
      <c r="L42" s="47" t="s">
        <v>2095</v>
      </c>
    </row>
    <row r="43" ht="22.5" hidden="1" customHeight="1">
      <c r="A43" s="5" t="s">
        <v>185</v>
      </c>
      <c r="B43" s="1412" t="s">
        <v>2096</v>
      </c>
      <c r="C43" s="174">
        <v>1085.0</v>
      </c>
      <c r="D43" s="174">
        <v>0.0</v>
      </c>
      <c r="E43" s="174" t="s">
        <v>258</v>
      </c>
      <c r="F43" s="28">
        <v>0.0</v>
      </c>
      <c r="G43" s="47">
        <v>43.0</v>
      </c>
      <c r="H43" s="1025" t="s">
        <v>2099</v>
      </c>
      <c r="I43" s="1416" t="s">
        <v>2100</v>
      </c>
      <c r="J43" s="1419">
        <v>170.0</v>
      </c>
      <c r="K43" s="47" t="s">
        <v>2044</v>
      </c>
      <c r="L43" s="47" t="s">
        <v>221</v>
      </c>
    </row>
    <row r="44" ht="22.5" hidden="1" customHeight="1">
      <c r="A44" s="5" t="s">
        <v>185</v>
      </c>
      <c r="B44" s="1412" t="s">
        <v>33</v>
      </c>
      <c r="C44" s="174">
        <v>1489.0</v>
      </c>
      <c r="D44" s="174">
        <v>3.0</v>
      </c>
      <c r="E44" s="174" t="s">
        <v>1903</v>
      </c>
      <c r="F44" s="28">
        <v>0.0</v>
      </c>
      <c r="G44" s="47">
        <v>41.0</v>
      </c>
      <c r="H44" s="1025" t="s">
        <v>2102</v>
      </c>
      <c r="I44" s="1416" t="s">
        <v>2104</v>
      </c>
      <c r="J44" s="1425">
        <v>410.0</v>
      </c>
      <c r="K44" s="47" t="s">
        <v>2105</v>
      </c>
      <c r="L44" s="47" t="s">
        <v>2107</v>
      </c>
    </row>
    <row r="45" ht="22.5" hidden="1" customHeight="1">
      <c r="A45" s="5" t="s">
        <v>185</v>
      </c>
      <c r="B45" s="1412" t="s">
        <v>19</v>
      </c>
      <c r="C45" s="174">
        <v>1855.0</v>
      </c>
      <c r="D45" s="174">
        <v>2.0</v>
      </c>
      <c r="E45" s="174" t="s">
        <v>515</v>
      </c>
      <c r="F45" s="28">
        <v>0.0</v>
      </c>
      <c r="G45" s="47">
        <v>66.0</v>
      </c>
      <c r="H45" s="1025" t="s">
        <v>304</v>
      </c>
      <c r="I45" s="1416" t="s">
        <v>2113</v>
      </c>
      <c r="J45" s="1419">
        <v>370.0</v>
      </c>
      <c r="K45" s="47" t="s">
        <v>2116</v>
      </c>
      <c r="L45" s="47" t="s">
        <v>2117</v>
      </c>
    </row>
    <row r="46" ht="22.5" hidden="1" customHeight="1">
      <c r="A46" s="5" t="s">
        <v>185</v>
      </c>
      <c r="B46" s="1412" t="s">
        <v>77</v>
      </c>
      <c r="C46" s="174">
        <v>492.0</v>
      </c>
      <c r="D46" s="174">
        <v>0.0</v>
      </c>
      <c r="E46" s="174" t="s">
        <v>258</v>
      </c>
      <c r="F46" s="28">
        <v>0.0</v>
      </c>
      <c r="G46" s="47">
        <v>27.0</v>
      </c>
      <c r="H46" s="1025" t="s">
        <v>2122</v>
      </c>
      <c r="I46" s="1416" t="s">
        <v>2125</v>
      </c>
      <c r="J46" s="1425">
        <v>60.0</v>
      </c>
      <c r="K46" s="47" t="s">
        <v>2126</v>
      </c>
      <c r="L46" s="47" t="s">
        <v>2127</v>
      </c>
    </row>
    <row r="47" ht="22.5" hidden="1" customHeight="1">
      <c r="A47" s="5" t="s">
        <v>185</v>
      </c>
      <c r="B47" s="1412" t="s">
        <v>82</v>
      </c>
      <c r="C47" s="174">
        <v>586.0</v>
      </c>
      <c r="D47" s="174">
        <v>0.0</v>
      </c>
      <c r="E47" s="174" t="s">
        <v>258</v>
      </c>
      <c r="F47" s="28">
        <v>0.0</v>
      </c>
      <c r="G47" s="47">
        <v>18.0</v>
      </c>
      <c r="H47" s="1025" t="s">
        <v>2131</v>
      </c>
      <c r="I47" s="1416" t="s">
        <v>2134</v>
      </c>
      <c r="J47" s="1419">
        <v>110.0</v>
      </c>
      <c r="K47" s="47" t="s">
        <v>2135</v>
      </c>
      <c r="L47" s="47" t="s">
        <v>298</v>
      </c>
    </row>
    <row r="48" ht="22.5" hidden="1" customHeight="1">
      <c r="A48" s="5" t="s">
        <v>185</v>
      </c>
      <c r="B48" s="1412" t="s">
        <v>90</v>
      </c>
      <c r="C48" s="174">
        <v>33.0</v>
      </c>
      <c r="D48" s="174">
        <v>0.0</v>
      </c>
      <c r="E48" s="174" t="s">
        <v>258</v>
      </c>
      <c r="F48" s="28">
        <v>0.0</v>
      </c>
      <c r="G48" s="47">
        <v>3.0</v>
      </c>
      <c r="H48" s="1025" t="s">
        <v>2137</v>
      </c>
      <c r="I48" s="1416" t="s">
        <v>2138</v>
      </c>
      <c r="J48" s="1425">
        <v>5.0</v>
      </c>
      <c r="K48" s="47" t="s">
        <v>2141</v>
      </c>
      <c r="L48" s="47" t="s">
        <v>298</v>
      </c>
    </row>
    <row r="49" ht="22.5" hidden="1" customHeight="1">
      <c r="A49" s="5" t="s">
        <v>185</v>
      </c>
      <c r="B49" s="1412" t="s">
        <v>39</v>
      </c>
      <c r="C49" s="174">
        <v>217.0</v>
      </c>
      <c r="D49" s="174">
        <v>0.0</v>
      </c>
      <c r="E49" s="174" t="s">
        <v>258</v>
      </c>
      <c r="F49" s="28">
        <v>0.0</v>
      </c>
      <c r="G49" s="47">
        <v>13.0</v>
      </c>
      <c r="H49" s="1025" t="s">
        <v>2144</v>
      </c>
      <c r="I49" s="1416" t="s">
        <v>2146</v>
      </c>
      <c r="J49" s="1419">
        <v>76.0</v>
      </c>
      <c r="K49" s="47" t="s">
        <v>2148</v>
      </c>
      <c r="L49" s="47" t="s">
        <v>298</v>
      </c>
    </row>
    <row r="50" ht="22.5" hidden="1" customHeight="1">
      <c r="A50" s="5" t="s">
        <v>185</v>
      </c>
      <c r="B50" s="1412" t="s">
        <v>2150</v>
      </c>
      <c r="C50" s="174">
        <v>1374.0</v>
      </c>
      <c r="D50" s="174">
        <v>1.0</v>
      </c>
      <c r="E50" s="174" t="s">
        <v>521</v>
      </c>
      <c r="F50" s="28">
        <v>0.0</v>
      </c>
      <c r="G50" s="47">
        <v>42.0</v>
      </c>
      <c r="H50" s="1025" t="s">
        <v>2131</v>
      </c>
      <c r="I50" s="1416" t="s">
        <v>2153</v>
      </c>
      <c r="J50" s="1425">
        <v>191.0</v>
      </c>
      <c r="K50" s="47" t="s">
        <v>2154</v>
      </c>
      <c r="L50" s="47" t="s">
        <v>1894</v>
      </c>
    </row>
    <row r="51" ht="22.5" hidden="1" customHeight="1">
      <c r="A51" s="5" t="s">
        <v>185</v>
      </c>
      <c r="B51" s="1412" t="s">
        <v>59</v>
      </c>
      <c r="C51" s="174">
        <v>411.0</v>
      </c>
      <c r="D51" s="174">
        <v>0.0</v>
      </c>
      <c r="E51" s="174" t="s">
        <v>258</v>
      </c>
      <c r="F51" s="28">
        <v>0.0</v>
      </c>
      <c r="G51" s="47">
        <v>19.0</v>
      </c>
      <c r="H51" s="1025" t="s">
        <v>2159</v>
      </c>
      <c r="I51" s="1416" t="s">
        <v>2160</v>
      </c>
      <c r="J51" s="1419">
        <v>112.0</v>
      </c>
      <c r="K51" s="47" t="s">
        <v>1807</v>
      </c>
      <c r="L51" s="47" t="s">
        <v>2161</v>
      </c>
    </row>
    <row r="52" ht="22.5" hidden="1" customHeight="1">
      <c r="A52" s="5" t="s">
        <v>185</v>
      </c>
      <c r="B52" s="1412" t="s">
        <v>114</v>
      </c>
      <c r="C52" s="174">
        <v>618.0</v>
      </c>
      <c r="D52" s="174">
        <v>0.0</v>
      </c>
      <c r="E52" s="174" t="s">
        <v>258</v>
      </c>
      <c r="F52" s="28">
        <v>0.0</v>
      </c>
      <c r="G52" s="47">
        <v>32.0</v>
      </c>
      <c r="H52" s="1025" t="s">
        <v>2167</v>
      </c>
      <c r="I52" s="1416" t="s">
        <v>2168</v>
      </c>
      <c r="J52" s="1425">
        <v>124.0</v>
      </c>
      <c r="K52" s="47" t="s">
        <v>1815</v>
      </c>
      <c r="L52" s="47" t="s">
        <v>298</v>
      </c>
    </row>
    <row r="53" ht="22.5" hidden="1" customHeight="1">
      <c r="A53" s="5" t="s">
        <v>185</v>
      </c>
      <c r="B53" s="1412" t="s">
        <v>136</v>
      </c>
      <c r="C53" s="174">
        <v>274.0</v>
      </c>
      <c r="D53" s="174">
        <v>0.0</v>
      </c>
      <c r="E53" s="174" t="s">
        <v>258</v>
      </c>
      <c r="F53" s="28">
        <v>0.0</v>
      </c>
      <c r="G53" s="47">
        <v>14.0</v>
      </c>
      <c r="H53" s="1025" t="s">
        <v>2176</v>
      </c>
      <c r="I53" s="1416" t="s">
        <v>2177</v>
      </c>
      <c r="J53" s="1419">
        <v>75.0</v>
      </c>
      <c r="K53" s="47" t="s">
        <v>2178</v>
      </c>
      <c r="L53" s="47" t="s">
        <v>2179</v>
      </c>
    </row>
    <row r="54" ht="22.5" hidden="1" customHeight="1">
      <c r="A54" s="5" t="s">
        <v>185</v>
      </c>
      <c r="B54" s="1412" t="s">
        <v>85</v>
      </c>
      <c r="C54" s="174">
        <v>1220.0</v>
      </c>
      <c r="D54" s="174">
        <v>1.0</v>
      </c>
      <c r="E54" s="174" t="s">
        <v>1427</v>
      </c>
      <c r="F54" s="28">
        <v>0.0</v>
      </c>
      <c r="G54" s="47">
        <v>38.0</v>
      </c>
      <c r="H54" s="1025" t="s">
        <v>1401</v>
      </c>
      <c r="I54" s="1416" t="s">
        <v>2185</v>
      </c>
      <c r="J54" s="1425">
        <v>156.0</v>
      </c>
      <c r="K54" s="47" t="s">
        <v>2186</v>
      </c>
      <c r="L54" s="47" t="s">
        <v>2187</v>
      </c>
    </row>
    <row r="55" ht="22.5" hidden="1" customHeight="1">
      <c r="A55" s="5" t="s">
        <v>185</v>
      </c>
      <c r="B55" s="1412" t="s">
        <v>79</v>
      </c>
      <c r="C55" s="174">
        <v>747.0</v>
      </c>
      <c r="D55" s="174">
        <v>1.0</v>
      </c>
      <c r="E55" s="174" t="s">
        <v>697</v>
      </c>
      <c r="F55" s="28">
        <v>0.0</v>
      </c>
      <c r="G55" s="47">
        <v>24.0</v>
      </c>
      <c r="H55" s="1025" t="s">
        <v>2191</v>
      </c>
      <c r="I55" s="1416" t="s">
        <v>2193</v>
      </c>
      <c r="J55" s="1419">
        <v>97.0</v>
      </c>
      <c r="K55" s="47" t="s">
        <v>2194</v>
      </c>
      <c r="L55" s="47" t="s">
        <v>487</v>
      </c>
    </row>
    <row r="56" ht="22.5" hidden="1" customHeight="1">
      <c r="A56" s="5" t="s">
        <v>185</v>
      </c>
      <c r="B56" s="1412" t="s">
        <v>45</v>
      </c>
      <c r="C56" s="174">
        <v>943.0</v>
      </c>
      <c r="D56" s="174">
        <v>0.0</v>
      </c>
      <c r="E56" s="174" t="s">
        <v>258</v>
      </c>
      <c r="F56" s="28">
        <v>0.0</v>
      </c>
      <c r="G56" s="47">
        <v>38.0</v>
      </c>
      <c r="H56" s="1025" t="s">
        <v>2198</v>
      </c>
      <c r="I56" s="1416" t="s">
        <v>2199</v>
      </c>
      <c r="J56" s="1425">
        <v>43.0</v>
      </c>
      <c r="K56" s="47" t="s">
        <v>2201</v>
      </c>
      <c r="L56" s="47" t="s">
        <v>2202</v>
      </c>
    </row>
    <row r="57" ht="22.5" hidden="1" customHeight="1">
      <c r="A57" s="5" t="s">
        <v>185</v>
      </c>
      <c r="B57" s="1412" t="s">
        <v>170</v>
      </c>
      <c r="C57" s="174">
        <v>408.0</v>
      </c>
      <c r="D57" s="174">
        <v>2.0</v>
      </c>
      <c r="E57" s="174" t="s">
        <v>588</v>
      </c>
      <c r="F57" s="28">
        <v>0.0</v>
      </c>
      <c r="G57" s="47">
        <v>16.0</v>
      </c>
      <c r="H57" s="1025" t="s">
        <v>2205</v>
      </c>
      <c r="I57" s="1416" t="s">
        <v>2208</v>
      </c>
      <c r="J57" s="1419">
        <v>40.0</v>
      </c>
      <c r="K57" s="47" t="s">
        <v>2209</v>
      </c>
      <c r="L57" s="47" t="s">
        <v>2211</v>
      </c>
    </row>
    <row r="58" ht="22.5" hidden="1" customHeight="1">
      <c r="A58" s="5" t="s">
        <v>185</v>
      </c>
      <c r="B58" s="1412" t="s">
        <v>123</v>
      </c>
      <c r="C58" s="174">
        <v>210.0</v>
      </c>
      <c r="D58" s="174">
        <v>1.0</v>
      </c>
      <c r="E58" s="174" t="s">
        <v>2212</v>
      </c>
      <c r="F58" s="28">
        <v>0.0</v>
      </c>
      <c r="G58" s="47">
        <v>15.0</v>
      </c>
      <c r="H58" s="1025" t="s">
        <v>2214</v>
      </c>
      <c r="I58" s="1416" t="s">
        <v>2215</v>
      </c>
      <c r="J58" s="1425">
        <v>22.0</v>
      </c>
      <c r="K58" s="47" t="s">
        <v>2216</v>
      </c>
      <c r="L58" s="47" t="s">
        <v>2217</v>
      </c>
    </row>
    <row r="59" ht="22.5" hidden="1" customHeight="1">
      <c r="A59" s="5" t="s">
        <v>185</v>
      </c>
      <c r="B59" s="1412" t="s">
        <v>2219</v>
      </c>
      <c r="C59" s="174">
        <v>554.0</v>
      </c>
      <c r="D59" s="174">
        <v>1.0</v>
      </c>
      <c r="E59" s="174" t="s">
        <v>607</v>
      </c>
      <c r="F59" s="28">
        <v>0.0</v>
      </c>
      <c r="G59" s="47">
        <v>16.0</v>
      </c>
      <c r="H59" s="1025" t="s">
        <v>897</v>
      </c>
      <c r="I59" s="1416" t="s">
        <v>2224</v>
      </c>
      <c r="J59" s="1419">
        <v>92.0</v>
      </c>
      <c r="K59" s="47" t="s">
        <v>2225</v>
      </c>
      <c r="L59" s="47" t="s">
        <v>1404</v>
      </c>
    </row>
    <row r="60" ht="22.5" hidden="1" customHeight="1">
      <c r="A60" s="5" t="s">
        <v>185</v>
      </c>
      <c r="B60" s="1412" t="s">
        <v>26</v>
      </c>
      <c r="C60" s="174">
        <v>2539.0</v>
      </c>
      <c r="D60" s="174">
        <v>2.0</v>
      </c>
      <c r="E60" s="174" t="s">
        <v>521</v>
      </c>
      <c r="F60" s="28">
        <v>0.0</v>
      </c>
      <c r="G60" s="47">
        <v>117.0</v>
      </c>
      <c r="H60" s="1025" t="s">
        <v>2232</v>
      </c>
      <c r="I60" s="1416" t="s">
        <v>2233</v>
      </c>
      <c r="J60" s="1425">
        <v>232.0</v>
      </c>
      <c r="K60" s="47" t="s">
        <v>2234</v>
      </c>
      <c r="L60" s="47" t="s">
        <v>2235</v>
      </c>
    </row>
    <row r="61" ht="22.5" hidden="1" customHeight="1">
      <c r="A61" s="5" t="s">
        <v>185</v>
      </c>
      <c r="B61" s="1412" t="s">
        <v>2236</v>
      </c>
      <c r="C61" s="174">
        <v>932.0</v>
      </c>
      <c r="D61" s="174">
        <v>0.0</v>
      </c>
      <c r="E61" s="174" t="s">
        <v>258</v>
      </c>
      <c r="F61" s="28">
        <v>0.0</v>
      </c>
      <c r="G61" s="47">
        <v>42.0</v>
      </c>
      <c r="H61" s="1025" t="s">
        <v>810</v>
      </c>
      <c r="I61" s="1416" t="s">
        <v>2239</v>
      </c>
      <c r="J61" s="1419">
        <v>163.0</v>
      </c>
      <c r="K61" s="47" t="s">
        <v>2240</v>
      </c>
      <c r="L61" s="47" t="s">
        <v>2241</v>
      </c>
    </row>
    <row r="62" ht="22.5" hidden="1" customHeight="1">
      <c r="A62" s="5" t="s">
        <v>185</v>
      </c>
      <c r="B62" s="1412" t="s">
        <v>23</v>
      </c>
      <c r="C62" s="174">
        <v>1128.0</v>
      </c>
      <c r="D62" s="174">
        <v>4.0</v>
      </c>
      <c r="E62" s="174" t="s">
        <v>1090</v>
      </c>
      <c r="F62" s="28">
        <v>0.0</v>
      </c>
      <c r="G62" s="47">
        <v>39.0</v>
      </c>
      <c r="H62" s="1025" t="s">
        <v>1557</v>
      </c>
      <c r="I62" s="1416" t="s">
        <v>2244</v>
      </c>
      <c r="J62" s="1425">
        <v>272.0</v>
      </c>
      <c r="K62" s="47" t="s">
        <v>2245</v>
      </c>
      <c r="L62" s="47" t="s">
        <v>2246</v>
      </c>
    </row>
    <row r="63" ht="22.5" hidden="1" customHeight="1">
      <c r="A63" s="5" t="s">
        <v>185</v>
      </c>
      <c r="B63" s="1412" t="s">
        <v>505</v>
      </c>
      <c r="C63" s="174">
        <v>187.0</v>
      </c>
      <c r="D63" s="174">
        <v>0.0</v>
      </c>
      <c r="E63" s="174" t="s">
        <v>258</v>
      </c>
      <c r="F63" s="28">
        <v>0.0</v>
      </c>
      <c r="G63" s="47">
        <v>10.0</v>
      </c>
      <c r="H63" s="1025" t="s">
        <v>1857</v>
      </c>
      <c r="I63" s="1416" t="s">
        <v>2249</v>
      </c>
      <c r="J63" s="1419">
        <v>29.0</v>
      </c>
      <c r="K63" s="47" t="s">
        <v>2250</v>
      </c>
      <c r="L63" s="47" t="s">
        <v>345</v>
      </c>
    </row>
    <row r="64" ht="22.5" hidden="1" customHeight="1">
      <c r="A64" s="5" t="s">
        <v>383</v>
      </c>
      <c r="B64" s="1496" t="s">
        <v>492</v>
      </c>
      <c r="C64" s="336">
        <v>264.0</v>
      </c>
      <c r="D64" s="336">
        <v>5.0</v>
      </c>
      <c r="E64" s="1498">
        <v>0.01893939393939394</v>
      </c>
      <c r="F64" s="28">
        <v>0.0</v>
      </c>
      <c r="G64" s="1499">
        <v>3.0</v>
      </c>
      <c r="H64" s="337">
        <v>0.011363636363636364</v>
      </c>
      <c r="I64" s="28">
        <v>0.0</v>
      </c>
      <c r="J64" s="338">
        <v>20.0</v>
      </c>
      <c r="K64" s="1500">
        <v>0.0784313725490196</v>
      </c>
      <c r="L64" s="1501">
        <v>0.9708</v>
      </c>
    </row>
    <row r="65" ht="22.5" hidden="1" customHeight="1">
      <c r="A65" s="5" t="s">
        <v>383</v>
      </c>
      <c r="B65" s="1496" t="s">
        <v>488</v>
      </c>
      <c r="C65" s="336">
        <v>1191.0</v>
      </c>
      <c r="D65" s="336">
        <v>10.0</v>
      </c>
      <c r="E65" s="1504">
        <v>0.008396305625524769</v>
      </c>
      <c r="F65" s="28">
        <v>0.0</v>
      </c>
      <c r="G65" s="1499">
        <v>33.0</v>
      </c>
      <c r="H65" s="337">
        <v>0.027707808564231738</v>
      </c>
      <c r="I65" s="28">
        <v>0.0</v>
      </c>
      <c r="J65" s="338">
        <v>29.0</v>
      </c>
      <c r="K65" s="1506">
        <v>0.025283347863993024</v>
      </c>
      <c r="L65" s="281">
        <v>0.9796</v>
      </c>
    </row>
    <row r="66" ht="22.5" hidden="1" customHeight="1">
      <c r="A66" s="5" t="s">
        <v>383</v>
      </c>
      <c r="B66" s="1496" t="s">
        <v>500</v>
      </c>
      <c r="C66" s="336">
        <v>297.0</v>
      </c>
      <c r="D66" s="336">
        <v>6.0</v>
      </c>
      <c r="E66" s="1509">
        <v>0.020202020202020204</v>
      </c>
      <c r="F66" s="28">
        <v>0.0</v>
      </c>
      <c r="G66" s="1499">
        <v>2.0</v>
      </c>
      <c r="H66" s="337">
        <v>0.006734006734006734</v>
      </c>
      <c r="I66" s="28">
        <v>0.0</v>
      </c>
      <c r="J66" s="338">
        <v>3.0</v>
      </c>
      <c r="K66" s="337">
        <v>0.010416666666666666</v>
      </c>
      <c r="L66" s="281">
        <v>0.989</v>
      </c>
    </row>
    <row r="67" ht="22.5" hidden="1" customHeight="1">
      <c r="A67" s="5" t="s">
        <v>383</v>
      </c>
      <c r="B67" s="1496" t="s">
        <v>493</v>
      </c>
      <c r="C67" s="336">
        <v>579.0</v>
      </c>
      <c r="D67" s="336">
        <v>4.0</v>
      </c>
      <c r="E67" s="1512">
        <v>0.0069084628670120895</v>
      </c>
      <c r="F67" s="28">
        <v>0.0</v>
      </c>
      <c r="G67" s="1499">
        <v>22.0</v>
      </c>
      <c r="H67" s="337">
        <v>0.037996545768566495</v>
      </c>
      <c r="I67" s="28">
        <v>0.0</v>
      </c>
      <c r="J67" s="338">
        <v>23.0</v>
      </c>
      <c r="K67" s="1514">
        <v>0.040280210157618214</v>
      </c>
      <c r="L67" s="281">
        <v>0.9922</v>
      </c>
    </row>
    <row r="68" ht="22.5" hidden="1" customHeight="1">
      <c r="A68" s="5" t="s">
        <v>383</v>
      </c>
      <c r="B68" s="1496" t="s">
        <v>490</v>
      </c>
      <c r="C68" s="336">
        <v>784.0</v>
      </c>
      <c r="D68" s="336">
        <v>5.0</v>
      </c>
      <c r="E68" s="1516">
        <v>0.006377551020408163</v>
      </c>
      <c r="F68" s="28">
        <v>0.0</v>
      </c>
      <c r="G68" s="1499">
        <v>21.0</v>
      </c>
      <c r="H68" s="337">
        <v>0.026785714285714284</v>
      </c>
      <c r="I68" s="28">
        <v>0.0</v>
      </c>
      <c r="J68" s="338">
        <v>39.0</v>
      </c>
      <c r="K68" s="1518">
        <v>0.051655629139072845</v>
      </c>
      <c r="L68" s="278">
        <v>0.9164</v>
      </c>
    </row>
    <row r="69" ht="22.5" hidden="1" customHeight="1">
      <c r="A69" s="5" t="s">
        <v>383</v>
      </c>
      <c r="B69" s="1496" t="s">
        <v>2262</v>
      </c>
      <c r="C69" s="336">
        <v>368.0</v>
      </c>
      <c r="D69" s="336">
        <v>1.0</v>
      </c>
      <c r="E69" s="1522">
        <v>0.002717391304347826</v>
      </c>
      <c r="F69" s="28">
        <v>0.0</v>
      </c>
      <c r="G69" s="1499">
        <v>10.0</v>
      </c>
      <c r="H69" s="337">
        <v>0.02717391304347826</v>
      </c>
      <c r="I69" s="28">
        <v>0.0</v>
      </c>
      <c r="J69" s="338">
        <v>11.0</v>
      </c>
      <c r="K69" s="1524">
        <v>0.03064066852367688</v>
      </c>
      <c r="L69" s="281">
        <v>0.9783</v>
      </c>
    </row>
    <row r="70" ht="22.5" hidden="1" customHeight="1">
      <c r="A70" s="5" t="s">
        <v>383</v>
      </c>
      <c r="B70" s="1496" t="s">
        <v>494</v>
      </c>
      <c r="C70" s="336">
        <v>424.0</v>
      </c>
      <c r="D70" s="336">
        <v>9.0</v>
      </c>
      <c r="E70" s="1527">
        <v>0.02122641509433962</v>
      </c>
      <c r="F70" s="28">
        <v>0.0</v>
      </c>
      <c r="G70" s="1499">
        <v>13.0</v>
      </c>
      <c r="H70" s="337">
        <v>0.030660377358490566</v>
      </c>
      <c r="I70" s="28">
        <v>0.0</v>
      </c>
      <c r="J70" s="338">
        <v>6.0</v>
      </c>
      <c r="K70" s="1528">
        <v>0.014563106796116505</v>
      </c>
      <c r="L70" s="281">
        <v>0.9853</v>
      </c>
    </row>
    <row r="71" ht="22.5" hidden="1" customHeight="1">
      <c r="A71" s="5" t="s">
        <v>383</v>
      </c>
      <c r="B71" s="1496" t="s">
        <v>502</v>
      </c>
      <c r="C71" s="336">
        <v>282.0</v>
      </c>
      <c r="D71" s="336">
        <v>5.0</v>
      </c>
      <c r="E71" s="1530">
        <v>0.01773049645390071</v>
      </c>
      <c r="F71" s="28">
        <v>0.0</v>
      </c>
      <c r="G71" s="1499">
        <v>8.0</v>
      </c>
      <c r="H71" s="337">
        <v>0.028368794326241134</v>
      </c>
      <c r="I71" s="28">
        <v>0.0</v>
      </c>
      <c r="J71" s="338">
        <v>4.0</v>
      </c>
      <c r="K71" s="1533">
        <v>0.014705882352941176</v>
      </c>
      <c r="L71" s="281">
        <v>0.9966</v>
      </c>
    </row>
    <row r="72" ht="22.5" hidden="1" customHeight="1">
      <c r="A72" s="5" t="s">
        <v>383</v>
      </c>
      <c r="B72" s="1496" t="s">
        <v>508</v>
      </c>
      <c r="C72" s="336">
        <v>125.0</v>
      </c>
      <c r="D72" s="336">
        <v>6.0</v>
      </c>
      <c r="E72" s="337">
        <v>0.048</v>
      </c>
      <c r="F72" s="28">
        <v>0.0</v>
      </c>
      <c r="G72" s="1499">
        <v>7.0</v>
      </c>
      <c r="H72" s="337">
        <v>0.056</v>
      </c>
      <c r="I72" s="28">
        <v>0.0</v>
      </c>
      <c r="J72" s="338">
        <v>12.0</v>
      </c>
      <c r="K72" s="337">
        <v>0.10344827586206896</v>
      </c>
      <c r="L72" s="281">
        <v>0.9908</v>
      </c>
    </row>
    <row r="73" ht="22.5" hidden="1" customHeight="1">
      <c r="A73" s="5" t="s">
        <v>383</v>
      </c>
      <c r="B73" s="1496" t="s">
        <v>504</v>
      </c>
      <c r="C73" s="336">
        <v>161.0</v>
      </c>
      <c r="D73" s="336">
        <v>4.0</v>
      </c>
      <c r="E73" s="1500">
        <v>0.024844720496894408</v>
      </c>
      <c r="F73" s="28">
        <v>0.0</v>
      </c>
      <c r="G73" s="1499">
        <v>3.0</v>
      </c>
      <c r="H73" s="337">
        <v>0.018633540372670808</v>
      </c>
      <c r="I73" s="28">
        <v>0.0</v>
      </c>
      <c r="J73" s="338">
        <v>7.0</v>
      </c>
      <c r="K73" s="1538">
        <v>0.04516129032258064</v>
      </c>
      <c r="L73" s="1540">
        <v>0.7369</v>
      </c>
    </row>
    <row r="74" ht="22.5" hidden="1" customHeight="1">
      <c r="A74" s="5" t="s">
        <v>383</v>
      </c>
      <c r="B74" s="1496" t="s">
        <v>498</v>
      </c>
      <c r="C74" s="336">
        <v>456.0</v>
      </c>
      <c r="D74" s="336">
        <v>8.0</v>
      </c>
      <c r="E74" s="1541">
        <v>0.017543859649122806</v>
      </c>
      <c r="F74" s="28">
        <v>0.0</v>
      </c>
      <c r="G74" s="1499">
        <v>10.0</v>
      </c>
      <c r="H74" s="337">
        <v>0.021929824561403508</v>
      </c>
      <c r="I74" s="28">
        <v>0.0</v>
      </c>
      <c r="J74" s="338">
        <v>22.0</v>
      </c>
      <c r="K74" s="1544">
        <v>0.05057471264367816</v>
      </c>
      <c r="L74" s="281">
        <v>0.9971</v>
      </c>
    </row>
    <row r="75" ht="22.5" hidden="1" customHeight="1">
      <c r="A75" s="5" t="s">
        <v>383</v>
      </c>
      <c r="B75" s="1496" t="s">
        <v>506</v>
      </c>
      <c r="C75" s="336">
        <v>303.0</v>
      </c>
      <c r="D75" s="336">
        <v>2.0</v>
      </c>
      <c r="E75" s="1547">
        <v>0.006600660066006601</v>
      </c>
      <c r="F75" s="28">
        <v>0.0</v>
      </c>
      <c r="G75" s="1499">
        <v>1.0</v>
      </c>
      <c r="H75" s="337">
        <v>0.0033003300330033004</v>
      </c>
      <c r="I75" s="28">
        <v>0.0</v>
      </c>
      <c r="J75" s="338">
        <v>22.0</v>
      </c>
      <c r="K75" s="1549">
        <v>0.07407407407407407</v>
      </c>
      <c r="L75" s="281">
        <v>0.9943</v>
      </c>
    </row>
    <row r="76" ht="22.5" hidden="1" customHeight="1">
      <c r="A76" s="5" t="s">
        <v>383</v>
      </c>
      <c r="B76" s="1496" t="s">
        <v>501</v>
      </c>
      <c r="C76" s="336">
        <v>285.0</v>
      </c>
      <c r="D76" s="336">
        <v>2.0</v>
      </c>
      <c r="E76" s="1551">
        <v>0.007017543859649123</v>
      </c>
      <c r="F76" s="28">
        <v>0.0</v>
      </c>
      <c r="G76" s="1499">
        <v>9.0</v>
      </c>
      <c r="H76" s="337">
        <v>0.031578947368421054</v>
      </c>
      <c r="I76" s="28">
        <v>0.0</v>
      </c>
      <c r="J76" s="338">
        <v>12.0</v>
      </c>
      <c r="K76" s="1554">
        <v>0.043478260869565216</v>
      </c>
      <c r="L76" s="281">
        <v>0.9873</v>
      </c>
    </row>
    <row r="77" ht="22.5" hidden="1" customHeight="1">
      <c r="A77" s="5" t="s">
        <v>383</v>
      </c>
      <c r="B77" s="1496" t="s">
        <v>496</v>
      </c>
      <c r="C77" s="336">
        <v>478.0</v>
      </c>
      <c r="D77" s="336">
        <v>2.0</v>
      </c>
      <c r="E77" s="1556">
        <v>0.0041841004184100415</v>
      </c>
      <c r="F77" s="28">
        <v>0.0</v>
      </c>
      <c r="G77" s="1499">
        <v>15.0</v>
      </c>
      <c r="H77" s="337">
        <v>0.03138075313807531</v>
      </c>
      <c r="I77" s="28">
        <v>0.0</v>
      </c>
      <c r="J77" s="338">
        <v>9.0</v>
      </c>
      <c r="K77" s="1558">
        <v>0.019189765458422176</v>
      </c>
      <c r="L77" s="281">
        <v>0.999</v>
      </c>
    </row>
    <row r="78" ht="22.5" hidden="1" customHeight="1">
      <c r="A78" s="5" t="s">
        <v>383</v>
      </c>
      <c r="B78" s="1496" t="s">
        <v>499</v>
      </c>
      <c r="C78" s="336">
        <v>427.0</v>
      </c>
      <c r="D78" s="336">
        <v>2.0</v>
      </c>
      <c r="E78" s="1560">
        <v>0.00468384074941452</v>
      </c>
      <c r="F78" s="28">
        <v>0.0</v>
      </c>
      <c r="G78" s="1499">
        <v>19.0</v>
      </c>
      <c r="H78" s="337">
        <v>0.04449648711943794</v>
      </c>
      <c r="I78" s="28">
        <v>0.0</v>
      </c>
      <c r="J78" s="338">
        <v>21.0</v>
      </c>
      <c r="K78" s="1562">
        <v>0.05</v>
      </c>
      <c r="L78" s="281">
        <v>0.9827</v>
      </c>
    </row>
    <row r="79" ht="22.5" hidden="1" customHeight="1">
      <c r="A79" s="5" t="s">
        <v>383</v>
      </c>
      <c r="B79" s="1496" t="s">
        <v>507</v>
      </c>
      <c r="C79" s="336">
        <v>284.0</v>
      </c>
      <c r="D79" s="336">
        <v>0.0</v>
      </c>
      <c r="E79" s="337">
        <v>0.0</v>
      </c>
      <c r="F79" s="28">
        <v>0.0</v>
      </c>
      <c r="G79" s="1499">
        <v>20.0</v>
      </c>
      <c r="H79" s="337">
        <v>0.07042253521126761</v>
      </c>
      <c r="I79" s="28">
        <v>0.0</v>
      </c>
      <c r="J79" s="338">
        <v>9.0</v>
      </c>
      <c r="K79" s="1564">
        <v>0.031914893617021274</v>
      </c>
      <c r="L79" s="281">
        <v>0.9811</v>
      </c>
    </row>
    <row r="80" ht="22.5" hidden="1" customHeight="1">
      <c r="A80" s="5" t="s">
        <v>383</v>
      </c>
      <c r="B80" s="1496" t="s">
        <v>503</v>
      </c>
      <c r="C80" s="336">
        <v>220.0</v>
      </c>
      <c r="D80" s="336">
        <v>1.0</v>
      </c>
      <c r="E80" s="1565">
        <v>0.004545454545454545</v>
      </c>
      <c r="F80" s="28">
        <v>0.0</v>
      </c>
      <c r="G80" s="1499">
        <v>5.0</v>
      </c>
      <c r="H80" s="337">
        <v>0.022727272727272728</v>
      </c>
      <c r="I80" s="28">
        <v>0.0</v>
      </c>
      <c r="J80" s="338">
        <v>7.0</v>
      </c>
      <c r="K80" s="1564">
        <v>0.03211009174311927</v>
      </c>
      <c r="L80" s="281">
        <v>0.9748</v>
      </c>
    </row>
    <row r="81" ht="22.5" hidden="1" customHeight="1">
      <c r="A81" s="5" t="s">
        <v>383</v>
      </c>
      <c r="B81" s="1496" t="s">
        <v>505</v>
      </c>
      <c r="C81" s="336">
        <v>214.0</v>
      </c>
      <c r="D81" s="336">
        <v>1.0</v>
      </c>
      <c r="E81" s="1560">
        <v>0.004672897196261682</v>
      </c>
      <c r="F81" s="28">
        <v>0.0</v>
      </c>
      <c r="G81" s="1499">
        <v>6.0</v>
      </c>
      <c r="H81" s="337">
        <v>0.028037383177570093</v>
      </c>
      <c r="I81" s="28">
        <v>0.0</v>
      </c>
      <c r="J81" s="338">
        <v>6.0</v>
      </c>
      <c r="K81" s="1547">
        <v>0.02843601895734597</v>
      </c>
      <c r="L81" s="281">
        <v>1.0</v>
      </c>
    </row>
    <row r="82" ht="22.5" hidden="1" customHeight="1">
      <c r="A82" s="5" t="s">
        <v>383</v>
      </c>
      <c r="B82" s="1496" t="s">
        <v>489</v>
      </c>
      <c r="C82" s="336">
        <v>1513.0</v>
      </c>
      <c r="D82" s="336">
        <v>12.0</v>
      </c>
      <c r="E82" s="1564">
        <v>0.007931262392597489</v>
      </c>
      <c r="F82" s="28">
        <v>0.0</v>
      </c>
      <c r="G82" s="1499">
        <v>27.0</v>
      </c>
      <c r="H82" s="337">
        <v>0.01784534038334435</v>
      </c>
      <c r="I82" s="28">
        <v>0.0</v>
      </c>
      <c r="J82" s="1499">
        <v>35.0</v>
      </c>
      <c r="K82" s="1570">
        <v>0.023923444976076555</v>
      </c>
      <c r="L82" s="281">
        <v>0.9913</v>
      </c>
    </row>
    <row r="83" ht="22.5" hidden="1" customHeight="1">
      <c r="A83" s="5" t="s">
        <v>383</v>
      </c>
      <c r="B83" s="1496" t="s">
        <v>495</v>
      </c>
      <c r="C83" s="336">
        <v>357.0</v>
      </c>
      <c r="D83" s="336">
        <v>2.0</v>
      </c>
      <c r="E83" s="1572">
        <v>0.0056022408963585435</v>
      </c>
      <c r="F83" s="28">
        <v>0.0</v>
      </c>
      <c r="G83" s="1499">
        <v>18.0</v>
      </c>
      <c r="H83" s="337">
        <v>0.05042016806722689</v>
      </c>
      <c r="I83" s="28">
        <v>0.0</v>
      </c>
      <c r="J83" s="338">
        <v>10.0</v>
      </c>
      <c r="K83" s="1574">
        <v>0.029585798816568046</v>
      </c>
      <c r="L83" s="278">
        <v>0.8946</v>
      </c>
    </row>
    <row r="84" ht="22.5" hidden="1" customHeight="1">
      <c r="A84" s="5" t="s">
        <v>383</v>
      </c>
      <c r="B84" s="1496" t="s">
        <v>491</v>
      </c>
      <c r="C84" s="336">
        <v>707.0</v>
      </c>
      <c r="D84" s="336">
        <v>2.0</v>
      </c>
      <c r="E84" s="1522">
        <v>0.002828854314002829</v>
      </c>
      <c r="F84" s="28">
        <v>0.0</v>
      </c>
      <c r="G84" s="1499">
        <v>25.0</v>
      </c>
      <c r="H84" s="337">
        <v>0.03536067892503536</v>
      </c>
      <c r="I84" s="28">
        <v>0.0</v>
      </c>
      <c r="J84" s="338">
        <v>25.0</v>
      </c>
      <c r="K84" s="1575">
        <v>0.035868005738880916</v>
      </c>
      <c r="L84" s="281">
        <v>1.0</v>
      </c>
    </row>
    <row r="85" ht="22.5" hidden="1" customHeight="1">
      <c r="A85" s="233"/>
      <c r="B85" s="234"/>
      <c r="C85" s="341"/>
      <c r="D85" s="341"/>
      <c r="E85" s="342"/>
      <c r="F85" s="343"/>
      <c r="G85" s="341"/>
      <c r="H85" s="1085"/>
      <c r="I85" s="344"/>
      <c r="J85" s="341"/>
      <c r="K85" s="342"/>
      <c r="L85" s="1087"/>
    </row>
    <row r="86" ht="22.5" hidden="1" customHeight="1">
      <c r="A86" s="233"/>
      <c r="B86" s="234"/>
      <c r="C86" s="345"/>
      <c r="D86" s="345"/>
      <c r="E86" s="1088"/>
      <c r="F86" s="1089"/>
      <c r="G86" s="345"/>
      <c r="H86" s="1090"/>
      <c r="I86" s="1091"/>
      <c r="J86" s="345"/>
      <c r="K86" s="1088"/>
      <c r="L86" s="1087"/>
    </row>
    <row r="87">
      <c r="C87" s="108"/>
      <c r="D87" s="108"/>
      <c r="E87" s="108"/>
      <c r="F87" s="108"/>
      <c r="G87" s="108"/>
      <c r="H87" s="1093"/>
      <c r="I87" s="315"/>
      <c r="J87" s="108"/>
      <c r="K87" s="108"/>
      <c r="L87" s="108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526"/>
      <c r="G90" s="588"/>
      <c r="H90" s="1099"/>
      <c r="I90" s="314"/>
      <c r="J90" s="79"/>
      <c r="K90" s="79"/>
      <c r="L90" s="79"/>
    </row>
    <row r="91">
      <c r="C91" s="108"/>
      <c r="D91" s="108"/>
      <c r="E91" s="526"/>
      <c r="G91" s="588"/>
      <c r="H91" s="1099"/>
      <c r="I91" s="314"/>
      <c r="J91" s="79"/>
      <c r="K91" s="79"/>
      <c r="L91" s="79"/>
    </row>
    <row r="92">
      <c r="C92" s="108"/>
      <c r="D92" s="108"/>
      <c r="E92" s="526"/>
      <c r="G92" s="1058"/>
      <c r="H92" s="1101"/>
      <c r="I92" s="314"/>
      <c r="J92" s="79"/>
      <c r="K92" s="79"/>
      <c r="L92" s="79"/>
    </row>
    <row r="93">
      <c r="C93" s="108"/>
      <c r="D93" s="245"/>
      <c r="E93" s="246"/>
      <c r="F93" s="246"/>
      <c r="G93" s="246"/>
      <c r="H93" s="1101"/>
      <c r="I93" s="314"/>
      <c r="J93" s="79"/>
      <c r="K93" s="79"/>
      <c r="L93" s="79"/>
    </row>
    <row r="94">
      <c r="C94" s="108"/>
      <c r="E94" s="247"/>
      <c r="F94" s="1128"/>
      <c r="G94" s="247"/>
      <c r="H94" s="1101"/>
      <c r="I94" s="314"/>
      <c r="J94" s="79"/>
      <c r="K94" s="79"/>
      <c r="L94" s="79"/>
    </row>
    <row r="95">
      <c r="C95" s="108"/>
      <c r="E95" s="247"/>
      <c r="F95" s="1128"/>
      <c r="G95" s="247"/>
      <c r="H95" s="1101"/>
      <c r="I95" s="314"/>
      <c r="J95" s="79"/>
      <c r="K95" s="79"/>
      <c r="L95" s="79"/>
    </row>
    <row r="96">
      <c r="C96" s="108"/>
      <c r="E96" s="247"/>
      <c r="F96" s="1128"/>
      <c r="G96" s="247"/>
      <c r="H96" s="1101"/>
      <c r="I96" s="314"/>
      <c r="J96" s="79"/>
      <c r="K96" s="79"/>
      <c r="L96" s="79"/>
    </row>
    <row r="97">
      <c r="C97" s="108"/>
      <c r="E97" s="247"/>
      <c r="F97" s="1128"/>
      <c r="G97" s="247"/>
      <c r="H97" s="1101"/>
      <c r="I97" s="314"/>
      <c r="J97" s="79"/>
      <c r="K97" s="79"/>
      <c r="L97" s="79"/>
    </row>
    <row r="98">
      <c r="C98" s="108"/>
      <c r="E98" s="247"/>
      <c r="F98" s="1128"/>
      <c r="G98" s="247"/>
      <c r="H98" s="1101"/>
      <c r="I98" s="314"/>
      <c r="J98" s="79"/>
      <c r="K98" s="79"/>
      <c r="L98" s="79"/>
    </row>
    <row r="99">
      <c r="C99" s="108"/>
      <c r="E99" s="247"/>
      <c r="F99" s="1128"/>
      <c r="G99" s="247"/>
      <c r="H99" s="1101"/>
      <c r="I99" s="314"/>
      <c r="J99" s="79"/>
      <c r="K99" s="79"/>
      <c r="L99" s="79"/>
    </row>
    <row r="100">
      <c r="C100" s="79"/>
      <c r="E100" s="247"/>
      <c r="F100" s="1128"/>
      <c r="G100" s="247"/>
      <c r="H100" s="1101"/>
      <c r="I100" s="314"/>
      <c r="J100" s="79"/>
      <c r="K100" s="79"/>
      <c r="L100" s="79"/>
    </row>
    <row r="101">
      <c r="C101" s="79"/>
      <c r="E101" s="247"/>
      <c r="F101" s="1128"/>
      <c r="G101" s="247"/>
      <c r="H101" s="1101"/>
      <c r="I101" s="314"/>
      <c r="J101" s="79"/>
      <c r="K101" s="79"/>
      <c r="L101" s="79"/>
    </row>
    <row r="102">
      <c r="C102" s="79"/>
      <c r="E102" s="247"/>
      <c r="F102" s="1128"/>
      <c r="G102" s="247"/>
      <c r="H102" s="1101"/>
      <c r="I102" s="314"/>
      <c r="J102" s="79"/>
      <c r="K102" s="79"/>
      <c r="L102" s="79"/>
    </row>
    <row r="103">
      <c r="C103" s="79"/>
      <c r="E103" s="247"/>
      <c r="F103" s="1128"/>
      <c r="G103" s="247"/>
      <c r="H103" s="1101"/>
      <c r="I103" s="314"/>
      <c r="J103" s="79"/>
      <c r="K103" s="79"/>
      <c r="L103" s="79"/>
    </row>
    <row r="104">
      <c r="C104" s="79"/>
      <c r="E104" s="247"/>
      <c r="F104" s="1128"/>
      <c r="G104" s="247"/>
      <c r="H104" s="1101"/>
      <c r="I104" s="314"/>
      <c r="J104" s="79"/>
      <c r="K104" s="79"/>
      <c r="L104" s="79"/>
    </row>
    <row r="105">
      <c r="C105" s="79"/>
      <c r="E105" s="247"/>
      <c r="F105" s="1128"/>
      <c r="G105" s="247"/>
      <c r="H105" s="1101"/>
      <c r="I105" s="314"/>
      <c r="J105" s="79"/>
      <c r="K105" s="79"/>
      <c r="L105" s="79"/>
    </row>
    <row r="106">
      <c r="C106" s="79"/>
      <c r="E106" s="247"/>
      <c r="F106" s="1128"/>
      <c r="G106" s="247"/>
      <c r="H106" s="1101"/>
      <c r="I106" s="314"/>
      <c r="J106" s="79"/>
      <c r="K106" s="79"/>
      <c r="L106" s="79"/>
    </row>
    <row r="107">
      <c r="C107" s="79"/>
      <c r="E107" s="247"/>
      <c r="F107" s="1128"/>
      <c r="G107" s="247"/>
      <c r="H107" s="1101"/>
      <c r="I107" s="314"/>
      <c r="J107" s="79"/>
      <c r="K107" s="79"/>
      <c r="L107" s="79"/>
    </row>
    <row r="108">
      <c r="C108" s="79"/>
      <c r="E108" s="247"/>
      <c r="F108" s="1128"/>
      <c r="G108" s="247"/>
      <c r="H108" s="1101"/>
      <c r="I108" s="314"/>
      <c r="J108" s="79"/>
      <c r="K108" s="79"/>
      <c r="L108" s="79"/>
    </row>
    <row r="109">
      <c r="C109" s="79"/>
      <c r="E109" s="247"/>
      <c r="F109" s="1128"/>
      <c r="G109" s="247"/>
      <c r="H109" s="1101"/>
      <c r="I109" s="314"/>
      <c r="J109" s="79"/>
      <c r="K109" s="79"/>
      <c r="L109" s="79"/>
    </row>
    <row r="110">
      <c r="C110" s="79"/>
      <c r="E110" s="247"/>
      <c r="F110" s="1128"/>
      <c r="G110" s="247"/>
      <c r="H110" s="1101"/>
      <c r="I110" s="314"/>
      <c r="J110" s="79"/>
      <c r="K110" s="79"/>
      <c r="L110" s="79"/>
    </row>
    <row r="111">
      <c r="C111" s="79"/>
      <c r="E111" s="247"/>
      <c r="F111" s="1128"/>
      <c r="G111" s="247"/>
      <c r="H111" s="1101"/>
      <c r="I111" s="314"/>
      <c r="J111" s="79"/>
      <c r="K111" s="79"/>
      <c r="L111" s="79"/>
    </row>
    <row r="112">
      <c r="C112" s="79"/>
      <c r="E112" s="247"/>
      <c r="F112" s="1128"/>
      <c r="G112" s="247"/>
      <c r="H112" s="1101"/>
      <c r="I112" s="314"/>
      <c r="J112" s="79"/>
      <c r="K112" s="79"/>
      <c r="L112" s="79"/>
    </row>
    <row r="113">
      <c r="C113" s="79"/>
      <c r="E113" s="247"/>
      <c r="F113" s="1128"/>
      <c r="G113" s="247"/>
      <c r="H113" s="1101"/>
      <c r="I113" s="314"/>
      <c r="J113" s="79"/>
      <c r="K113" s="79"/>
      <c r="L113" s="79"/>
    </row>
    <row r="114">
      <c r="C114" s="79"/>
      <c r="E114" s="247"/>
      <c r="F114" s="1128"/>
      <c r="G114" s="247"/>
      <c r="H114" s="1101"/>
      <c r="I114" s="314"/>
      <c r="J114" s="79"/>
      <c r="K114" s="79"/>
      <c r="L114" s="79"/>
    </row>
    <row r="115">
      <c r="C115" s="79"/>
      <c r="E115" s="247"/>
      <c r="F115" s="1128"/>
      <c r="G115" s="247"/>
      <c r="H115" s="1101"/>
      <c r="I115" s="314"/>
      <c r="J115" s="79"/>
      <c r="K115" s="79"/>
      <c r="L115" s="79"/>
    </row>
    <row r="116">
      <c r="C116" s="79"/>
      <c r="E116" s="247"/>
      <c r="F116" s="1128"/>
      <c r="G116" s="247"/>
      <c r="H116" s="1101"/>
      <c r="I116" s="314"/>
      <c r="J116" s="79"/>
      <c r="K116" s="79"/>
      <c r="L116" s="79"/>
    </row>
    <row r="117">
      <c r="C117" s="79"/>
      <c r="E117" s="247"/>
      <c r="F117" s="1128"/>
      <c r="G117" s="247"/>
      <c r="H117" s="1101"/>
      <c r="I117" s="314"/>
      <c r="J117" s="79"/>
      <c r="K117" s="79"/>
      <c r="L117" s="79"/>
    </row>
    <row r="118">
      <c r="C118" s="79"/>
      <c r="E118" s="1132"/>
      <c r="F118" s="1132"/>
      <c r="G118" s="1132"/>
      <c r="H118" s="1101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252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</sheetData>
  <dataValidations>
    <dataValidation allowBlank="1" showDropDown="1" sqref="L2:L8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15.38"/>
    <col customWidth="1" min="8" max="8" width="22.63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3</v>
      </c>
      <c r="E1" s="264" t="s">
        <v>4</v>
      </c>
      <c r="F1" s="779" t="s">
        <v>12</v>
      </c>
      <c r="G1" s="264" t="s">
        <v>5</v>
      </c>
      <c r="H1" s="780" t="s">
        <v>6</v>
      </c>
      <c r="I1" s="781" t="s">
        <v>7</v>
      </c>
      <c r="J1" s="264" t="s">
        <v>8</v>
      </c>
      <c r="K1" s="264" t="s">
        <v>9</v>
      </c>
      <c r="L1" s="147" t="s">
        <v>10</v>
      </c>
    </row>
    <row r="2" ht="22.5" customHeight="1">
      <c r="A2" s="5" t="s">
        <v>11</v>
      </c>
      <c r="B2" s="5" t="s">
        <v>15</v>
      </c>
      <c r="C2" s="351">
        <v>323.0</v>
      </c>
      <c r="D2" s="351" t="s">
        <v>17</v>
      </c>
      <c r="E2" s="603" t="s">
        <v>17</v>
      </c>
      <c r="F2" s="354" t="s">
        <v>17</v>
      </c>
      <c r="G2" s="831">
        <v>2.0</v>
      </c>
      <c r="H2" s="766">
        <v>0.0248</v>
      </c>
      <c r="I2" s="357" t="s">
        <v>1647</v>
      </c>
      <c r="J2" s="1284">
        <v>76.0</v>
      </c>
      <c r="K2" s="474">
        <v>0.2594</v>
      </c>
      <c r="L2" s="794">
        <f>100-12.95</f>
        <v>87.05</v>
      </c>
    </row>
    <row r="3" ht="22.5" customHeight="1">
      <c r="A3" s="5" t="s">
        <v>11</v>
      </c>
      <c r="B3" s="5" t="s">
        <v>13</v>
      </c>
      <c r="C3" s="351">
        <v>1161.0</v>
      </c>
      <c r="D3" s="351" t="s">
        <v>17</v>
      </c>
      <c r="E3" s="603" t="s">
        <v>17</v>
      </c>
      <c r="F3" s="354" t="s">
        <v>17</v>
      </c>
      <c r="G3" s="365">
        <v>19.0</v>
      </c>
      <c r="H3" s="830">
        <v>0.0121</v>
      </c>
      <c r="I3" s="357" t="s">
        <v>1652</v>
      </c>
      <c r="J3" s="1292">
        <v>153.0</v>
      </c>
      <c r="K3" s="756">
        <v>0.1422</v>
      </c>
      <c r="L3" s="794">
        <f>100-3.03</f>
        <v>96.97</v>
      </c>
    </row>
    <row r="4" ht="22.5" customHeight="1">
      <c r="A4" s="5" t="s">
        <v>11</v>
      </c>
      <c r="B4" s="5" t="s">
        <v>27</v>
      </c>
      <c r="C4" s="351">
        <v>576.0</v>
      </c>
      <c r="D4" s="22">
        <v>1.0</v>
      </c>
      <c r="E4" s="850">
        <v>0.0019</v>
      </c>
      <c r="F4" s="354" t="s">
        <v>1624</v>
      </c>
      <c r="G4" s="853">
        <v>9.0</v>
      </c>
      <c r="H4" s="391">
        <v>0.0087</v>
      </c>
      <c r="I4" s="357" t="s">
        <v>1657</v>
      </c>
      <c r="J4" s="1300">
        <v>80.0</v>
      </c>
      <c r="K4" s="447">
        <v>0.1527</v>
      </c>
      <c r="L4" s="812">
        <f>100-2.81</f>
        <v>97.19</v>
      </c>
    </row>
    <row r="5" ht="22.5" customHeight="1">
      <c r="A5" s="5" t="s">
        <v>11</v>
      </c>
      <c r="B5" s="5" t="s">
        <v>33</v>
      </c>
      <c r="C5" s="351">
        <v>699.0</v>
      </c>
      <c r="D5" s="394">
        <v>2.0</v>
      </c>
      <c r="E5" s="541">
        <v>0.003</v>
      </c>
      <c r="F5" s="354" t="s">
        <v>149</v>
      </c>
      <c r="G5" s="853">
        <v>9.0</v>
      </c>
      <c r="H5" s="637">
        <v>0.01</v>
      </c>
      <c r="I5" s="357" t="s">
        <v>1661</v>
      </c>
      <c r="J5" s="1311">
        <v>97.0</v>
      </c>
      <c r="K5" s="773">
        <v>0.1516</v>
      </c>
      <c r="L5" s="794">
        <f>100-3.73</f>
        <v>96.27</v>
      </c>
    </row>
    <row r="6" ht="22.5" customHeight="1">
      <c r="A6" s="5" t="s">
        <v>11</v>
      </c>
      <c r="B6" s="5" t="s">
        <v>918</v>
      </c>
      <c r="C6" s="351">
        <v>169.0</v>
      </c>
      <c r="D6" s="351" t="s">
        <v>17</v>
      </c>
      <c r="E6" s="603" t="s">
        <v>17</v>
      </c>
      <c r="F6" s="354" t="s">
        <v>17</v>
      </c>
      <c r="G6" s="416">
        <v>4.0</v>
      </c>
      <c r="H6" s="372">
        <v>0.0059</v>
      </c>
      <c r="I6" s="357" t="s">
        <v>1669</v>
      </c>
      <c r="J6" s="1320">
        <v>2.0</v>
      </c>
      <c r="K6" s="23">
        <v>0.0122</v>
      </c>
      <c r="L6" s="878">
        <f>100-0.11</f>
        <v>99.89</v>
      </c>
    </row>
    <row r="7" ht="22.5" customHeight="1">
      <c r="A7" s="5" t="s">
        <v>11</v>
      </c>
      <c r="B7" s="5" t="s">
        <v>19</v>
      </c>
      <c r="C7" s="351">
        <v>981.0</v>
      </c>
      <c r="D7" s="22">
        <v>1.0</v>
      </c>
      <c r="E7" s="23">
        <v>0.001</v>
      </c>
      <c r="F7" s="354" t="s">
        <v>1672</v>
      </c>
      <c r="G7" s="1009">
        <v>11.0</v>
      </c>
      <c r="H7" s="403">
        <v>0.0183</v>
      </c>
      <c r="I7" s="357" t="s">
        <v>1675</v>
      </c>
      <c r="J7" s="1328">
        <v>176.0</v>
      </c>
      <c r="K7" s="1330">
        <v>0.1884</v>
      </c>
      <c r="L7" s="891">
        <f>100-5.11</f>
        <v>94.89</v>
      </c>
    </row>
    <row r="8" ht="22.5" customHeight="1">
      <c r="A8" s="5" t="s">
        <v>11</v>
      </c>
      <c r="B8" s="5" t="s">
        <v>46</v>
      </c>
      <c r="C8" s="351">
        <v>97.0</v>
      </c>
      <c r="D8" s="394">
        <v>2.0</v>
      </c>
      <c r="E8" s="474">
        <v>0.0211</v>
      </c>
      <c r="F8" s="354" t="s">
        <v>911</v>
      </c>
      <c r="G8" s="22">
        <v>0.0</v>
      </c>
      <c r="H8" s="771">
        <v>0.0</v>
      </c>
      <c r="I8" s="1337">
        <v>0.0</v>
      </c>
      <c r="J8" s="1338">
        <v>8.0</v>
      </c>
      <c r="K8" s="670">
        <v>0.092</v>
      </c>
      <c r="L8" s="891">
        <f>100-11.43</f>
        <v>88.57</v>
      </c>
    </row>
    <row r="9" ht="22.5" customHeight="1">
      <c r="A9" s="5" t="s">
        <v>11</v>
      </c>
      <c r="B9" s="5" t="s">
        <v>50</v>
      </c>
      <c r="C9" s="351">
        <v>423.0</v>
      </c>
      <c r="D9" s="351" t="s">
        <v>17</v>
      </c>
      <c r="E9" s="603" t="s">
        <v>17</v>
      </c>
      <c r="F9" s="354" t="s">
        <v>17</v>
      </c>
      <c r="G9" s="1042">
        <v>8.0</v>
      </c>
      <c r="H9" s="1344">
        <v>0.0236</v>
      </c>
      <c r="I9" s="357" t="s">
        <v>1691</v>
      </c>
      <c r="J9" s="1345">
        <v>50.0</v>
      </c>
      <c r="K9" s="642">
        <v>0.1316</v>
      </c>
      <c r="L9" s="891">
        <f>100-2.2</f>
        <v>97.8</v>
      </c>
    </row>
    <row r="10" ht="22.5" customHeight="1">
      <c r="A10" s="5" t="s">
        <v>11</v>
      </c>
      <c r="B10" s="5" t="s">
        <v>58</v>
      </c>
      <c r="C10" s="351">
        <v>503.0</v>
      </c>
      <c r="D10" s="351" t="s">
        <v>17</v>
      </c>
      <c r="E10" s="603" t="s">
        <v>17</v>
      </c>
      <c r="F10" s="354" t="s">
        <v>17</v>
      </c>
      <c r="G10" s="748">
        <v>14.0</v>
      </c>
      <c r="H10" s="1352">
        <v>0.0258</v>
      </c>
      <c r="I10" s="357" t="s">
        <v>1704</v>
      </c>
      <c r="J10" s="1354">
        <v>32.0</v>
      </c>
      <c r="K10" s="672">
        <v>0.0657</v>
      </c>
      <c r="L10" s="891">
        <f>100-2.74</f>
        <v>97.26</v>
      </c>
    </row>
    <row r="11" ht="22.5" customHeight="1">
      <c r="A11" s="5" t="s">
        <v>11</v>
      </c>
      <c r="B11" s="5" t="s">
        <v>64</v>
      </c>
      <c r="C11" s="351">
        <v>332.0</v>
      </c>
      <c r="D11" s="351" t="s">
        <v>17</v>
      </c>
      <c r="E11" s="603" t="s">
        <v>17</v>
      </c>
      <c r="F11" s="354" t="s">
        <v>17</v>
      </c>
      <c r="G11" s="957">
        <v>1.0</v>
      </c>
      <c r="H11" s="1359">
        <v>0.009</v>
      </c>
      <c r="I11" s="357" t="s">
        <v>105</v>
      </c>
      <c r="J11" s="1362">
        <v>21.0</v>
      </c>
      <c r="K11" s="830">
        <v>0.068</v>
      </c>
      <c r="L11" s="891">
        <f>100-0.42</f>
        <v>99.58</v>
      </c>
    </row>
    <row r="12" ht="22.5" customHeight="1">
      <c r="A12" s="5" t="s">
        <v>11</v>
      </c>
      <c r="B12" s="5" t="s">
        <v>71</v>
      </c>
      <c r="C12" s="351">
        <v>401.0</v>
      </c>
      <c r="D12" s="351" t="s">
        <v>17</v>
      </c>
      <c r="E12" s="603" t="s">
        <v>17</v>
      </c>
      <c r="F12" s="354" t="s">
        <v>17</v>
      </c>
      <c r="G12" s="423">
        <v>5.0</v>
      </c>
      <c r="H12" s="1372">
        <v>0.0274</v>
      </c>
      <c r="I12" s="357" t="s">
        <v>1710</v>
      </c>
      <c r="J12" s="1374">
        <v>56.0</v>
      </c>
      <c r="K12" s="1378">
        <v>0.1485</v>
      </c>
      <c r="L12" s="834">
        <f>100-3.08</f>
        <v>96.92</v>
      </c>
    </row>
    <row r="13" ht="22.5" customHeight="1">
      <c r="A13" s="5" t="s">
        <v>11</v>
      </c>
      <c r="B13" s="5" t="s">
        <v>77</v>
      </c>
      <c r="C13" s="351">
        <v>344.0</v>
      </c>
      <c r="D13" s="351" t="s">
        <v>17</v>
      </c>
      <c r="E13" s="603" t="s">
        <v>17</v>
      </c>
      <c r="F13" s="354" t="s">
        <v>17</v>
      </c>
      <c r="G13" s="416">
        <v>4.0</v>
      </c>
      <c r="H13" s="617">
        <v>0.0174</v>
      </c>
      <c r="I13" s="357" t="s">
        <v>1713</v>
      </c>
      <c r="J13" s="1382">
        <v>39.0</v>
      </c>
      <c r="K13" s="466">
        <v>0.1207</v>
      </c>
      <c r="L13" s="891">
        <f>100-3.95</f>
        <v>96.05</v>
      </c>
    </row>
    <row r="14" ht="22.5" customHeight="1">
      <c r="A14" s="5" t="s">
        <v>11</v>
      </c>
      <c r="B14" s="5" t="s">
        <v>82</v>
      </c>
      <c r="C14" s="351">
        <v>373.0</v>
      </c>
      <c r="D14" s="351" t="s">
        <v>17</v>
      </c>
      <c r="E14" s="603" t="s">
        <v>17</v>
      </c>
      <c r="F14" s="354" t="s">
        <v>17</v>
      </c>
      <c r="G14" s="674">
        <v>3.0</v>
      </c>
      <c r="H14" s="461"/>
      <c r="I14" s="357" t="s">
        <v>1718</v>
      </c>
      <c r="J14" s="1374">
        <v>56.0</v>
      </c>
      <c r="K14" s="1387">
        <v>0.1569</v>
      </c>
      <c r="L14" s="891">
        <f>100-3.23</f>
        <v>96.77</v>
      </c>
    </row>
    <row r="15" ht="22.5" customHeight="1">
      <c r="A15" s="5" t="s">
        <v>11</v>
      </c>
      <c r="B15" s="5" t="s">
        <v>90</v>
      </c>
      <c r="C15" s="351">
        <v>372.0</v>
      </c>
      <c r="D15" s="22">
        <v>1.0</v>
      </c>
      <c r="E15" s="620">
        <v>0.0027</v>
      </c>
      <c r="F15" s="354" t="s">
        <v>1723</v>
      </c>
      <c r="G15" s="416">
        <v>4.0</v>
      </c>
      <c r="H15" s="1394">
        <v>0.0134</v>
      </c>
      <c r="I15" s="357" t="s">
        <v>1724</v>
      </c>
      <c r="J15" s="1398">
        <v>37.0</v>
      </c>
      <c r="K15" s="611">
        <v>0.1082</v>
      </c>
      <c r="L15" s="891">
        <f>100-2.49</f>
        <v>97.51</v>
      </c>
    </row>
    <row r="16" ht="22.5" customHeight="1">
      <c r="A16" s="5" t="s">
        <v>11</v>
      </c>
      <c r="B16" s="5" t="s">
        <v>94</v>
      </c>
      <c r="C16" s="351">
        <v>390.0</v>
      </c>
      <c r="D16" s="351" t="s">
        <v>17</v>
      </c>
      <c r="E16" s="603" t="s">
        <v>17</v>
      </c>
      <c r="F16" s="354" t="s">
        <v>17</v>
      </c>
      <c r="G16" s="519">
        <v>6.0</v>
      </c>
      <c r="H16" s="1048">
        <v>0.0128</v>
      </c>
      <c r="I16" s="357" t="s">
        <v>1728</v>
      </c>
      <c r="J16" s="1404">
        <v>42.0</v>
      </c>
      <c r="K16" s="1406">
        <v>0.1224</v>
      </c>
      <c r="L16" s="891">
        <f>100-0.6</f>
        <v>99.4</v>
      </c>
    </row>
    <row r="17" ht="22.5" customHeight="1">
      <c r="A17" s="5" t="s">
        <v>11</v>
      </c>
      <c r="B17" s="5" t="s">
        <v>39</v>
      </c>
      <c r="C17" s="351">
        <v>765.0</v>
      </c>
      <c r="D17" s="394">
        <v>2.0</v>
      </c>
      <c r="E17" s="442">
        <v>0.0029</v>
      </c>
      <c r="F17" s="354" t="s">
        <v>1734</v>
      </c>
      <c r="G17" s="748">
        <v>14.0</v>
      </c>
      <c r="H17" s="403">
        <v>0.0183</v>
      </c>
      <c r="I17" s="357" t="s">
        <v>1736</v>
      </c>
      <c r="J17" s="1413">
        <v>157.0</v>
      </c>
      <c r="K17" s="387">
        <v>0.2266</v>
      </c>
      <c r="L17" s="891">
        <f>100-7.82</f>
        <v>92.18</v>
      </c>
    </row>
    <row r="18" ht="22.5" customHeight="1">
      <c r="A18" s="5" t="s">
        <v>11</v>
      </c>
      <c r="B18" s="5" t="s">
        <v>104</v>
      </c>
      <c r="C18" s="351">
        <v>123.0</v>
      </c>
      <c r="D18" s="351" t="s">
        <v>17</v>
      </c>
      <c r="E18" s="603" t="s">
        <v>17</v>
      </c>
      <c r="F18" s="354" t="s">
        <v>17</v>
      </c>
      <c r="G18" s="957">
        <v>1.0</v>
      </c>
      <c r="H18" s="969">
        <v>0.0163</v>
      </c>
      <c r="I18" s="357" t="s">
        <v>1740</v>
      </c>
      <c r="J18" s="1422">
        <v>0.0</v>
      </c>
      <c r="K18" s="771">
        <v>0.0</v>
      </c>
      <c r="L18" s="834">
        <f>100</f>
        <v>100</v>
      </c>
    </row>
    <row r="19" ht="22.5" customHeight="1">
      <c r="A19" s="5" t="s">
        <v>11</v>
      </c>
      <c r="B19" s="5" t="s">
        <v>59</v>
      </c>
      <c r="C19" s="351">
        <v>515.0</v>
      </c>
      <c r="D19" s="351" t="s">
        <v>17</v>
      </c>
      <c r="E19" s="603" t="s">
        <v>17</v>
      </c>
      <c r="F19" s="354" t="s">
        <v>17</v>
      </c>
      <c r="G19" s="1009">
        <v>11.0</v>
      </c>
      <c r="H19" s="374">
        <v>0.0117</v>
      </c>
      <c r="I19" s="357" t="s">
        <v>1782</v>
      </c>
      <c r="J19" s="1430">
        <v>53.0</v>
      </c>
      <c r="K19" s="1431">
        <v>0.105</v>
      </c>
      <c r="L19" s="891">
        <f>100-5.31</f>
        <v>94.69</v>
      </c>
    </row>
    <row r="20" ht="22.5" customHeight="1">
      <c r="A20" s="5" t="s">
        <v>11</v>
      </c>
      <c r="B20" s="5" t="s">
        <v>114</v>
      </c>
      <c r="C20" s="351">
        <v>637.0</v>
      </c>
      <c r="D20" s="394">
        <v>2.0</v>
      </c>
      <c r="E20" s="626">
        <v>0.0033</v>
      </c>
      <c r="F20" s="354" t="s">
        <v>1745</v>
      </c>
      <c r="G20" s="962">
        <v>16.0</v>
      </c>
      <c r="H20" s="1436">
        <v>0.022</v>
      </c>
      <c r="I20" s="357" t="s">
        <v>1746</v>
      </c>
      <c r="J20" s="1300">
        <v>80.0</v>
      </c>
      <c r="K20" s="503">
        <v>0.1336</v>
      </c>
      <c r="L20" s="891">
        <f>100-3.59</f>
        <v>96.41</v>
      </c>
    </row>
    <row r="21" ht="22.5" customHeight="1">
      <c r="A21" s="5" t="s">
        <v>11</v>
      </c>
      <c r="B21" s="5" t="s">
        <v>119</v>
      </c>
      <c r="C21" s="351">
        <v>353.0</v>
      </c>
      <c r="D21" s="22">
        <v>1.0</v>
      </c>
      <c r="E21" s="968">
        <v>0.003</v>
      </c>
      <c r="F21" s="354" t="s">
        <v>1624</v>
      </c>
      <c r="G21" s="423">
        <v>5.0</v>
      </c>
      <c r="H21" s="489">
        <v>0.0142</v>
      </c>
      <c r="I21" s="357" t="s">
        <v>1751</v>
      </c>
      <c r="J21" s="1382">
        <v>39.0</v>
      </c>
      <c r="K21" s="951">
        <v>0.1238</v>
      </c>
      <c r="L21" s="891">
        <f>100-6.88</f>
        <v>93.12</v>
      </c>
    </row>
    <row r="22" ht="22.5" customHeight="1">
      <c r="A22" s="5" t="s">
        <v>11</v>
      </c>
      <c r="B22" s="5" t="s">
        <v>126</v>
      </c>
      <c r="C22" s="351">
        <v>281.0</v>
      </c>
      <c r="D22" s="351" t="s">
        <v>17</v>
      </c>
      <c r="E22" s="603" t="s">
        <v>17</v>
      </c>
      <c r="F22" s="354" t="s">
        <v>17</v>
      </c>
      <c r="G22" s="957">
        <v>1.0</v>
      </c>
      <c r="H22" s="1378">
        <v>0.0214</v>
      </c>
      <c r="I22" s="357" t="s">
        <v>1757</v>
      </c>
      <c r="J22" s="1442">
        <v>43.0</v>
      </c>
      <c r="K22" s="635">
        <v>0.1604</v>
      </c>
      <c r="L22" s="891">
        <f>100-5.91</f>
        <v>94.09</v>
      </c>
    </row>
    <row r="23" ht="22.5" customHeight="1">
      <c r="A23" s="5" t="s">
        <v>11</v>
      </c>
      <c r="B23" s="5" t="s">
        <v>136</v>
      </c>
      <c r="C23" s="351">
        <v>229.0</v>
      </c>
      <c r="D23" s="351" t="s">
        <v>17</v>
      </c>
      <c r="E23" s="603" t="s">
        <v>17</v>
      </c>
      <c r="F23" s="354" t="s">
        <v>17</v>
      </c>
      <c r="G23" s="423">
        <v>5.0</v>
      </c>
      <c r="H23" s="424">
        <v>0.0131</v>
      </c>
      <c r="I23" s="357" t="s">
        <v>1761</v>
      </c>
      <c r="J23" s="1448">
        <v>23.0</v>
      </c>
      <c r="K23" s="611">
        <v>0.1085</v>
      </c>
      <c r="L23" s="891">
        <f>100-2.92</f>
        <v>97.08</v>
      </c>
    </row>
    <row r="24" ht="22.5" customHeight="1">
      <c r="A24" s="5" t="s">
        <v>11</v>
      </c>
      <c r="B24" s="5" t="s">
        <v>72</v>
      </c>
      <c r="C24" s="351">
        <v>383.0</v>
      </c>
      <c r="D24" s="351" t="s">
        <v>17</v>
      </c>
      <c r="E24" s="603" t="s">
        <v>17</v>
      </c>
      <c r="F24" s="354" t="s">
        <v>17</v>
      </c>
      <c r="G24" s="423">
        <v>5.0</v>
      </c>
      <c r="H24" s="1452">
        <v>0.0104</v>
      </c>
      <c r="I24" s="357" t="s">
        <v>1765</v>
      </c>
      <c r="J24" s="1454">
        <v>35.0</v>
      </c>
      <c r="K24" s="751">
        <v>0.0964</v>
      </c>
      <c r="L24" s="891">
        <f>100-0.23</f>
        <v>99.77</v>
      </c>
    </row>
    <row r="25" ht="22.5" customHeight="1">
      <c r="A25" s="5" t="s">
        <v>11</v>
      </c>
      <c r="B25" s="5" t="s">
        <v>145</v>
      </c>
      <c r="C25" s="351">
        <v>347.0</v>
      </c>
      <c r="D25" s="351" t="s">
        <v>17</v>
      </c>
      <c r="E25" s="603" t="s">
        <v>17</v>
      </c>
      <c r="F25" s="354" t="s">
        <v>17</v>
      </c>
      <c r="G25" s="674">
        <v>3.0</v>
      </c>
      <c r="H25" s="391">
        <v>0.0086</v>
      </c>
      <c r="I25" s="357" t="s">
        <v>1772</v>
      </c>
      <c r="J25" s="1459">
        <v>12.0</v>
      </c>
      <c r="K25" s="968">
        <v>0.0369</v>
      </c>
      <c r="L25" s="891">
        <f>100-8</f>
        <v>92</v>
      </c>
    </row>
    <row r="26" ht="22.5" customHeight="1">
      <c r="A26" s="5" t="s">
        <v>11</v>
      </c>
      <c r="B26" s="5" t="s">
        <v>85</v>
      </c>
      <c r="C26" s="351">
        <v>307.0</v>
      </c>
      <c r="D26" s="365">
        <v>3.0</v>
      </c>
      <c r="E26" s="651">
        <v>0.0117</v>
      </c>
      <c r="F26" s="354" t="s">
        <v>1776</v>
      </c>
      <c r="G26" s="853">
        <v>9.0</v>
      </c>
      <c r="H26" s="1462">
        <v>0.0261</v>
      </c>
      <c r="I26" s="357" t="s">
        <v>1777</v>
      </c>
      <c r="J26" s="1465">
        <v>45.0</v>
      </c>
      <c r="K26" s="1466">
        <v>0.163</v>
      </c>
      <c r="L26" s="891">
        <f>100-2.43</f>
        <v>97.57</v>
      </c>
    </row>
    <row r="27" ht="22.5" customHeight="1">
      <c r="A27" s="5" t="s">
        <v>11</v>
      </c>
      <c r="B27" s="35" t="s">
        <v>79</v>
      </c>
      <c r="C27" s="351">
        <v>396.0</v>
      </c>
      <c r="D27" s="351" t="s">
        <v>17</v>
      </c>
      <c r="E27" s="603" t="s">
        <v>17</v>
      </c>
      <c r="F27" s="354" t="s">
        <v>17</v>
      </c>
      <c r="G27" s="674">
        <v>3.0</v>
      </c>
      <c r="H27" s="632">
        <v>0.0177</v>
      </c>
      <c r="I27" s="357" t="s">
        <v>1779</v>
      </c>
      <c r="J27" s="1470">
        <v>41.0</v>
      </c>
      <c r="K27" s="1047">
        <v>0.1105</v>
      </c>
      <c r="L27" s="891">
        <f>100-2.16</f>
        <v>97.84</v>
      </c>
    </row>
    <row r="28" ht="22.5" customHeight="1">
      <c r="A28" s="5" t="s">
        <v>11</v>
      </c>
      <c r="B28" s="5" t="s">
        <v>109</v>
      </c>
      <c r="C28" s="351">
        <v>432.0</v>
      </c>
      <c r="D28" s="351" t="s">
        <v>17</v>
      </c>
      <c r="E28" s="603" t="s">
        <v>17</v>
      </c>
      <c r="F28" s="354" t="s">
        <v>17</v>
      </c>
      <c r="G28" s="1015">
        <v>10.0</v>
      </c>
      <c r="H28" s="1471">
        <v>0.0255</v>
      </c>
      <c r="I28" s="357" t="s">
        <v>1789</v>
      </c>
      <c r="J28" s="1472">
        <v>30.0</v>
      </c>
      <c r="K28" s="1048">
        <v>0.0741</v>
      </c>
      <c r="L28" s="834">
        <f>100-0.33</f>
        <v>99.67</v>
      </c>
    </row>
    <row r="29" ht="22.5" customHeight="1">
      <c r="A29" s="5" t="s">
        <v>11</v>
      </c>
      <c r="B29" s="5" t="s">
        <v>49</v>
      </c>
      <c r="C29" s="351">
        <v>579.0</v>
      </c>
      <c r="D29" s="351" t="s">
        <v>17</v>
      </c>
      <c r="E29" s="603" t="s">
        <v>17</v>
      </c>
      <c r="F29" s="354" t="s">
        <v>17</v>
      </c>
      <c r="G29" s="423">
        <v>5.0</v>
      </c>
      <c r="H29" s="1475">
        <v>0.0155</v>
      </c>
      <c r="I29" s="357" t="s">
        <v>1792</v>
      </c>
      <c r="J29" s="1476">
        <v>73.0</v>
      </c>
      <c r="K29" s="503">
        <v>0.1344</v>
      </c>
      <c r="L29" s="891">
        <f>100-2.36</f>
        <v>97.64</v>
      </c>
    </row>
    <row r="30" ht="22.5" customHeight="1">
      <c r="A30" s="5" t="s">
        <v>11</v>
      </c>
      <c r="B30" s="5" t="s">
        <v>115</v>
      </c>
      <c r="C30" s="351">
        <v>381.0</v>
      </c>
      <c r="D30" s="22">
        <v>1.0</v>
      </c>
      <c r="E30" s="664">
        <v>0.0025</v>
      </c>
      <c r="F30" s="354" t="s">
        <v>1796</v>
      </c>
      <c r="G30" s="519">
        <v>6.0</v>
      </c>
      <c r="H30" s="1344">
        <v>0.0236</v>
      </c>
      <c r="I30" s="357" t="s">
        <v>1798</v>
      </c>
      <c r="J30" s="1479">
        <v>44.0</v>
      </c>
      <c r="K30" s="1480">
        <v>0.1279</v>
      </c>
      <c r="L30" s="891">
        <f>100-0.96</f>
        <v>99.04</v>
      </c>
    </row>
    <row r="31" ht="22.5" customHeight="1">
      <c r="A31" s="5" t="s">
        <v>11</v>
      </c>
      <c r="B31" s="5" t="s">
        <v>45</v>
      </c>
      <c r="C31" s="351">
        <v>601.0</v>
      </c>
      <c r="D31" s="351" t="s">
        <v>17</v>
      </c>
      <c r="E31" s="351" t="s">
        <v>17</v>
      </c>
      <c r="F31" s="354" t="s">
        <v>17</v>
      </c>
      <c r="G31" s="634">
        <v>12.0</v>
      </c>
      <c r="H31" s="1483">
        <v>0.0233</v>
      </c>
      <c r="I31" s="357" t="s">
        <v>1804</v>
      </c>
      <c r="J31" s="1484">
        <v>69.0</v>
      </c>
      <c r="K31" s="466">
        <v>0.1211</v>
      </c>
      <c r="L31" s="891">
        <f>100-3.58</f>
        <v>96.42</v>
      </c>
    </row>
    <row r="32" ht="22.5" customHeight="1">
      <c r="A32" s="5" t="s">
        <v>11</v>
      </c>
      <c r="B32" s="5" t="s">
        <v>170</v>
      </c>
      <c r="C32" s="351">
        <v>243.0</v>
      </c>
      <c r="D32" s="22">
        <v>1.0</v>
      </c>
      <c r="E32" s="772">
        <v>0.0042</v>
      </c>
      <c r="F32" s="354" t="s">
        <v>915</v>
      </c>
      <c r="G32" s="674">
        <v>3.0</v>
      </c>
      <c r="H32" s="1487">
        <v>0.0082</v>
      </c>
      <c r="I32" s="357" t="s">
        <v>1809</v>
      </c>
      <c r="J32" s="1398">
        <v>37.0</v>
      </c>
      <c r="K32" s="618">
        <v>0.1623</v>
      </c>
      <c r="L32" s="891">
        <f>100-2.53</f>
        <v>97.47</v>
      </c>
    </row>
    <row r="33" ht="22.5" customHeight="1">
      <c r="A33" s="5" t="s">
        <v>11</v>
      </c>
      <c r="B33" s="5" t="s">
        <v>123</v>
      </c>
      <c r="C33" s="351">
        <v>420.0</v>
      </c>
      <c r="D33" s="351" t="s">
        <v>17</v>
      </c>
      <c r="E33" s="603" t="s">
        <v>17</v>
      </c>
      <c r="F33" s="354" t="s">
        <v>17</v>
      </c>
      <c r="G33" s="1009">
        <v>11.0</v>
      </c>
      <c r="H33" s="1378">
        <v>0.0214</v>
      </c>
      <c r="I33" s="357" t="s">
        <v>1814</v>
      </c>
      <c r="J33" s="1491">
        <v>47.0</v>
      </c>
      <c r="K33" s="403">
        <v>0.1214</v>
      </c>
      <c r="L33" s="891">
        <f>100-4.34</f>
        <v>95.66</v>
      </c>
    </row>
    <row r="34" ht="22.5" customHeight="1">
      <c r="A34" s="5" t="s">
        <v>11</v>
      </c>
      <c r="B34" s="5" t="s">
        <v>96</v>
      </c>
      <c r="C34" s="351">
        <v>353.0</v>
      </c>
      <c r="D34" s="351" t="s">
        <v>17</v>
      </c>
      <c r="E34" s="603" t="s">
        <v>17</v>
      </c>
      <c r="F34" s="354" t="s">
        <v>17</v>
      </c>
      <c r="G34" s="402">
        <v>7.0</v>
      </c>
      <c r="H34" s="1047">
        <v>0.017</v>
      </c>
      <c r="I34" s="357" t="s">
        <v>1818</v>
      </c>
      <c r="J34" s="1495">
        <v>46.0</v>
      </c>
      <c r="K34" s="472">
        <v>0.1424</v>
      </c>
      <c r="L34" s="891">
        <f>100-0.37</f>
        <v>99.63</v>
      </c>
    </row>
    <row r="35" ht="22.5" customHeight="1">
      <c r="A35" s="5" t="s">
        <v>11</v>
      </c>
      <c r="B35" s="5" t="s">
        <v>156</v>
      </c>
      <c r="C35" s="351">
        <v>439.0</v>
      </c>
      <c r="D35" s="22">
        <v>1.0</v>
      </c>
      <c r="E35" s="664">
        <v>0.0026</v>
      </c>
      <c r="F35" s="354" t="s">
        <v>915</v>
      </c>
      <c r="G35" s="402">
        <v>7.0</v>
      </c>
      <c r="H35" s="474">
        <v>0.0342</v>
      </c>
      <c r="I35" s="357" t="s">
        <v>1823</v>
      </c>
      <c r="J35" s="1470">
        <v>41.0</v>
      </c>
      <c r="K35" s="753">
        <v>0.1002</v>
      </c>
      <c r="L35" s="891">
        <f>100-1.9</f>
        <v>98.1</v>
      </c>
    </row>
    <row r="36" ht="22.5" customHeight="1">
      <c r="A36" s="5" t="s">
        <v>11</v>
      </c>
      <c r="B36" s="5" t="s">
        <v>153</v>
      </c>
      <c r="C36" s="351">
        <v>304.0</v>
      </c>
      <c r="D36" s="351" t="s">
        <v>17</v>
      </c>
      <c r="E36" s="603" t="s">
        <v>17</v>
      </c>
      <c r="F36" s="354" t="s">
        <v>17</v>
      </c>
      <c r="G36" s="1042">
        <v>8.0</v>
      </c>
      <c r="H36" s="972">
        <v>0.0164</v>
      </c>
      <c r="I36" s="357" t="s">
        <v>1826</v>
      </c>
      <c r="J36" s="1470">
        <v>41.0</v>
      </c>
      <c r="K36" s="953">
        <v>0.1444</v>
      </c>
      <c r="L36" s="891">
        <f>100-1.38</f>
        <v>98.62</v>
      </c>
    </row>
    <row r="37" ht="22.5" customHeight="1">
      <c r="A37" s="5" t="s">
        <v>11</v>
      </c>
      <c r="B37" s="5" t="s">
        <v>159</v>
      </c>
      <c r="C37" s="351">
        <v>302.0</v>
      </c>
      <c r="D37" s="351" t="s">
        <v>17</v>
      </c>
      <c r="E37" s="603" t="s">
        <v>17</v>
      </c>
      <c r="F37" s="354" t="s">
        <v>17</v>
      </c>
      <c r="G37" s="957">
        <v>1.0</v>
      </c>
      <c r="H37" s="675">
        <v>0.0132</v>
      </c>
      <c r="I37" s="357" t="s">
        <v>105</v>
      </c>
      <c r="J37" s="1515">
        <v>26.0</v>
      </c>
      <c r="K37" s="412">
        <v>0.0912</v>
      </c>
      <c r="L37" s="891">
        <f>100-3.57</f>
        <v>96.43</v>
      </c>
    </row>
    <row r="38" ht="22.5" customHeight="1">
      <c r="A38" s="5" t="s">
        <v>11</v>
      </c>
      <c r="B38" s="5" t="s">
        <v>26</v>
      </c>
      <c r="C38" s="351">
        <v>717.0</v>
      </c>
      <c r="D38" s="365">
        <v>3.0</v>
      </c>
      <c r="E38" s="499">
        <v>0.0041</v>
      </c>
      <c r="F38" s="354" t="s">
        <v>1484</v>
      </c>
      <c r="G38" s="1042">
        <v>8.0</v>
      </c>
      <c r="H38" s="655">
        <v>0.0153</v>
      </c>
      <c r="I38" s="357" t="s">
        <v>1832</v>
      </c>
      <c r="J38" s="1520">
        <v>103.0</v>
      </c>
      <c r="K38" s="773">
        <v>0.151</v>
      </c>
      <c r="L38" s="891">
        <f>100-6.85</f>
        <v>93.15</v>
      </c>
    </row>
    <row r="39" ht="22.5" customHeight="1">
      <c r="A39" s="5" t="s">
        <v>11</v>
      </c>
      <c r="B39" s="5" t="s">
        <v>23</v>
      </c>
      <c r="C39" s="351">
        <v>713.0</v>
      </c>
      <c r="D39" s="351" t="s">
        <v>17</v>
      </c>
      <c r="E39" s="603" t="s">
        <v>17</v>
      </c>
      <c r="F39" s="354" t="s">
        <v>17</v>
      </c>
      <c r="G39" s="748">
        <v>14.0</v>
      </c>
      <c r="H39" s="1525">
        <v>0.014</v>
      </c>
      <c r="I39" s="357" t="s">
        <v>1835</v>
      </c>
      <c r="J39" s="1476">
        <v>73.0</v>
      </c>
      <c r="K39" s="838">
        <v>0.1078</v>
      </c>
      <c r="L39" s="891">
        <f>100-3.36</f>
        <v>96.64</v>
      </c>
    </row>
    <row r="40" ht="22.5" customHeight="1">
      <c r="A40" s="5" t="s">
        <v>11</v>
      </c>
      <c r="B40" s="5" t="s">
        <v>63</v>
      </c>
      <c r="C40" s="351">
        <v>528.0</v>
      </c>
      <c r="D40" s="22">
        <v>1.0</v>
      </c>
      <c r="E40" s="850">
        <v>0.0019</v>
      </c>
      <c r="F40" s="354" t="s">
        <v>277</v>
      </c>
      <c r="G40" s="402">
        <v>7.0</v>
      </c>
      <c r="H40" s="23">
        <v>0.0057</v>
      </c>
      <c r="I40" s="357" t="s">
        <v>1839</v>
      </c>
      <c r="J40" s="1532">
        <v>58.0</v>
      </c>
      <c r="K40" s="520">
        <v>0.1124</v>
      </c>
      <c r="L40" s="834">
        <f>100-1.75</f>
        <v>98.25</v>
      </c>
    </row>
    <row r="41" ht="22.5" customHeight="1">
      <c r="A41" s="5" t="s">
        <v>185</v>
      </c>
      <c r="B41" s="5" t="s">
        <v>15</v>
      </c>
      <c r="C41" s="50">
        <v>35.0</v>
      </c>
      <c r="D41" s="47">
        <v>0.0</v>
      </c>
      <c r="E41" s="47" t="s">
        <v>258</v>
      </c>
      <c r="F41" s="28">
        <v>0.0</v>
      </c>
      <c r="G41" s="47">
        <v>1.0</v>
      </c>
      <c r="H41" s="47" t="s">
        <v>1844</v>
      </c>
      <c r="I41" s="47">
        <v>0.0</v>
      </c>
      <c r="J41" s="1537">
        <v>6.0</v>
      </c>
      <c r="K41" s="47" t="s">
        <v>1847</v>
      </c>
      <c r="L41" s="1375" t="s">
        <v>2040</v>
      </c>
    </row>
    <row r="42" ht="22.5" customHeight="1">
      <c r="A42" s="5" t="s">
        <v>185</v>
      </c>
      <c r="B42" s="5" t="s">
        <v>13</v>
      </c>
      <c r="C42" s="50">
        <v>643.0</v>
      </c>
      <c r="D42" s="47">
        <v>0.0</v>
      </c>
      <c r="E42" s="47" t="s">
        <v>258</v>
      </c>
      <c r="F42" s="28">
        <v>0.0</v>
      </c>
      <c r="G42" s="47">
        <v>23.0</v>
      </c>
      <c r="H42" s="47" t="s">
        <v>304</v>
      </c>
      <c r="I42" s="47" t="s">
        <v>2274</v>
      </c>
      <c r="J42" s="1537">
        <v>115.0</v>
      </c>
      <c r="K42" s="47" t="s">
        <v>1853</v>
      </c>
      <c r="L42" s="1375" t="s">
        <v>287</v>
      </c>
    </row>
    <row r="43" ht="22.5" customHeight="1">
      <c r="A43" s="5" t="s">
        <v>185</v>
      </c>
      <c r="B43" s="5" t="s">
        <v>27</v>
      </c>
      <c r="C43" s="50">
        <v>239.0</v>
      </c>
      <c r="D43" s="47">
        <v>0.0</v>
      </c>
      <c r="E43" s="47" t="s">
        <v>258</v>
      </c>
      <c r="F43" s="28">
        <v>0.0</v>
      </c>
      <c r="G43" s="47">
        <v>4.0</v>
      </c>
      <c r="H43" s="47" t="s">
        <v>1855</v>
      </c>
      <c r="I43" s="47" t="s">
        <v>1856</v>
      </c>
      <c r="J43" s="1537">
        <v>32.0</v>
      </c>
      <c r="K43" s="47" t="s">
        <v>1858</v>
      </c>
      <c r="L43" s="1375" t="s">
        <v>2051</v>
      </c>
    </row>
    <row r="44" ht="22.5" customHeight="1">
      <c r="A44" s="5" t="s">
        <v>185</v>
      </c>
      <c r="B44" s="5" t="s">
        <v>33</v>
      </c>
      <c r="C44" s="50">
        <v>332.0</v>
      </c>
      <c r="D44" s="47">
        <v>1.0</v>
      </c>
      <c r="E44" s="47" t="s">
        <v>1860</v>
      </c>
      <c r="F44" s="28">
        <v>0.0</v>
      </c>
      <c r="G44" s="47">
        <v>11.0</v>
      </c>
      <c r="H44" s="47" t="s">
        <v>1861</v>
      </c>
      <c r="I44" s="47">
        <v>165165.0</v>
      </c>
      <c r="J44" s="1537">
        <v>78.0</v>
      </c>
      <c r="K44" s="47" t="s">
        <v>1862</v>
      </c>
      <c r="L44" s="1375" t="s">
        <v>1129</v>
      </c>
    </row>
    <row r="45" ht="22.5" customHeight="1">
      <c r="A45" s="5" t="s">
        <v>185</v>
      </c>
      <c r="B45" s="5" t="s">
        <v>19</v>
      </c>
      <c r="C45" s="50">
        <v>448.0</v>
      </c>
      <c r="D45" s="47">
        <v>0.0</v>
      </c>
      <c r="E45" s="47" t="s">
        <v>258</v>
      </c>
      <c r="F45" s="28">
        <v>0.0</v>
      </c>
      <c r="G45" s="47">
        <v>18.0</v>
      </c>
      <c r="H45" s="47" t="s">
        <v>2278</v>
      </c>
      <c r="I45" s="47" t="s">
        <v>2279</v>
      </c>
      <c r="J45" s="1537">
        <v>154.0</v>
      </c>
      <c r="K45" s="47" t="s">
        <v>1865</v>
      </c>
      <c r="L45" s="1375" t="s">
        <v>2066</v>
      </c>
    </row>
    <row r="46" ht="22.5" customHeight="1">
      <c r="A46" s="5" t="s">
        <v>185</v>
      </c>
      <c r="B46" s="5" t="s">
        <v>58</v>
      </c>
      <c r="C46" s="50">
        <v>212.0</v>
      </c>
      <c r="D46" s="47">
        <v>0.0</v>
      </c>
      <c r="E46" s="47" t="s">
        <v>258</v>
      </c>
      <c r="F46" s="28">
        <v>0.0</v>
      </c>
      <c r="G46" s="47">
        <v>2.0</v>
      </c>
      <c r="H46" s="47" t="s">
        <v>1083</v>
      </c>
      <c r="I46" s="47" t="s">
        <v>2283</v>
      </c>
      <c r="J46" s="1537">
        <v>16.0</v>
      </c>
      <c r="K46" s="47" t="s">
        <v>1875</v>
      </c>
      <c r="L46" s="1375" t="s">
        <v>847</v>
      </c>
    </row>
    <row r="47" ht="22.5" customHeight="1">
      <c r="A47" s="5" t="s">
        <v>185</v>
      </c>
      <c r="B47" s="5" t="s">
        <v>77</v>
      </c>
      <c r="C47" s="50">
        <v>97.0</v>
      </c>
      <c r="D47" s="47">
        <v>0.0</v>
      </c>
      <c r="E47" s="47" t="s">
        <v>258</v>
      </c>
      <c r="F47" s="28">
        <v>0.0</v>
      </c>
      <c r="G47" s="47">
        <v>2.0</v>
      </c>
      <c r="H47" s="47" t="s">
        <v>560</v>
      </c>
      <c r="I47" s="47" t="s">
        <v>2288</v>
      </c>
      <c r="J47" s="1537">
        <v>14.0</v>
      </c>
      <c r="K47" s="47" t="s">
        <v>1877</v>
      </c>
      <c r="L47" s="1375" t="s">
        <v>2084</v>
      </c>
    </row>
    <row r="48" ht="22.5" customHeight="1">
      <c r="A48" s="5" t="s">
        <v>185</v>
      </c>
      <c r="B48" s="5" t="s">
        <v>82</v>
      </c>
      <c r="C48" s="50">
        <v>130.0</v>
      </c>
      <c r="D48" s="47">
        <v>0.0</v>
      </c>
      <c r="E48" s="47" t="s">
        <v>258</v>
      </c>
      <c r="F48" s="28">
        <v>0.0</v>
      </c>
      <c r="G48" s="47">
        <v>13.0</v>
      </c>
      <c r="H48" s="47" t="s">
        <v>1870</v>
      </c>
      <c r="I48" s="47" t="s">
        <v>2291</v>
      </c>
      <c r="J48" s="1537">
        <v>23.0</v>
      </c>
      <c r="K48" s="47" t="s">
        <v>1872</v>
      </c>
      <c r="L48" s="1375" t="s">
        <v>2091</v>
      </c>
    </row>
    <row r="49" ht="22.5" customHeight="1">
      <c r="A49" s="5" t="s">
        <v>185</v>
      </c>
      <c r="B49" s="50" t="s">
        <v>94</v>
      </c>
      <c r="C49" s="50">
        <v>0.0</v>
      </c>
      <c r="D49" s="47">
        <v>0.0</v>
      </c>
      <c r="E49" s="47" t="s">
        <v>258</v>
      </c>
      <c r="F49" s="28">
        <v>0.0</v>
      </c>
      <c r="G49" s="47">
        <v>0.0</v>
      </c>
      <c r="H49" s="47" t="s">
        <v>258</v>
      </c>
      <c r="I49" s="50">
        <v>0.0</v>
      </c>
      <c r="J49" s="1537">
        <v>0.0</v>
      </c>
      <c r="K49" s="47" t="s">
        <v>486</v>
      </c>
      <c r="L49" s="174" t="s">
        <v>298</v>
      </c>
    </row>
    <row r="50" ht="22.5" customHeight="1">
      <c r="A50" s="5" t="s">
        <v>185</v>
      </c>
      <c r="B50" s="5" t="s">
        <v>90</v>
      </c>
      <c r="C50" s="50">
        <v>10.0</v>
      </c>
      <c r="D50" s="47">
        <v>0.0</v>
      </c>
      <c r="E50" s="47" t="s">
        <v>258</v>
      </c>
      <c r="F50" s="28">
        <v>0.0</v>
      </c>
      <c r="G50" s="47">
        <v>0.0</v>
      </c>
      <c r="H50" s="47" t="s">
        <v>258</v>
      </c>
      <c r="I50" s="1568">
        <v>0.0</v>
      </c>
      <c r="J50" s="1537">
        <v>0.0</v>
      </c>
      <c r="K50" s="47" t="s">
        <v>258</v>
      </c>
      <c r="L50" s="174" t="s">
        <v>298</v>
      </c>
    </row>
    <row r="51" ht="22.5" customHeight="1">
      <c r="A51" s="5" t="s">
        <v>185</v>
      </c>
      <c r="B51" s="5" t="s">
        <v>39</v>
      </c>
      <c r="C51" s="50">
        <v>52.0</v>
      </c>
      <c r="D51" s="47">
        <v>3.0</v>
      </c>
      <c r="E51" s="47" t="s">
        <v>841</v>
      </c>
      <c r="F51" s="28">
        <v>0.0</v>
      </c>
      <c r="G51" s="47">
        <v>6.0</v>
      </c>
      <c r="H51" s="47" t="s">
        <v>1880</v>
      </c>
      <c r="I51" s="47" t="s">
        <v>1881</v>
      </c>
      <c r="J51" s="1537">
        <v>29.0</v>
      </c>
      <c r="K51" s="47" t="s">
        <v>1882</v>
      </c>
      <c r="L51" s="174" t="s">
        <v>2114</v>
      </c>
    </row>
    <row r="52" ht="22.5" customHeight="1">
      <c r="A52" s="5" t="s">
        <v>185</v>
      </c>
      <c r="B52" s="5" t="s">
        <v>59</v>
      </c>
      <c r="C52" s="13">
        <v>67.0</v>
      </c>
      <c r="D52" s="47">
        <v>0.0</v>
      </c>
      <c r="E52" s="47" t="s">
        <v>258</v>
      </c>
      <c r="F52" s="28">
        <v>0.0</v>
      </c>
      <c r="G52" s="47">
        <v>4.0</v>
      </c>
      <c r="H52" s="47" t="s">
        <v>1913</v>
      </c>
      <c r="I52" s="47" t="s">
        <v>1884</v>
      </c>
      <c r="J52" s="1537">
        <v>7.0</v>
      </c>
      <c r="K52" s="47" t="s">
        <v>1916</v>
      </c>
      <c r="L52" s="174" t="s">
        <v>2124</v>
      </c>
    </row>
    <row r="53" ht="22.5" customHeight="1">
      <c r="A53" s="5" t="s">
        <v>185</v>
      </c>
      <c r="B53" s="5" t="s">
        <v>114</v>
      </c>
      <c r="C53" s="13">
        <v>429.0</v>
      </c>
      <c r="D53" s="47">
        <v>1.0</v>
      </c>
      <c r="E53" s="47" t="s">
        <v>1462</v>
      </c>
      <c r="F53" s="28">
        <v>0.0</v>
      </c>
      <c r="G53" s="47">
        <v>2.0</v>
      </c>
      <c r="H53" s="47" t="s">
        <v>344</v>
      </c>
      <c r="I53" s="47">
        <v>111195.0</v>
      </c>
      <c r="J53" s="1537">
        <v>275.0</v>
      </c>
      <c r="K53" s="47" t="s">
        <v>1885</v>
      </c>
      <c r="L53" s="174" t="s">
        <v>298</v>
      </c>
    </row>
    <row r="54" ht="22.5" customHeight="1">
      <c r="A54" s="5" t="s">
        <v>185</v>
      </c>
      <c r="B54" s="5" t="s">
        <v>136</v>
      </c>
      <c r="C54" s="13">
        <v>65.0</v>
      </c>
      <c r="D54" s="47">
        <v>0.0</v>
      </c>
      <c r="E54" s="47" t="s">
        <v>258</v>
      </c>
      <c r="F54" s="28">
        <v>0.0</v>
      </c>
      <c r="G54" s="47">
        <v>8.0</v>
      </c>
      <c r="H54" s="47" t="s">
        <v>1888</v>
      </c>
      <c r="I54" s="47">
        <v>0.0</v>
      </c>
      <c r="J54" s="1537">
        <v>19.0</v>
      </c>
      <c r="K54" s="47" t="s">
        <v>1889</v>
      </c>
      <c r="L54" s="174" t="s">
        <v>298</v>
      </c>
    </row>
    <row r="55" ht="22.5" customHeight="1">
      <c r="A55" s="5" t="s">
        <v>185</v>
      </c>
      <c r="B55" s="5" t="s">
        <v>85</v>
      </c>
      <c r="C55" s="13">
        <v>289.0</v>
      </c>
      <c r="D55" s="47">
        <v>0.0</v>
      </c>
      <c r="E55" s="47" t="s">
        <v>258</v>
      </c>
      <c r="F55" s="28">
        <v>0.0</v>
      </c>
      <c r="G55" s="47">
        <v>1.0</v>
      </c>
      <c r="H55" s="47" t="s">
        <v>390</v>
      </c>
      <c r="I55" s="47">
        <v>20138.0</v>
      </c>
      <c r="J55" s="1537">
        <v>75.0</v>
      </c>
      <c r="K55" s="47" t="s">
        <v>1890</v>
      </c>
      <c r="L55" s="1375" t="s">
        <v>465</v>
      </c>
    </row>
    <row r="56" ht="22.5" customHeight="1">
      <c r="A56" s="5" t="s">
        <v>185</v>
      </c>
      <c r="B56" s="35" t="s">
        <v>79</v>
      </c>
      <c r="C56" s="13">
        <v>166.0</v>
      </c>
      <c r="D56" s="47">
        <v>0.0</v>
      </c>
      <c r="E56" s="47" t="s">
        <v>258</v>
      </c>
      <c r="F56" s="28">
        <v>0.0</v>
      </c>
      <c r="G56" s="47">
        <v>5.0</v>
      </c>
      <c r="H56" s="47" t="s">
        <v>1892</v>
      </c>
      <c r="I56" s="47" t="s">
        <v>1895</v>
      </c>
      <c r="J56" s="1537">
        <v>23.0</v>
      </c>
      <c r="K56" s="47" t="s">
        <v>1893</v>
      </c>
      <c r="L56" s="1375" t="s">
        <v>777</v>
      </c>
    </row>
    <row r="57" ht="22.5" customHeight="1">
      <c r="A57" s="5" t="s">
        <v>185</v>
      </c>
      <c r="B57" s="5" t="s">
        <v>45</v>
      </c>
      <c r="C57" s="13">
        <v>219.0</v>
      </c>
      <c r="D57" s="47">
        <v>0.0</v>
      </c>
      <c r="E57" s="47" t="s">
        <v>258</v>
      </c>
      <c r="F57" s="28">
        <v>0.0</v>
      </c>
      <c r="G57" s="47">
        <v>2.0</v>
      </c>
      <c r="H57" s="47" t="s">
        <v>551</v>
      </c>
      <c r="I57" s="47">
        <v>38567.0</v>
      </c>
      <c r="J57" s="1537">
        <v>67.0</v>
      </c>
      <c r="K57" s="47" t="s">
        <v>1896</v>
      </c>
      <c r="L57" s="1375" t="s">
        <v>298</v>
      </c>
    </row>
    <row r="58" ht="22.5" customHeight="1">
      <c r="A58" s="5" t="s">
        <v>185</v>
      </c>
      <c r="B58" s="5" t="s">
        <v>170</v>
      </c>
      <c r="C58" s="13">
        <v>69.0</v>
      </c>
      <c r="D58" s="47">
        <v>0.0</v>
      </c>
      <c r="E58" s="47" t="s">
        <v>258</v>
      </c>
      <c r="F58" s="28">
        <v>0.0</v>
      </c>
      <c r="G58" s="47">
        <v>4.0</v>
      </c>
      <c r="H58" s="47" t="s">
        <v>533</v>
      </c>
      <c r="I58" s="1568">
        <v>0.0</v>
      </c>
      <c r="J58" s="1537">
        <v>3.0</v>
      </c>
      <c r="K58" s="47" t="s">
        <v>1898</v>
      </c>
      <c r="L58" s="1375" t="s">
        <v>2174</v>
      </c>
    </row>
    <row r="59" ht="22.5" customHeight="1">
      <c r="A59" s="5" t="s">
        <v>185</v>
      </c>
      <c r="B59" s="5" t="s">
        <v>153</v>
      </c>
      <c r="C59" s="13">
        <v>117.0</v>
      </c>
      <c r="D59" s="47">
        <v>0.0</v>
      </c>
      <c r="E59" s="47" t="s">
        <v>258</v>
      </c>
      <c r="F59" s="28">
        <v>0.0</v>
      </c>
      <c r="G59" s="47">
        <v>0.0</v>
      </c>
      <c r="H59" s="47" t="s">
        <v>258</v>
      </c>
      <c r="I59" s="47">
        <v>17648.0</v>
      </c>
      <c r="J59" s="1537">
        <v>14.0</v>
      </c>
      <c r="K59" s="47" t="s">
        <v>1900</v>
      </c>
      <c r="L59" s="1375" t="s">
        <v>293</v>
      </c>
    </row>
    <row r="60" ht="22.5" customHeight="1">
      <c r="A60" s="5" t="s">
        <v>185</v>
      </c>
      <c r="B60" s="5" t="s">
        <v>26</v>
      </c>
      <c r="C60" s="13">
        <v>502.0</v>
      </c>
      <c r="D60" s="47">
        <v>0.0</v>
      </c>
      <c r="E60" s="47" t="s">
        <v>258</v>
      </c>
      <c r="F60" s="28">
        <v>0.0</v>
      </c>
      <c r="G60" s="47">
        <v>1.0</v>
      </c>
      <c r="H60" s="47" t="s">
        <v>362</v>
      </c>
      <c r="I60" s="47" t="s">
        <v>1904</v>
      </c>
      <c r="J60" s="1537">
        <v>13.0</v>
      </c>
      <c r="K60" s="47" t="s">
        <v>362</v>
      </c>
      <c r="L60" s="1375" t="s">
        <v>2192</v>
      </c>
    </row>
    <row r="61" ht="22.5" customHeight="1">
      <c r="A61" s="5" t="s">
        <v>185</v>
      </c>
      <c r="B61" s="5" t="s">
        <v>23</v>
      </c>
      <c r="C61" s="13">
        <v>276.0</v>
      </c>
      <c r="D61" s="47">
        <v>0.0</v>
      </c>
      <c r="E61" s="47" t="s">
        <v>258</v>
      </c>
      <c r="F61" s="28">
        <v>0.0</v>
      </c>
      <c r="G61" s="47">
        <v>6.0</v>
      </c>
      <c r="H61" s="47" t="s">
        <v>865</v>
      </c>
      <c r="I61" s="47" t="s">
        <v>2314</v>
      </c>
      <c r="J61" s="1537">
        <v>47.0</v>
      </c>
      <c r="K61" s="47" t="s">
        <v>1902</v>
      </c>
      <c r="L61" s="1375" t="s">
        <v>298</v>
      </c>
    </row>
    <row r="62" ht="22.5" customHeight="1">
      <c r="A62" s="5" t="s">
        <v>185</v>
      </c>
      <c r="B62" s="5" t="s">
        <v>159</v>
      </c>
      <c r="C62" s="13">
        <v>35.0</v>
      </c>
      <c r="D62" s="47">
        <v>1.0</v>
      </c>
      <c r="E62" s="47" t="s">
        <v>1903</v>
      </c>
      <c r="F62" s="28">
        <v>0.0</v>
      </c>
      <c r="G62" s="47">
        <v>12.0</v>
      </c>
      <c r="H62" s="47" t="s">
        <v>401</v>
      </c>
      <c r="I62" s="55">
        <v>0.0</v>
      </c>
      <c r="J62" s="1537">
        <v>2.0</v>
      </c>
      <c r="K62" s="47" t="s">
        <v>1905</v>
      </c>
      <c r="L62" s="174" t="s">
        <v>2210</v>
      </c>
    </row>
    <row r="63" ht="22.5" customHeight="1">
      <c r="A63" s="5" t="s">
        <v>185</v>
      </c>
      <c r="B63" s="5" t="s">
        <v>63</v>
      </c>
      <c r="C63" s="13">
        <v>311.0</v>
      </c>
      <c r="D63" s="47">
        <v>0.0</v>
      </c>
      <c r="E63" s="47" t="s">
        <v>258</v>
      </c>
      <c r="F63" s="28">
        <v>0.0</v>
      </c>
      <c r="G63" s="47">
        <v>12.0</v>
      </c>
      <c r="H63" s="47" t="s">
        <v>1908</v>
      </c>
      <c r="I63" s="47" t="s">
        <v>2317</v>
      </c>
      <c r="J63" s="1537">
        <v>98.0</v>
      </c>
      <c r="K63" s="47" t="s">
        <v>1910</v>
      </c>
      <c r="L63" s="1375" t="s">
        <v>2221</v>
      </c>
    </row>
    <row r="64" ht="22.5" customHeight="1">
      <c r="A64" s="5" t="s">
        <v>185</v>
      </c>
      <c r="B64" s="5" t="s">
        <v>123</v>
      </c>
      <c r="C64" s="13">
        <v>39.0</v>
      </c>
      <c r="D64" s="47">
        <v>0.0</v>
      </c>
      <c r="E64" s="47" t="s">
        <v>258</v>
      </c>
      <c r="F64" s="28">
        <v>0.0</v>
      </c>
      <c r="G64" s="47">
        <v>0.0</v>
      </c>
      <c r="H64" s="47" t="s">
        <v>258</v>
      </c>
      <c r="I64" s="47">
        <v>25665.0</v>
      </c>
      <c r="J64" s="1537">
        <v>14.0</v>
      </c>
      <c r="K64" s="47" t="s">
        <v>1911</v>
      </c>
      <c r="L64" s="1375" t="s">
        <v>2229</v>
      </c>
    </row>
    <row r="65" ht="22.5" customHeight="1">
      <c r="A65" s="5" t="s">
        <v>383</v>
      </c>
      <c r="B65" s="5" t="s">
        <v>15</v>
      </c>
      <c r="C65" s="273">
        <v>73.0</v>
      </c>
      <c r="D65" s="273">
        <v>0.0</v>
      </c>
      <c r="E65" s="276">
        <v>0.0</v>
      </c>
      <c r="F65" s="28">
        <v>0.0</v>
      </c>
      <c r="G65" s="511">
        <v>1.0</v>
      </c>
      <c r="H65" s="276">
        <v>0.0136986301369863</v>
      </c>
      <c r="I65" s="28">
        <v>0.0</v>
      </c>
      <c r="J65" s="1576">
        <v>6.0</v>
      </c>
      <c r="K65" s="297">
        <v>0.08450704225352113</v>
      </c>
      <c r="L65" s="1577" t="s">
        <v>2324</v>
      </c>
    </row>
    <row r="66" ht="22.5" customHeight="1">
      <c r="A66" s="5" t="s">
        <v>383</v>
      </c>
      <c r="B66" s="5" t="s">
        <v>13</v>
      </c>
      <c r="C66" s="273">
        <v>314.0</v>
      </c>
      <c r="D66" s="273">
        <v>0.0</v>
      </c>
      <c r="E66" s="276">
        <v>0.0</v>
      </c>
      <c r="F66" s="28">
        <v>0.0</v>
      </c>
      <c r="G66" s="511">
        <v>7.0</v>
      </c>
      <c r="H66" s="276">
        <v>0.022292993630573247</v>
      </c>
      <c r="I66" s="28">
        <v>0.0</v>
      </c>
      <c r="J66" s="1576">
        <v>6.0</v>
      </c>
      <c r="K66" s="1578">
        <v>0.0196078431372549</v>
      </c>
      <c r="L66" s="1580" t="s">
        <v>2327</v>
      </c>
    </row>
    <row r="67" ht="22.5" customHeight="1">
      <c r="A67" s="5" t="s">
        <v>383</v>
      </c>
      <c r="B67" s="5" t="s">
        <v>27</v>
      </c>
      <c r="C67" s="273">
        <v>77.0</v>
      </c>
      <c r="D67" s="273">
        <v>1.0</v>
      </c>
      <c r="E67" s="1581">
        <v>0.012987012987012988</v>
      </c>
      <c r="F67" s="28">
        <v>0.0</v>
      </c>
      <c r="G67" s="511">
        <v>3.0</v>
      </c>
      <c r="H67" s="276">
        <v>0.03896103896103896</v>
      </c>
      <c r="I67" s="28">
        <v>0.0</v>
      </c>
      <c r="J67" s="1576">
        <v>0.0</v>
      </c>
      <c r="K67" s="276">
        <v>0.0</v>
      </c>
      <c r="L67" s="1580" t="s">
        <v>2328</v>
      </c>
    </row>
    <row r="68" ht="22.5" customHeight="1">
      <c r="A68" s="5" t="s">
        <v>383</v>
      </c>
      <c r="B68" s="5" t="s">
        <v>33</v>
      </c>
      <c r="C68" s="273">
        <v>127.0</v>
      </c>
      <c r="D68" s="273">
        <v>0.0</v>
      </c>
      <c r="E68" s="276">
        <v>0.0</v>
      </c>
      <c r="F68" s="28">
        <v>0.0</v>
      </c>
      <c r="G68" s="511">
        <v>0.0</v>
      </c>
      <c r="H68" s="276">
        <v>0.0</v>
      </c>
      <c r="I68" s="28">
        <v>0.0</v>
      </c>
      <c r="J68" s="1576">
        <v>7.0</v>
      </c>
      <c r="K68" s="1585">
        <v>0.05555555555555555</v>
      </c>
      <c r="L68" s="1580" t="s">
        <v>2329</v>
      </c>
    </row>
    <row r="69" ht="22.5" customHeight="1">
      <c r="A69" s="5" t="s">
        <v>383</v>
      </c>
      <c r="B69" s="5" t="s">
        <v>19</v>
      </c>
      <c r="C69" s="273">
        <v>242.0</v>
      </c>
      <c r="D69" s="273">
        <v>2.0</v>
      </c>
      <c r="E69" s="580">
        <v>0.008264462809917356</v>
      </c>
      <c r="F69" s="28">
        <v>0.0</v>
      </c>
      <c r="G69" s="511">
        <v>6.0</v>
      </c>
      <c r="H69" s="276">
        <v>0.024793388429752067</v>
      </c>
      <c r="I69" s="28">
        <v>0.0</v>
      </c>
      <c r="J69" s="1576">
        <v>5.0</v>
      </c>
      <c r="K69" s="707">
        <v>0.02145922746781116</v>
      </c>
      <c r="L69" s="1577" t="s">
        <v>2330</v>
      </c>
    </row>
    <row r="70" ht="22.5" customHeight="1">
      <c r="A70" s="5" t="s">
        <v>383</v>
      </c>
      <c r="B70" s="5" t="s">
        <v>63</v>
      </c>
      <c r="C70" s="273">
        <v>75.0</v>
      </c>
      <c r="D70" s="273">
        <v>0.0</v>
      </c>
      <c r="E70" s="276">
        <v>0.0</v>
      </c>
      <c r="F70" s="28">
        <v>0.0</v>
      </c>
      <c r="G70" s="511">
        <v>3.0</v>
      </c>
      <c r="H70" s="276">
        <v>0.04</v>
      </c>
      <c r="I70" s="28">
        <v>0.0</v>
      </c>
      <c r="J70" s="1576">
        <v>1.0</v>
      </c>
      <c r="K70" s="1588">
        <v>0.0136986301369863</v>
      </c>
      <c r="L70" s="1580" t="s">
        <v>2331</v>
      </c>
    </row>
    <row r="71" ht="22.5" customHeight="1">
      <c r="A71" s="5" t="s">
        <v>383</v>
      </c>
      <c r="B71" s="5" t="s">
        <v>58</v>
      </c>
      <c r="C71" s="273">
        <v>85.0</v>
      </c>
      <c r="D71" s="273">
        <v>2.0</v>
      </c>
      <c r="E71" s="579">
        <v>0.0196078431372549</v>
      </c>
      <c r="F71" s="28">
        <v>0.0</v>
      </c>
      <c r="G71" s="511">
        <v>3.0</v>
      </c>
      <c r="H71" s="276">
        <v>0.029411764705882353</v>
      </c>
      <c r="I71" s="28">
        <v>0.0</v>
      </c>
      <c r="J71" s="1576">
        <v>1.0</v>
      </c>
      <c r="K71" s="1054">
        <v>0.010309278350515464</v>
      </c>
      <c r="L71" s="1580" t="s">
        <v>2332</v>
      </c>
    </row>
    <row r="72" ht="22.5" customHeight="1">
      <c r="A72" s="5" t="s">
        <v>383</v>
      </c>
      <c r="B72" s="5" t="s">
        <v>77</v>
      </c>
      <c r="C72" s="273">
        <v>102.0</v>
      </c>
      <c r="D72" s="273">
        <v>0.0</v>
      </c>
      <c r="E72" s="276">
        <v>0.0</v>
      </c>
      <c r="F72" s="28">
        <v>0.0</v>
      </c>
      <c r="G72" s="511">
        <v>0.0</v>
      </c>
      <c r="H72" s="276">
        <v>0.0</v>
      </c>
      <c r="I72" s="28">
        <v>0.0</v>
      </c>
      <c r="J72" s="1576">
        <v>2.0</v>
      </c>
      <c r="K72" s="731">
        <v>0.03571428571428571</v>
      </c>
      <c r="L72" s="1580" t="s">
        <v>2333</v>
      </c>
    </row>
    <row r="73" ht="22.5" customHeight="1">
      <c r="A73" s="5" t="s">
        <v>383</v>
      </c>
      <c r="B73" s="5" t="s">
        <v>82</v>
      </c>
      <c r="C73" s="273">
        <v>57.0</v>
      </c>
      <c r="D73" s="273">
        <v>1.0</v>
      </c>
      <c r="E73" s="276">
        <v>0.041666666666666664</v>
      </c>
      <c r="F73" s="28">
        <v>0.0</v>
      </c>
      <c r="G73" s="511">
        <v>1.0</v>
      </c>
      <c r="H73" s="276">
        <v>0.041666666666666664</v>
      </c>
      <c r="I73" s="28">
        <v>0.0</v>
      </c>
      <c r="J73" s="1576">
        <v>3.0</v>
      </c>
      <c r="K73" s="276">
        <v>0.13636363636363635</v>
      </c>
      <c r="L73" s="1580" t="s">
        <v>2334</v>
      </c>
    </row>
    <row r="74" ht="22.5" customHeight="1">
      <c r="A74" s="5" t="s">
        <v>383</v>
      </c>
      <c r="B74" s="5" t="s">
        <v>39</v>
      </c>
      <c r="C74" s="273">
        <v>24.0</v>
      </c>
      <c r="D74" s="273">
        <v>4.0</v>
      </c>
      <c r="E74" s="274">
        <v>0.0851063829787234</v>
      </c>
      <c r="F74" s="28">
        <v>0.0</v>
      </c>
      <c r="G74" s="511">
        <v>0.0</v>
      </c>
      <c r="H74" s="276">
        <v>0.0</v>
      </c>
      <c r="I74" s="28">
        <v>0.0</v>
      </c>
      <c r="J74" s="1576">
        <v>0.0</v>
      </c>
      <c r="K74" s="276">
        <v>0.0</v>
      </c>
      <c r="L74" s="1577" t="s">
        <v>2335</v>
      </c>
    </row>
    <row r="75" ht="22.5" customHeight="1">
      <c r="A75" s="5" t="s">
        <v>383</v>
      </c>
      <c r="B75" s="5" t="s">
        <v>59</v>
      </c>
      <c r="C75" s="273">
        <v>47.0</v>
      </c>
      <c r="D75" s="273">
        <v>1.0</v>
      </c>
      <c r="E75" s="1595">
        <v>0.007692307692307693</v>
      </c>
      <c r="F75" s="28">
        <v>0.0</v>
      </c>
      <c r="G75" s="511">
        <v>5.0</v>
      </c>
      <c r="H75" s="276">
        <v>0.038461538461538464</v>
      </c>
      <c r="I75" s="28">
        <v>0.0</v>
      </c>
      <c r="J75" s="1576">
        <v>9.0</v>
      </c>
      <c r="K75" s="1596">
        <v>0.07086614173228346</v>
      </c>
      <c r="L75" s="1580" t="s">
        <v>2336</v>
      </c>
    </row>
    <row r="76" ht="22.5" customHeight="1">
      <c r="A76" s="5" t="s">
        <v>383</v>
      </c>
      <c r="B76" s="5" t="s">
        <v>114</v>
      </c>
      <c r="C76" s="273">
        <v>130.0</v>
      </c>
      <c r="D76" s="273">
        <v>0.0</v>
      </c>
      <c r="E76" s="276">
        <v>0.0</v>
      </c>
      <c r="F76" s="28">
        <v>0.0</v>
      </c>
      <c r="G76" s="511">
        <v>1.0</v>
      </c>
      <c r="H76" s="276">
        <v>0.017543859649122806</v>
      </c>
      <c r="I76" s="28">
        <v>0.0</v>
      </c>
      <c r="J76" s="1576">
        <v>2.0</v>
      </c>
      <c r="K76" s="1597">
        <v>0.03508771929824561</v>
      </c>
      <c r="L76" s="1580" t="s">
        <v>2337</v>
      </c>
    </row>
    <row r="77" ht="22.5" customHeight="1">
      <c r="A77" s="5" t="s">
        <v>383</v>
      </c>
      <c r="B77" s="5" t="s">
        <v>136</v>
      </c>
      <c r="C77" s="273">
        <v>57.0</v>
      </c>
      <c r="D77" s="273">
        <v>0.0</v>
      </c>
      <c r="E77" s="276">
        <v>0.0</v>
      </c>
      <c r="F77" s="28">
        <v>0.0</v>
      </c>
      <c r="G77" s="511">
        <v>1.0</v>
      </c>
      <c r="H77" s="276">
        <v>0.0136986301369863</v>
      </c>
      <c r="I77" s="28">
        <v>0.0</v>
      </c>
      <c r="J77" s="1576">
        <v>0.0</v>
      </c>
      <c r="K77" s="276">
        <v>0.0</v>
      </c>
      <c r="L77" s="1580" t="s">
        <v>2338</v>
      </c>
    </row>
    <row r="78" ht="22.5" customHeight="1">
      <c r="A78" s="5" t="s">
        <v>383</v>
      </c>
      <c r="B78" s="96" t="s">
        <v>501</v>
      </c>
      <c r="C78" s="273">
        <v>73.0</v>
      </c>
      <c r="D78" s="273">
        <v>2.0</v>
      </c>
      <c r="E78" s="1600">
        <v>0.016</v>
      </c>
      <c r="F78" s="28">
        <v>0.0</v>
      </c>
      <c r="G78" s="511">
        <v>5.0</v>
      </c>
      <c r="H78" s="276">
        <v>0.04</v>
      </c>
      <c r="I78" s="28">
        <v>0.0</v>
      </c>
      <c r="J78" s="1576">
        <v>1.0</v>
      </c>
      <c r="K78" s="301">
        <v>0.008333333333333333</v>
      </c>
      <c r="L78" s="1580" t="s">
        <v>2339</v>
      </c>
    </row>
    <row r="79" ht="22.5" customHeight="1">
      <c r="A79" s="5" t="s">
        <v>383</v>
      </c>
      <c r="B79" s="35" t="s">
        <v>79</v>
      </c>
      <c r="C79" s="273">
        <v>125.0</v>
      </c>
      <c r="D79" s="273">
        <v>0.0</v>
      </c>
      <c r="E79" s="276">
        <v>0.0</v>
      </c>
      <c r="F79" s="28">
        <v>0.0</v>
      </c>
      <c r="G79" s="511">
        <v>3.0</v>
      </c>
      <c r="H79" s="276">
        <v>0.03225806451612903</v>
      </c>
      <c r="I79" s="28">
        <v>0.0</v>
      </c>
      <c r="J79" s="1576">
        <v>3.0</v>
      </c>
      <c r="K79" s="295">
        <v>0.03260869565217391</v>
      </c>
      <c r="L79" s="1580" t="s">
        <v>2340</v>
      </c>
    </row>
    <row r="80" ht="22.5" customHeight="1">
      <c r="A80" s="5" t="s">
        <v>383</v>
      </c>
      <c r="B80" s="5" t="s">
        <v>45</v>
      </c>
      <c r="C80" s="273">
        <v>93.0</v>
      </c>
      <c r="D80" s="273">
        <v>1.0</v>
      </c>
      <c r="E80" s="1557">
        <v>0.0136986301369863</v>
      </c>
      <c r="F80" s="28">
        <v>0.0</v>
      </c>
      <c r="G80" s="511">
        <v>2.0</v>
      </c>
      <c r="H80" s="276">
        <v>0.0273972602739726</v>
      </c>
      <c r="I80" s="28">
        <v>0.0</v>
      </c>
      <c r="J80" s="1576">
        <v>4.0</v>
      </c>
      <c r="K80" s="1605">
        <v>0.05714285714285714</v>
      </c>
      <c r="L80" s="1580" t="s">
        <v>1907</v>
      </c>
    </row>
    <row r="81" ht="22.5" customHeight="1">
      <c r="A81" s="5" t="s">
        <v>383</v>
      </c>
      <c r="B81" s="5" t="s">
        <v>123</v>
      </c>
      <c r="C81" s="273">
        <v>73.0</v>
      </c>
      <c r="D81" s="273">
        <v>1.0</v>
      </c>
      <c r="E81" s="1072">
        <v>0.021739130434782608</v>
      </c>
      <c r="F81" s="28">
        <v>0.0</v>
      </c>
      <c r="G81" s="511">
        <v>3.0</v>
      </c>
      <c r="H81" s="276">
        <v>0.06521739130434782</v>
      </c>
      <c r="I81" s="28">
        <v>0.0</v>
      </c>
      <c r="J81" s="1576">
        <v>3.0</v>
      </c>
      <c r="K81" s="1607">
        <v>0.06666666666666667</v>
      </c>
      <c r="L81" s="1580" t="s">
        <v>2094</v>
      </c>
    </row>
    <row r="82" ht="22.5" customHeight="1">
      <c r="A82" s="5" t="s">
        <v>383</v>
      </c>
      <c r="B82" s="5" t="s">
        <v>153</v>
      </c>
      <c r="C82" s="273">
        <v>46.0</v>
      </c>
      <c r="D82" s="273">
        <v>0.0</v>
      </c>
      <c r="E82" s="276">
        <v>0.0</v>
      </c>
      <c r="F82" s="28">
        <v>0.0</v>
      </c>
      <c r="G82" s="511">
        <v>1.0</v>
      </c>
      <c r="H82" s="276">
        <v>0.018867924528301886</v>
      </c>
      <c r="I82" s="28">
        <v>0.0</v>
      </c>
      <c r="J82" s="1576">
        <v>1.0</v>
      </c>
      <c r="K82" s="1060">
        <v>0.018867924528301886</v>
      </c>
      <c r="L82" s="1580" t="s">
        <v>2334</v>
      </c>
    </row>
    <row r="83" ht="22.5" customHeight="1">
      <c r="A83" s="5" t="s">
        <v>383</v>
      </c>
      <c r="B83" s="5" t="s">
        <v>159</v>
      </c>
      <c r="C83" s="273">
        <v>53.0</v>
      </c>
      <c r="D83" s="273">
        <v>2.0</v>
      </c>
      <c r="E83" s="303">
        <v>0.005208333333333333</v>
      </c>
      <c r="F83" s="28">
        <v>0.0</v>
      </c>
      <c r="G83" s="511">
        <v>7.0</v>
      </c>
      <c r="H83" s="276">
        <v>0.018229166666666668</v>
      </c>
      <c r="I83" s="28">
        <v>0.0</v>
      </c>
      <c r="J83" s="1576">
        <v>7.0</v>
      </c>
      <c r="K83" s="1060">
        <v>0.018518518518518517</v>
      </c>
      <c r="L83" s="1580" t="s">
        <v>2341</v>
      </c>
    </row>
    <row r="84" ht="22.5" customHeight="1">
      <c r="A84" s="5" t="s">
        <v>383</v>
      </c>
      <c r="B84" s="5" t="s">
        <v>26</v>
      </c>
      <c r="C84" s="273">
        <v>384.0</v>
      </c>
      <c r="D84" s="273">
        <v>0.0</v>
      </c>
      <c r="E84" s="276">
        <v>0.0</v>
      </c>
      <c r="F84" s="28">
        <v>0.0</v>
      </c>
      <c r="G84" s="511">
        <v>4.0</v>
      </c>
      <c r="H84" s="276">
        <v>0.047058823529411764</v>
      </c>
      <c r="I84" s="28">
        <v>0.0</v>
      </c>
      <c r="J84" s="1576">
        <v>2.0</v>
      </c>
      <c r="K84" s="1611">
        <v>0.02531645569620253</v>
      </c>
      <c r="L84" s="1580" t="s">
        <v>2342</v>
      </c>
    </row>
    <row r="85" ht="22.5" customHeight="1">
      <c r="A85" s="5" t="s">
        <v>383</v>
      </c>
      <c r="B85" s="5" t="s">
        <v>23</v>
      </c>
      <c r="C85" s="273">
        <v>181.0</v>
      </c>
      <c r="D85" s="273">
        <v>1.0</v>
      </c>
      <c r="E85" s="1493">
        <v>0.0055248618784530384</v>
      </c>
      <c r="F85" s="28">
        <v>0.0</v>
      </c>
      <c r="G85" s="511">
        <v>3.0</v>
      </c>
      <c r="H85" s="276">
        <v>0.016574585635359115</v>
      </c>
      <c r="I85" s="28">
        <v>0.0</v>
      </c>
      <c r="J85" s="1576">
        <v>7.0</v>
      </c>
      <c r="K85" s="1612">
        <v>0.03910614525139665</v>
      </c>
      <c r="L85" s="1580" t="s">
        <v>1879</v>
      </c>
    </row>
    <row r="86" ht="22.5" customHeight="1">
      <c r="A86" s="233"/>
      <c r="B86" s="1613"/>
      <c r="C86" s="341"/>
      <c r="D86" s="341"/>
      <c r="E86" s="342"/>
      <c r="F86" s="343"/>
      <c r="G86" s="341"/>
      <c r="H86" s="1085"/>
      <c r="I86" s="344"/>
      <c r="J86" s="1614"/>
      <c r="K86" s="342"/>
      <c r="L86" s="834"/>
    </row>
    <row r="87" ht="22.5" customHeight="1">
      <c r="A87" s="233"/>
      <c r="B87" s="234"/>
      <c r="C87" s="345"/>
      <c r="D87" s="345"/>
      <c r="E87" s="1088"/>
      <c r="F87" s="1089"/>
      <c r="G87" s="345"/>
      <c r="H87" s="1090"/>
      <c r="I87" s="1091"/>
      <c r="J87" s="1615"/>
      <c r="K87" s="1088"/>
      <c r="L87" s="1087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108"/>
      <c r="F90" s="108"/>
      <c r="G90" s="108"/>
      <c r="H90" s="1093"/>
      <c r="I90" s="315"/>
      <c r="J90" s="108"/>
      <c r="K90" s="108"/>
      <c r="L90" s="108"/>
    </row>
    <row r="91">
      <c r="C91" s="108"/>
      <c r="D91" s="108"/>
      <c r="E91" s="526"/>
      <c r="F91" s="526"/>
      <c r="G91" s="588"/>
      <c r="H91" s="1096"/>
      <c r="I91" s="315"/>
      <c r="J91" s="108"/>
      <c r="K91" s="108"/>
      <c r="L91" s="108"/>
    </row>
    <row r="92">
      <c r="C92" s="108"/>
      <c r="D92" s="108"/>
      <c r="E92" s="526"/>
      <c r="F92" s="526"/>
      <c r="G92" s="588"/>
      <c r="H92" s="1096"/>
      <c r="I92" s="315"/>
      <c r="J92" s="108"/>
      <c r="K92" s="108"/>
      <c r="L92" s="108"/>
    </row>
    <row r="93">
      <c r="C93" s="108"/>
      <c r="D93" s="108"/>
      <c r="E93" s="526"/>
      <c r="F93" s="526"/>
      <c r="G93" s="1616"/>
      <c r="H93" s="1096"/>
      <c r="I93" s="315"/>
      <c r="J93" s="108"/>
      <c r="K93" s="108"/>
      <c r="L93" s="108"/>
    </row>
    <row r="94">
      <c r="C94" s="108"/>
      <c r="D94" s="1094"/>
      <c r="E94" s="1617"/>
      <c r="F94" s="1617"/>
      <c r="G94" s="1617"/>
      <c r="H94" s="1096"/>
      <c r="I94" s="315"/>
      <c r="J94" s="108"/>
      <c r="K94" s="108"/>
      <c r="L94" s="108"/>
    </row>
    <row r="95">
      <c r="C95" s="108"/>
      <c r="D95" s="526"/>
      <c r="E95" s="321"/>
      <c r="F95" s="1618"/>
      <c r="G95" s="321"/>
      <c r="H95" s="1096"/>
      <c r="I95" s="315"/>
      <c r="J95" s="108"/>
      <c r="K95" s="108"/>
      <c r="L95" s="108"/>
    </row>
    <row r="96">
      <c r="C96" s="108"/>
      <c r="D96" s="526"/>
      <c r="E96" s="321"/>
      <c r="F96" s="1618"/>
      <c r="G96" s="321"/>
      <c r="H96" s="1096"/>
      <c r="I96" s="315"/>
      <c r="J96" s="108"/>
      <c r="K96" s="108"/>
      <c r="L96" s="108"/>
    </row>
    <row r="97">
      <c r="C97" s="108"/>
      <c r="D97" s="526"/>
      <c r="E97" s="321"/>
      <c r="F97" s="1618"/>
      <c r="G97" s="321"/>
      <c r="H97" s="1096"/>
      <c r="I97" s="315"/>
      <c r="J97" s="108"/>
      <c r="K97" s="108"/>
      <c r="L97" s="108"/>
    </row>
    <row r="98">
      <c r="C98" s="108"/>
      <c r="D98" s="526"/>
      <c r="E98" s="321"/>
      <c r="F98" s="1618"/>
      <c r="G98" s="321"/>
      <c r="H98" s="1096"/>
      <c r="I98" s="315"/>
      <c r="J98" s="108"/>
      <c r="K98" s="108"/>
      <c r="L98" s="108"/>
    </row>
    <row r="99">
      <c r="C99" s="108"/>
      <c r="D99" s="526"/>
      <c r="E99" s="321"/>
      <c r="F99" s="1618"/>
      <c r="G99" s="321"/>
      <c r="H99" s="1096"/>
      <c r="I99" s="315"/>
      <c r="J99" s="108"/>
      <c r="K99" s="108"/>
      <c r="L99" s="108"/>
    </row>
    <row r="100">
      <c r="C100" s="108"/>
      <c r="D100" s="526"/>
      <c r="E100" s="321"/>
      <c r="F100" s="1618"/>
      <c r="G100" s="321"/>
      <c r="H100" s="1096"/>
      <c r="I100" s="315"/>
      <c r="J100" s="108"/>
      <c r="K100" s="108"/>
      <c r="L100" s="108"/>
    </row>
    <row r="101">
      <c r="C101" s="108"/>
      <c r="D101" s="526"/>
      <c r="E101" s="321"/>
      <c r="F101" s="1618"/>
      <c r="G101" s="321"/>
      <c r="H101" s="1096"/>
      <c r="I101" s="315"/>
      <c r="J101" s="108"/>
      <c r="K101" s="108"/>
      <c r="L101" s="108"/>
    </row>
    <row r="102">
      <c r="C102" s="108"/>
      <c r="D102" s="526"/>
      <c r="E102" s="321"/>
      <c r="F102" s="1618"/>
      <c r="G102" s="321"/>
      <c r="H102" s="1096"/>
      <c r="I102" s="315"/>
      <c r="J102" s="108"/>
      <c r="K102" s="108"/>
      <c r="L102" s="108"/>
    </row>
    <row r="103">
      <c r="C103" s="108"/>
      <c r="D103" s="526"/>
      <c r="E103" s="321"/>
      <c r="F103" s="1618"/>
      <c r="G103" s="321"/>
      <c r="H103" s="1096"/>
      <c r="I103" s="315"/>
      <c r="J103" s="108"/>
      <c r="K103" s="108"/>
      <c r="L103" s="108"/>
    </row>
    <row r="104">
      <c r="C104" s="108"/>
      <c r="D104" s="526"/>
      <c r="E104" s="321"/>
      <c r="F104" s="1618"/>
      <c r="G104" s="321"/>
      <c r="H104" s="1096"/>
      <c r="I104" s="315"/>
      <c r="J104" s="108"/>
      <c r="K104" s="108"/>
      <c r="L104" s="108"/>
    </row>
    <row r="105">
      <c r="C105" s="108"/>
      <c r="D105" s="526"/>
      <c r="E105" s="321"/>
      <c r="F105" s="1618"/>
      <c r="G105" s="321"/>
      <c r="H105" s="1096"/>
      <c r="I105" s="315"/>
      <c r="J105" s="108"/>
      <c r="K105" s="108"/>
      <c r="L105" s="108"/>
    </row>
    <row r="106">
      <c r="C106" s="108"/>
      <c r="D106" s="526"/>
      <c r="E106" s="321"/>
      <c r="F106" s="1618"/>
      <c r="G106" s="321"/>
      <c r="H106" s="1096"/>
      <c r="I106" s="315"/>
      <c r="J106" s="108"/>
      <c r="K106" s="108"/>
      <c r="L106" s="108"/>
    </row>
    <row r="107">
      <c r="C107" s="108"/>
      <c r="D107" s="526"/>
      <c r="E107" s="321"/>
      <c r="F107" s="1618"/>
      <c r="G107" s="321"/>
      <c r="H107" s="1096"/>
      <c r="I107" s="315"/>
      <c r="J107" s="108"/>
      <c r="K107" s="108"/>
      <c r="L107" s="108"/>
    </row>
    <row r="108">
      <c r="C108" s="108"/>
      <c r="D108" s="526"/>
      <c r="E108" s="321"/>
      <c r="F108" s="1618"/>
      <c r="G108" s="321"/>
      <c r="H108" s="1096"/>
      <c r="I108" s="315"/>
      <c r="J108" s="108"/>
      <c r="K108" s="108"/>
      <c r="L108" s="108"/>
    </row>
    <row r="109">
      <c r="C109" s="108"/>
      <c r="D109" s="526"/>
      <c r="E109" s="321"/>
      <c r="F109" s="1618"/>
      <c r="G109" s="321"/>
      <c r="H109" s="1096"/>
      <c r="I109" s="315"/>
      <c r="J109" s="108"/>
      <c r="K109" s="108"/>
      <c r="L109" s="108"/>
    </row>
    <row r="110">
      <c r="C110" s="108"/>
      <c r="D110" s="526"/>
      <c r="E110" s="321"/>
      <c r="F110" s="1618"/>
      <c r="G110" s="321"/>
      <c r="H110" s="1096"/>
      <c r="I110" s="315"/>
      <c r="J110" s="108"/>
      <c r="K110" s="108"/>
      <c r="L110" s="108"/>
    </row>
    <row r="111">
      <c r="C111" s="108"/>
      <c r="D111" s="526"/>
      <c r="E111" s="321"/>
      <c r="F111" s="1618"/>
      <c r="G111" s="321"/>
      <c r="H111" s="1096"/>
      <c r="I111" s="315"/>
      <c r="J111" s="108"/>
      <c r="K111" s="108"/>
      <c r="L111" s="108"/>
    </row>
    <row r="112">
      <c r="C112" s="108"/>
      <c r="D112" s="526"/>
      <c r="E112" s="321"/>
      <c r="F112" s="1618"/>
      <c r="G112" s="321"/>
      <c r="H112" s="1096"/>
      <c r="I112" s="315"/>
      <c r="J112" s="108"/>
      <c r="K112" s="108"/>
      <c r="L112" s="108"/>
    </row>
    <row r="113">
      <c r="C113" s="108"/>
      <c r="D113" s="526"/>
      <c r="E113" s="321"/>
      <c r="F113" s="1618"/>
      <c r="G113" s="321"/>
      <c r="H113" s="1096"/>
      <c r="I113" s="315"/>
      <c r="J113" s="108"/>
      <c r="K113" s="108"/>
      <c r="L113" s="108"/>
    </row>
    <row r="114">
      <c r="C114" s="79"/>
      <c r="E114" s="247"/>
      <c r="F114" s="1128"/>
      <c r="G114" s="247"/>
      <c r="H114" s="1101"/>
      <c r="I114" s="314"/>
      <c r="J114" s="79"/>
      <c r="K114" s="79"/>
      <c r="L114" s="79"/>
    </row>
    <row r="115">
      <c r="C115" s="79"/>
      <c r="E115" s="247"/>
      <c r="F115" s="1128"/>
      <c r="G115" s="247"/>
      <c r="H115" s="1101"/>
      <c r="I115" s="314"/>
      <c r="J115" s="79"/>
      <c r="K115" s="79"/>
      <c r="L115" s="79"/>
    </row>
    <row r="116">
      <c r="C116" s="79"/>
      <c r="E116" s="247"/>
      <c r="F116" s="1128"/>
      <c r="G116" s="247"/>
      <c r="H116" s="1101"/>
      <c r="I116" s="314"/>
      <c r="J116" s="79"/>
      <c r="K116" s="79"/>
      <c r="L116" s="79"/>
    </row>
    <row r="117">
      <c r="C117" s="79"/>
      <c r="E117" s="247"/>
      <c r="F117" s="1128"/>
      <c r="G117" s="247"/>
      <c r="H117" s="1101"/>
      <c r="I117" s="314"/>
      <c r="J117" s="79"/>
      <c r="K117" s="79"/>
      <c r="L117" s="79"/>
    </row>
    <row r="118">
      <c r="C118" s="79"/>
      <c r="E118" s="247"/>
      <c r="F118" s="1128"/>
      <c r="G118" s="247"/>
      <c r="H118" s="1101"/>
      <c r="I118" s="314"/>
      <c r="J118" s="79"/>
      <c r="K118" s="79"/>
      <c r="L118" s="79"/>
    </row>
    <row r="119">
      <c r="C119" s="79"/>
      <c r="E119" s="1132"/>
      <c r="F119" s="1132"/>
      <c r="G119" s="1132"/>
      <c r="H119" s="1101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  <row r="743">
      <c r="C743" s="79"/>
      <c r="D743" s="79"/>
      <c r="E743" s="79"/>
      <c r="F743" s="79"/>
      <c r="G743" s="79"/>
      <c r="H743" s="252"/>
      <c r="I743" s="314"/>
      <c r="J743" s="79"/>
      <c r="K743" s="79"/>
      <c r="L743" s="79"/>
    </row>
  </sheetData>
  <dataValidations>
    <dataValidation allowBlank="1" showDropDown="1" sqref="L2:L8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20.38"/>
    <col customWidth="1" min="8" max="8" width="16.75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264" t="s">
        <v>2</v>
      </c>
      <c r="D1" s="264" t="s">
        <v>1170</v>
      </c>
      <c r="E1" s="264" t="s">
        <v>2047</v>
      </c>
      <c r="F1" s="779" t="s">
        <v>12</v>
      </c>
      <c r="G1" s="780" t="s">
        <v>6</v>
      </c>
      <c r="H1" s="780" t="s">
        <v>5</v>
      </c>
      <c r="I1" s="781" t="s">
        <v>7</v>
      </c>
      <c r="J1" s="264" t="s">
        <v>8</v>
      </c>
      <c r="K1" s="264" t="s">
        <v>2053</v>
      </c>
      <c r="L1" s="147" t="s">
        <v>10</v>
      </c>
    </row>
    <row r="2" ht="22.5" customHeight="1">
      <c r="A2" s="5" t="s">
        <v>11</v>
      </c>
      <c r="B2" s="1171" t="s">
        <v>15</v>
      </c>
      <c r="C2" s="1390">
        <v>410.0</v>
      </c>
      <c r="D2" s="1391">
        <v>1.0</v>
      </c>
      <c r="E2" s="1246">
        <v>0.0024</v>
      </c>
      <c r="F2" s="1178" t="s">
        <v>2057</v>
      </c>
      <c r="G2" s="1393">
        <v>8.0</v>
      </c>
      <c r="H2" s="1230">
        <v>0.0195</v>
      </c>
      <c r="I2" s="1182" t="s">
        <v>2060</v>
      </c>
      <c r="J2" s="1395">
        <v>25.0</v>
      </c>
      <c r="K2" s="1397">
        <v>0.0725</v>
      </c>
      <c r="L2" s="1399" t="s">
        <v>2062</v>
      </c>
    </row>
    <row r="3" ht="22.5" customHeight="1">
      <c r="A3" s="5" t="s">
        <v>11</v>
      </c>
      <c r="B3" s="1171" t="s">
        <v>13</v>
      </c>
      <c r="C3" s="1390">
        <v>1472.0</v>
      </c>
      <c r="D3" s="1401">
        <v>6.0</v>
      </c>
      <c r="E3" s="1392">
        <v>0.0041</v>
      </c>
      <c r="F3" s="1178" t="s">
        <v>277</v>
      </c>
      <c r="G3" s="1188">
        <v>31.0</v>
      </c>
      <c r="H3" s="1199">
        <v>0.0217</v>
      </c>
      <c r="I3" s="1182" t="s">
        <v>2068</v>
      </c>
      <c r="J3" s="1403">
        <v>35.0</v>
      </c>
      <c r="K3" s="1325">
        <v>0.0254</v>
      </c>
      <c r="L3" s="1405" t="s">
        <v>2070</v>
      </c>
    </row>
    <row r="4" ht="22.5" customHeight="1">
      <c r="A4" s="5" t="s">
        <v>11</v>
      </c>
      <c r="B4" s="1171" t="s">
        <v>27</v>
      </c>
      <c r="C4" s="1390">
        <v>704.0</v>
      </c>
      <c r="D4" s="1408">
        <v>4.0</v>
      </c>
      <c r="E4" s="1384">
        <v>0.0056</v>
      </c>
      <c r="F4" s="1178" t="s">
        <v>2075</v>
      </c>
      <c r="G4" s="1410">
        <v>11.0</v>
      </c>
      <c r="H4" s="1411">
        <v>0.0156</v>
      </c>
      <c r="I4" s="1182" t="s">
        <v>2076</v>
      </c>
      <c r="J4" s="1395">
        <v>25.0</v>
      </c>
      <c r="K4" s="1258">
        <v>0.0389</v>
      </c>
      <c r="L4" s="1399" t="s">
        <v>2077</v>
      </c>
    </row>
    <row r="5" ht="22.5" customHeight="1">
      <c r="A5" s="5" t="s">
        <v>11</v>
      </c>
      <c r="B5" s="1171" t="s">
        <v>33</v>
      </c>
      <c r="C5" s="1390">
        <v>885.0</v>
      </c>
      <c r="D5" s="1414">
        <v>10.0</v>
      </c>
      <c r="E5" s="1415">
        <v>0.0112</v>
      </c>
      <c r="F5" s="1178" t="s">
        <v>2081</v>
      </c>
      <c r="G5" s="1417">
        <v>12.0</v>
      </c>
      <c r="H5" s="1418">
        <v>0.0136</v>
      </c>
      <c r="I5" s="1182" t="s">
        <v>2085</v>
      </c>
      <c r="J5" s="1403">
        <v>35.0</v>
      </c>
      <c r="K5" s="1208">
        <v>0.0434</v>
      </c>
      <c r="L5" s="1420" t="s">
        <v>2088</v>
      </c>
    </row>
    <row r="6" ht="22.5" customHeight="1">
      <c r="A6" s="5" t="s">
        <v>11</v>
      </c>
      <c r="B6" s="1171" t="s">
        <v>19</v>
      </c>
      <c r="C6" s="1390">
        <v>1280.0</v>
      </c>
      <c r="D6" s="1421" t="s">
        <v>17</v>
      </c>
      <c r="E6" s="1235" t="s">
        <v>17</v>
      </c>
      <c r="F6" s="1178" t="s">
        <v>17</v>
      </c>
      <c r="G6" s="1423">
        <v>15.0</v>
      </c>
      <c r="H6" s="1192">
        <v>0.0117</v>
      </c>
      <c r="I6" s="1182" t="s">
        <v>2093</v>
      </c>
      <c r="J6" s="1424">
        <v>54.0</v>
      </c>
      <c r="K6" s="1176">
        <v>0.0446</v>
      </c>
      <c r="L6" s="1426" t="s">
        <v>2094</v>
      </c>
    </row>
    <row r="7" ht="22.5" customHeight="1">
      <c r="A7" s="5" t="s">
        <v>11</v>
      </c>
      <c r="B7" s="1171" t="s">
        <v>46</v>
      </c>
      <c r="C7" s="1390">
        <v>101.0</v>
      </c>
      <c r="D7" s="1391">
        <v>1.0</v>
      </c>
      <c r="E7" s="1427">
        <v>0.0098</v>
      </c>
      <c r="F7" s="1178" t="s">
        <v>277</v>
      </c>
      <c r="G7" s="1225">
        <v>1.0</v>
      </c>
      <c r="H7" s="1235" t="s">
        <v>17</v>
      </c>
      <c r="I7" s="1182" t="s">
        <v>105</v>
      </c>
      <c r="J7" s="1428"/>
      <c r="K7" s="1429"/>
      <c r="L7" s="1399" t="s">
        <v>2101</v>
      </c>
    </row>
    <row r="8" ht="22.5" customHeight="1">
      <c r="A8" s="5" t="s">
        <v>11</v>
      </c>
      <c r="B8" s="1171" t="s">
        <v>50</v>
      </c>
      <c r="C8" s="1172">
        <v>471.0</v>
      </c>
      <c r="D8" s="1248">
        <v>3.0</v>
      </c>
      <c r="E8" s="1432">
        <v>0.0063</v>
      </c>
      <c r="F8" s="1178" t="s">
        <v>277</v>
      </c>
      <c r="G8" s="1410">
        <v>11.0</v>
      </c>
      <c r="H8" s="1176">
        <v>0.0234</v>
      </c>
      <c r="I8" s="1182" t="s">
        <v>2103</v>
      </c>
      <c r="J8" s="1433">
        <v>15.0</v>
      </c>
      <c r="K8" s="1195">
        <v>0.0357</v>
      </c>
      <c r="L8" s="1434" t="s">
        <v>2106</v>
      </c>
    </row>
    <row r="9" ht="22.5" customHeight="1">
      <c r="A9" s="5" t="s">
        <v>11</v>
      </c>
      <c r="B9" s="1171" t="s">
        <v>58</v>
      </c>
      <c r="C9" s="1172">
        <v>567.0</v>
      </c>
      <c r="D9" s="1235" t="s">
        <v>17</v>
      </c>
      <c r="E9" s="1235" t="s">
        <v>17</v>
      </c>
      <c r="F9" s="1178" t="s">
        <v>17</v>
      </c>
      <c r="G9" s="1435">
        <v>7.0</v>
      </c>
      <c r="H9" s="1319">
        <v>0.0123</v>
      </c>
      <c r="I9" s="1182" t="s">
        <v>2111</v>
      </c>
      <c r="J9" s="1437">
        <v>8.0</v>
      </c>
      <c r="K9" s="1370">
        <v>0.0148</v>
      </c>
      <c r="L9" s="1434" t="s">
        <v>2115</v>
      </c>
    </row>
    <row r="10" ht="22.5" customHeight="1">
      <c r="A10" s="5" t="s">
        <v>11</v>
      </c>
      <c r="B10" s="1171" t="s">
        <v>64</v>
      </c>
      <c r="C10" s="1172">
        <v>445.0</v>
      </c>
      <c r="D10" s="1235" t="s">
        <v>17</v>
      </c>
      <c r="E10" s="1235" t="s">
        <v>17</v>
      </c>
      <c r="F10" s="1178" t="s">
        <v>17</v>
      </c>
      <c r="G10" s="1393">
        <v>8.0</v>
      </c>
      <c r="H10" s="1384">
        <v>0.018</v>
      </c>
      <c r="I10" s="1182" t="s">
        <v>2119</v>
      </c>
      <c r="J10" s="1438">
        <v>6.0</v>
      </c>
      <c r="K10" s="1240">
        <v>0.0152</v>
      </c>
      <c r="L10" s="1399" t="s">
        <v>2123</v>
      </c>
    </row>
    <row r="11" ht="22.5" customHeight="1">
      <c r="A11" s="5" t="s">
        <v>11</v>
      </c>
      <c r="B11" s="1171" t="s">
        <v>77</v>
      </c>
      <c r="C11" s="1390">
        <v>468.0</v>
      </c>
      <c r="D11" s="1391">
        <v>1.0</v>
      </c>
      <c r="E11" s="1439">
        <v>0.0021</v>
      </c>
      <c r="F11" s="1178" t="s">
        <v>277</v>
      </c>
      <c r="G11" s="1440">
        <v>9.0</v>
      </c>
      <c r="H11" s="1258">
        <v>0.0192</v>
      </c>
      <c r="I11" s="1182" t="s">
        <v>2129</v>
      </c>
      <c r="J11" s="1441">
        <v>13.0</v>
      </c>
      <c r="K11" s="1392">
        <v>0.0293</v>
      </c>
      <c r="L11" s="1434" t="s">
        <v>2133</v>
      </c>
    </row>
    <row r="12" ht="22.5" customHeight="1">
      <c r="A12" s="5" t="s">
        <v>11</v>
      </c>
      <c r="B12" s="1171" t="s">
        <v>82</v>
      </c>
      <c r="C12" s="1390">
        <v>490.0</v>
      </c>
      <c r="D12" s="1391">
        <v>1.0</v>
      </c>
      <c r="E12" s="1240">
        <v>0.002</v>
      </c>
      <c r="F12" s="1178" t="s">
        <v>277</v>
      </c>
      <c r="G12" s="1443">
        <v>3.0</v>
      </c>
      <c r="H12" s="1211">
        <v>0.0</v>
      </c>
      <c r="I12" s="1182" t="s">
        <v>2136</v>
      </c>
      <c r="J12" s="1444">
        <v>14.0</v>
      </c>
      <c r="K12" s="1446">
        <v>0.0309</v>
      </c>
      <c r="L12" s="1447" t="s">
        <v>2139</v>
      </c>
    </row>
    <row r="13" ht="22.5" customHeight="1">
      <c r="A13" s="5" t="s">
        <v>11</v>
      </c>
      <c r="B13" s="1171" t="s">
        <v>90</v>
      </c>
      <c r="C13" s="1390">
        <v>462.0</v>
      </c>
      <c r="D13" s="1421" t="s">
        <v>17</v>
      </c>
      <c r="E13" s="1235" t="s">
        <v>17</v>
      </c>
      <c r="F13" s="1178" t="s">
        <v>17</v>
      </c>
      <c r="G13" s="1435">
        <v>7.0</v>
      </c>
      <c r="H13" s="1195">
        <v>0.0173</v>
      </c>
      <c r="I13" s="1182" t="s">
        <v>2142</v>
      </c>
      <c r="J13" s="1449">
        <v>27.0</v>
      </c>
      <c r="K13" s="1308">
        <v>0.0654</v>
      </c>
      <c r="L13" s="1434" t="s">
        <v>2145</v>
      </c>
    </row>
    <row r="14" ht="22.5" customHeight="1">
      <c r="A14" s="5" t="s">
        <v>11</v>
      </c>
      <c r="B14" s="1171" t="s">
        <v>94</v>
      </c>
      <c r="C14" s="1390">
        <v>418.0</v>
      </c>
      <c r="D14" s="1421" t="s">
        <v>17</v>
      </c>
      <c r="E14" s="1235" t="s">
        <v>17</v>
      </c>
      <c r="F14" s="1178" t="s">
        <v>17</v>
      </c>
      <c r="G14" s="1450">
        <v>6.0</v>
      </c>
      <c r="H14" s="1451">
        <v>0.0144</v>
      </c>
      <c r="I14" s="1182" t="s">
        <v>2151</v>
      </c>
      <c r="J14" s="1441">
        <v>13.0</v>
      </c>
      <c r="K14" s="1195">
        <v>0.0353</v>
      </c>
      <c r="L14" s="1434" t="s">
        <v>2152</v>
      </c>
    </row>
    <row r="15" ht="22.5" customHeight="1">
      <c r="A15" s="5" t="s">
        <v>11</v>
      </c>
      <c r="B15" s="1171" t="s">
        <v>39</v>
      </c>
      <c r="C15" s="1172">
        <v>875.0</v>
      </c>
      <c r="D15" s="1453">
        <v>6.0</v>
      </c>
      <c r="E15" s="1199">
        <v>0.0068</v>
      </c>
      <c r="F15" s="1178" t="s">
        <v>1766</v>
      </c>
      <c r="G15" s="1455">
        <v>24.0</v>
      </c>
      <c r="H15" s="1456">
        <v>0.0274</v>
      </c>
      <c r="I15" s="1182" t="s">
        <v>2157</v>
      </c>
      <c r="J15" s="1424">
        <v>54.0</v>
      </c>
      <c r="K15" s="1457">
        <v>0.0669</v>
      </c>
      <c r="L15" s="1399" t="s">
        <v>2158</v>
      </c>
    </row>
    <row r="16" ht="22.5" customHeight="1">
      <c r="A16" s="5" t="s">
        <v>11</v>
      </c>
      <c r="B16" s="1171" t="s">
        <v>1989</v>
      </c>
      <c r="C16" s="1172">
        <v>697.0</v>
      </c>
      <c r="D16" s="1174">
        <v>4.0</v>
      </c>
      <c r="E16" s="1258">
        <v>0.0057</v>
      </c>
      <c r="F16" s="1178" t="s">
        <v>277</v>
      </c>
      <c r="G16" s="1458">
        <v>5.0</v>
      </c>
      <c r="H16" s="1334">
        <v>0.0072</v>
      </c>
      <c r="I16" s="1182" t="s">
        <v>2164</v>
      </c>
      <c r="J16" s="1444">
        <v>14.0</v>
      </c>
      <c r="K16" s="1460">
        <v>0.0209</v>
      </c>
      <c r="L16" s="1461" t="s">
        <v>2166</v>
      </c>
    </row>
    <row r="17" ht="22.5" customHeight="1">
      <c r="A17" s="5" t="s">
        <v>11</v>
      </c>
      <c r="B17" s="1171" t="s">
        <v>59</v>
      </c>
      <c r="C17" s="1390">
        <v>903.0</v>
      </c>
      <c r="D17" s="1408">
        <v>4.0</v>
      </c>
      <c r="E17" s="1214">
        <v>0.0044</v>
      </c>
      <c r="F17" s="1178" t="s">
        <v>2169</v>
      </c>
      <c r="G17" s="1423">
        <v>15.0</v>
      </c>
      <c r="H17" s="1269">
        <v>0.0166</v>
      </c>
      <c r="I17" s="1182" t="s">
        <v>2172</v>
      </c>
      <c r="J17" s="1463">
        <v>20.0</v>
      </c>
      <c r="K17" s="1464">
        <v>0.0234</v>
      </c>
      <c r="L17" s="1461" t="s">
        <v>2175</v>
      </c>
    </row>
    <row r="18" ht="22.5" customHeight="1">
      <c r="A18" s="5" t="s">
        <v>11</v>
      </c>
      <c r="B18" s="1171" t="s">
        <v>114</v>
      </c>
      <c r="C18" s="1172">
        <v>434.0</v>
      </c>
      <c r="D18" s="1467">
        <v>2.0</v>
      </c>
      <c r="E18" s="1249">
        <v>0.0046</v>
      </c>
      <c r="F18" s="1178" t="s">
        <v>277</v>
      </c>
      <c r="G18" s="1468">
        <v>14.0</v>
      </c>
      <c r="H18" s="1310">
        <v>0.0323</v>
      </c>
      <c r="I18" s="1182" t="s">
        <v>2182</v>
      </c>
      <c r="J18" s="1433">
        <v>15.0</v>
      </c>
      <c r="K18" s="1384">
        <v>0.0375</v>
      </c>
      <c r="L18" s="1469" t="s">
        <v>2184</v>
      </c>
    </row>
    <row r="19" ht="22.5" customHeight="1">
      <c r="A19" s="5" t="s">
        <v>11</v>
      </c>
      <c r="B19" s="1171" t="s">
        <v>119</v>
      </c>
      <c r="C19" s="1390">
        <v>343.0</v>
      </c>
      <c r="D19" s="1421" t="s">
        <v>17</v>
      </c>
      <c r="E19" s="1235" t="s">
        <v>17</v>
      </c>
      <c r="F19" s="1178" t="s">
        <v>17</v>
      </c>
      <c r="G19" s="1296">
        <v>4.0</v>
      </c>
      <c r="H19" s="1192">
        <v>0.0117</v>
      </c>
      <c r="I19" s="1182" t="s">
        <v>2188</v>
      </c>
      <c r="J19" s="1210">
        <v>9.0</v>
      </c>
      <c r="K19" s="1392">
        <v>0.0296</v>
      </c>
      <c r="L19" s="1434" t="s">
        <v>2190</v>
      </c>
    </row>
    <row r="20" ht="22.5" customHeight="1">
      <c r="A20" s="5" t="s">
        <v>11</v>
      </c>
      <c r="B20" s="1171" t="s">
        <v>126</v>
      </c>
      <c r="C20" s="1390">
        <v>275.0</v>
      </c>
      <c r="D20" s="1421" t="s">
        <v>17</v>
      </c>
      <c r="E20" s="1235" t="s">
        <v>17</v>
      </c>
      <c r="F20" s="1178" t="s">
        <v>17</v>
      </c>
      <c r="G20" s="1468">
        <v>14.0</v>
      </c>
      <c r="H20" s="1184">
        <v>0.0509</v>
      </c>
      <c r="I20" s="1182" t="s">
        <v>2195</v>
      </c>
      <c r="J20" s="1473">
        <v>11.0</v>
      </c>
      <c r="K20" s="1199">
        <v>0.0425</v>
      </c>
      <c r="L20" s="1474" t="s">
        <v>2200</v>
      </c>
    </row>
    <row r="21" ht="22.5" customHeight="1">
      <c r="A21" s="5" t="s">
        <v>11</v>
      </c>
      <c r="B21" s="1171" t="s">
        <v>136</v>
      </c>
      <c r="C21" s="1172">
        <v>578.0</v>
      </c>
      <c r="D21" s="1235" t="s">
        <v>17</v>
      </c>
      <c r="E21" s="1235" t="s">
        <v>17</v>
      </c>
      <c r="F21" s="1178" t="s">
        <v>17</v>
      </c>
      <c r="G21" s="1443">
        <v>3.0</v>
      </c>
      <c r="H21" s="1235" t="s">
        <v>17</v>
      </c>
      <c r="I21" s="1182" t="s">
        <v>2203</v>
      </c>
      <c r="J21" s="1473">
        <v>11.0</v>
      </c>
      <c r="K21" s="1226">
        <v>0.0204</v>
      </c>
      <c r="L21" s="1477" t="s">
        <v>2207</v>
      </c>
    </row>
    <row r="22" ht="22.5" customHeight="1">
      <c r="A22" s="5" t="s">
        <v>11</v>
      </c>
      <c r="B22" s="1171" t="s">
        <v>72</v>
      </c>
      <c r="C22" s="1390">
        <v>373.0</v>
      </c>
      <c r="D22" s="1478">
        <v>5.0</v>
      </c>
      <c r="E22" s="1457">
        <v>0.0132</v>
      </c>
      <c r="F22" s="1178" t="s">
        <v>277</v>
      </c>
      <c r="G22" s="1296">
        <v>4.0</v>
      </c>
      <c r="H22" s="1293">
        <v>0.0107</v>
      </c>
      <c r="I22" s="1182" t="s">
        <v>2213</v>
      </c>
      <c r="J22" s="1428"/>
      <c r="K22" s="1429"/>
      <c r="L22" s="1434" t="s">
        <v>2115</v>
      </c>
    </row>
    <row r="23" ht="22.5" customHeight="1">
      <c r="A23" s="5" t="s">
        <v>11</v>
      </c>
      <c r="B23" s="1171" t="s">
        <v>145</v>
      </c>
      <c r="C23" s="1172">
        <v>358.0</v>
      </c>
      <c r="D23" s="1248">
        <v>3.0</v>
      </c>
      <c r="E23" s="1237">
        <v>0.0083</v>
      </c>
      <c r="F23" s="1178" t="s">
        <v>173</v>
      </c>
      <c r="G23" s="1393">
        <v>8.0</v>
      </c>
      <c r="H23" s="1208">
        <v>0.0223</v>
      </c>
      <c r="I23" s="1182" t="s">
        <v>2222</v>
      </c>
      <c r="J23" s="1481">
        <v>18.0</v>
      </c>
      <c r="K23" s="1310">
        <v>0.0566</v>
      </c>
      <c r="L23" s="1434" t="s">
        <v>2223</v>
      </c>
    </row>
    <row r="24" ht="22.5" customHeight="1">
      <c r="A24" s="5" t="s">
        <v>11</v>
      </c>
      <c r="B24" s="1171" t="s">
        <v>85</v>
      </c>
      <c r="C24" s="1390">
        <v>526.0</v>
      </c>
      <c r="D24" s="1482">
        <v>9.0</v>
      </c>
      <c r="E24" s="1184">
        <v>0.0168</v>
      </c>
      <c r="F24" s="1178" t="s">
        <v>1676</v>
      </c>
      <c r="G24" s="1410">
        <v>11.0</v>
      </c>
      <c r="H24" s="1216">
        <v>0.0209</v>
      </c>
      <c r="I24" s="1182" t="s">
        <v>2230</v>
      </c>
      <c r="J24" s="1437">
        <v>8.0</v>
      </c>
      <c r="K24" s="1485">
        <v>0.0164</v>
      </c>
      <c r="L24" s="1434" t="s">
        <v>2231</v>
      </c>
    </row>
    <row r="25" ht="22.5" customHeight="1">
      <c r="A25" s="5" t="s">
        <v>11</v>
      </c>
      <c r="B25" s="1171" t="s">
        <v>109</v>
      </c>
      <c r="C25" s="1390">
        <v>574.0</v>
      </c>
      <c r="D25" s="1478">
        <v>5.0</v>
      </c>
      <c r="E25" s="1456">
        <v>0.0086</v>
      </c>
      <c r="F25" s="1178" t="s">
        <v>173</v>
      </c>
      <c r="G25" s="1435">
        <v>7.0</v>
      </c>
      <c r="H25" s="1319">
        <v>0.0122</v>
      </c>
      <c r="I25" s="1182" t="s">
        <v>2237</v>
      </c>
      <c r="J25" s="1437">
        <v>8.0</v>
      </c>
      <c r="K25" s="1240">
        <v>0.0156</v>
      </c>
      <c r="L25" s="1399" t="s">
        <v>2238</v>
      </c>
    </row>
    <row r="26" ht="22.5" customHeight="1">
      <c r="A26" s="5" t="s">
        <v>11</v>
      </c>
      <c r="B26" s="1171" t="s">
        <v>49</v>
      </c>
      <c r="C26" s="1172">
        <v>723.0</v>
      </c>
      <c r="D26" s="1225">
        <v>1.0</v>
      </c>
      <c r="E26" s="1211">
        <v>0.0014</v>
      </c>
      <c r="F26" s="1178" t="s">
        <v>277</v>
      </c>
      <c r="G26" s="1489">
        <v>10.0</v>
      </c>
      <c r="H26" s="1446">
        <v>0.0138</v>
      </c>
      <c r="I26" s="1182" t="s">
        <v>2242</v>
      </c>
      <c r="J26" s="1441">
        <v>13.0</v>
      </c>
      <c r="K26" s="1339">
        <v>0.0196</v>
      </c>
      <c r="L26" s="1434" t="s">
        <v>2243</v>
      </c>
    </row>
    <row r="27" ht="22.5" customHeight="1">
      <c r="A27" s="5" t="s">
        <v>11</v>
      </c>
      <c r="B27" s="1171" t="s">
        <v>115</v>
      </c>
      <c r="C27" s="1390">
        <v>488.0</v>
      </c>
      <c r="D27" s="1391">
        <v>1.0</v>
      </c>
      <c r="E27" s="1240">
        <v>0.002</v>
      </c>
      <c r="F27" s="1178" t="s">
        <v>277</v>
      </c>
      <c r="G27" s="1435">
        <v>7.0</v>
      </c>
      <c r="H27" s="1451">
        <v>0.0143</v>
      </c>
      <c r="I27" s="1182" t="s">
        <v>2247</v>
      </c>
      <c r="J27" s="1492">
        <v>21.0</v>
      </c>
      <c r="K27" s="1237">
        <v>0.0482</v>
      </c>
      <c r="L27" s="1434" t="s">
        <v>2248</v>
      </c>
    </row>
    <row r="28" ht="22.5" customHeight="1">
      <c r="A28" s="5" t="s">
        <v>11</v>
      </c>
      <c r="B28" s="1171" t="s">
        <v>45</v>
      </c>
      <c r="C28" s="1172">
        <v>762.0</v>
      </c>
      <c r="D28" s="1467">
        <v>2.0</v>
      </c>
      <c r="E28" s="1339">
        <v>0.0026</v>
      </c>
      <c r="F28" s="1178" t="s">
        <v>277</v>
      </c>
      <c r="G28" s="1417">
        <v>12.0</v>
      </c>
      <c r="H28" s="1269">
        <v>0.0157</v>
      </c>
      <c r="I28" s="1182" t="s">
        <v>2251</v>
      </c>
      <c r="J28" s="1497">
        <v>42.0</v>
      </c>
      <c r="K28" s="1415">
        <v>0.0593</v>
      </c>
      <c r="L28" s="1426" t="s">
        <v>2252</v>
      </c>
    </row>
    <row r="29" ht="22.5" customHeight="1">
      <c r="A29" s="5" t="s">
        <v>11</v>
      </c>
      <c r="B29" s="1171" t="s">
        <v>170</v>
      </c>
      <c r="C29" s="1390">
        <v>331.0</v>
      </c>
      <c r="D29" s="1391">
        <v>1.0</v>
      </c>
      <c r="E29" s="1206">
        <v>0.003</v>
      </c>
      <c r="F29" s="1178" t="s">
        <v>1762</v>
      </c>
      <c r="G29" s="1296">
        <v>4.0</v>
      </c>
      <c r="H29" s="1319">
        <v>0.0121</v>
      </c>
      <c r="I29" s="1182" t="s">
        <v>2253</v>
      </c>
      <c r="J29" s="1444">
        <v>14.0</v>
      </c>
      <c r="K29" s="1203">
        <v>0.047</v>
      </c>
      <c r="L29" s="1503" t="s">
        <v>2254</v>
      </c>
    </row>
    <row r="30" ht="22.5" customHeight="1">
      <c r="A30" s="5" t="s">
        <v>11</v>
      </c>
      <c r="B30" s="1171" t="s">
        <v>123</v>
      </c>
      <c r="C30" s="1390">
        <v>477.0</v>
      </c>
      <c r="D30" s="1421" t="s">
        <v>17</v>
      </c>
      <c r="E30" s="1235" t="s">
        <v>17</v>
      </c>
      <c r="F30" s="1178" t="s">
        <v>17</v>
      </c>
      <c r="G30" s="1505">
        <v>20.0</v>
      </c>
      <c r="H30" s="1507">
        <v>0.0419</v>
      </c>
      <c r="I30" s="1182" t="s">
        <v>2255</v>
      </c>
      <c r="J30" s="1395">
        <v>25.0</v>
      </c>
      <c r="K30" s="1222">
        <v>0.0573</v>
      </c>
      <c r="L30" s="1434" t="s">
        <v>2256</v>
      </c>
    </row>
    <row r="31" ht="22.5" customHeight="1">
      <c r="A31" s="5" t="s">
        <v>11</v>
      </c>
      <c r="B31" s="1171" t="s">
        <v>96</v>
      </c>
      <c r="C31" s="1172">
        <v>428.0</v>
      </c>
      <c r="D31" s="1453">
        <v>6.0</v>
      </c>
      <c r="E31" s="1510">
        <v>0.0138</v>
      </c>
      <c r="F31" s="1178" t="s">
        <v>277</v>
      </c>
      <c r="G31" s="1393">
        <v>8.0</v>
      </c>
      <c r="H31" s="1258">
        <v>0.0187</v>
      </c>
      <c r="I31" s="1182" t="s">
        <v>2257</v>
      </c>
      <c r="J31" s="1441">
        <v>13.0</v>
      </c>
      <c r="K31" s="1269">
        <v>0.0339</v>
      </c>
      <c r="L31" s="1511" t="s">
        <v>2258</v>
      </c>
    </row>
    <row r="32" ht="22.5" customHeight="1">
      <c r="A32" s="5" t="s">
        <v>11</v>
      </c>
      <c r="B32" s="1171" t="s">
        <v>156</v>
      </c>
      <c r="C32" s="1172">
        <v>483.0</v>
      </c>
      <c r="D32" s="1174">
        <v>4.0</v>
      </c>
      <c r="E32" s="1513">
        <v>0.0082</v>
      </c>
      <c r="F32" s="1178" t="s">
        <v>277</v>
      </c>
      <c r="G32" s="1410">
        <v>11.0</v>
      </c>
      <c r="H32" s="1208">
        <v>0.0228</v>
      </c>
      <c r="I32" s="1182" t="s">
        <v>2259</v>
      </c>
      <c r="J32" s="1225">
        <v>5.0</v>
      </c>
      <c r="K32" s="1211">
        <v>0.0108</v>
      </c>
      <c r="L32" s="1399" t="s">
        <v>2260</v>
      </c>
    </row>
    <row r="33" ht="22.5" customHeight="1">
      <c r="A33" s="5" t="s">
        <v>11</v>
      </c>
      <c r="B33" s="1171" t="s">
        <v>153</v>
      </c>
      <c r="C33" s="1390">
        <v>398.0</v>
      </c>
      <c r="D33" s="1421" t="s">
        <v>17</v>
      </c>
      <c r="E33" s="1235" t="s">
        <v>17</v>
      </c>
      <c r="F33" s="1178" t="s">
        <v>17</v>
      </c>
      <c r="G33" s="1393">
        <v>8.0</v>
      </c>
      <c r="H33" s="1519">
        <v>0.0201</v>
      </c>
      <c r="I33" s="1182" t="s">
        <v>2261</v>
      </c>
      <c r="J33" s="1386">
        <v>30.0</v>
      </c>
      <c r="K33" s="1184">
        <v>0.082</v>
      </c>
      <c r="L33" s="1434" t="s">
        <v>2263</v>
      </c>
    </row>
    <row r="34" ht="22.5" customHeight="1">
      <c r="A34" s="5" t="s">
        <v>11</v>
      </c>
      <c r="B34" s="1171" t="s">
        <v>159</v>
      </c>
      <c r="C34" s="1390">
        <v>421.0</v>
      </c>
      <c r="D34" s="1523">
        <v>2.0</v>
      </c>
      <c r="E34" s="1269">
        <v>0.0047</v>
      </c>
      <c r="F34" s="1178" t="s">
        <v>277</v>
      </c>
      <c r="G34" s="1296">
        <v>4.0</v>
      </c>
      <c r="H34" s="1325">
        <v>0.0095</v>
      </c>
      <c r="I34" s="1182" t="s">
        <v>2264</v>
      </c>
      <c r="J34" s="1428"/>
      <c r="K34" s="1429"/>
      <c r="L34" s="1420" t="s">
        <v>2265</v>
      </c>
    </row>
    <row r="35" ht="22.5" customHeight="1">
      <c r="A35" s="5" t="s">
        <v>11</v>
      </c>
      <c r="B35" s="1171" t="s">
        <v>26</v>
      </c>
      <c r="C35" s="1172">
        <v>969.0</v>
      </c>
      <c r="D35" s="1248">
        <v>3.0</v>
      </c>
      <c r="E35" s="1299">
        <v>0.0031</v>
      </c>
      <c r="F35" s="1178" t="s">
        <v>2266</v>
      </c>
      <c r="G35" s="1423">
        <v>15.0</v>
      </c>
      <c r="H35" s="1411">
        <v>0.0155</v>
      </c>
      <c r="I35" s="1182" t="s">
        <v>2267</v>
      </c>
      <c r="J35" s="1263">
        <v>55.0</v>
      </c>
      <c r="K35" s="1415">
        <v>0.0598</v>
      </c>
      <c r="L35" s="1529" t="s">
        <v>1879</v>
      </c>
    </row>
    <row r="36" ht="22.5" customHeight="1">
      <c r="A36" s="5" t="s">
        <v>11</v>
      </c>
      <c r="B36" s="1171" t="s">
        <v>23</v>
      </c>
      <c r="C36" s="1172">
        <v>889.0</v>
      </c>
      <c r="D36" s="1174">
        <v>4.0</v>
      </c>
      <c r="E36" s="1531">
        <v>0.0045</v>
      </c>
      <c r="F36" s="1178" t="s">
        <v>2268</v>
      </c>
      <c r="G36" s="1450">
        <v>6.0</v>
      </c>
      <c r="H36" s="1460">
        <v>0.0067</v>
      </c>
      <c r="I36" s="1182" t="s">
        <v>2269</v>
      </c>
      <c r="J36" s="1534">
        <v>24.0</v>
      </c>
      <c r="K36" s="1319">
        <v>0.0286</v>
      </c>
      <c r="L36" s="1535" t="s">
        <v>2270</v>
      </c>
    </row>
    <row r="37" ht="22.5" customHeight="1">
      <c r="A37" s="5" t="s">
        <v>11</v>
      </c>
      <c r="B37" s="1171" t="s">
        <v>2055</v>
      </c>
      <c r="C37" s="1172">
        <v>455.0</v>
      </c>
      <c r="D37" s="1467">
        <v>2.0</v>
      </c>
      <c r="E37" s="1214">
        <v>0.0044</v>
      </c>
      <c r="F37" s="1178" t="s">
        <v>277</v>
      </c>
      <c r="G37" s="1440">
        <v>9.0</v>
      </c>
      <c r="H37" s="1230">
        <v>0.0198</v>
      </c>
      <c r="I37" s="1182" t="s">
        <v>2271</v>
      </c>
      <c r="J37" s="1539">
        <v>10.0</v>
      </c>
      <c r="K37" s="1325">
        <v>0.0248</v>
      </c>
      <c r="L37" s="1529" t="s">
        <v>1879</v>
      </c>
    </row>
    <row r="38" ht="22.5" customHeight="1">
      <c r="A38" s="5" t="s">
        <v>11</v>
      </c>
      <c r="B38" s="1171" t="s">
        <v>497</v>
      </c>
      <c r="C38" s="1390">
        <v>749.0</v>
      </c>
      <c r="D38" s="1401">
        <v>6.0</v>
      </c>
      <c r="E38" s="1203">
        <v>0.0079</v>
      </c>
      <c r="F38" s="1178" t="s">
        <v>277</v>
      </c>
      <c r="G38" s="1440">
        <v>9.0</v>
      </c>
      <c r="H38" s="1319">
        <v>0.012</v>
      </c>
      <c r="I38" s="1182" t="s">
        <v>2272</v>
      </c>
      <c r="J38" s="1542">
        <v>22.0</v>
      </c>
      <c r="K38" s="1418">
        <v>0.0307</v>
      </c>
      <c r="L38" s="1477" t="s">
        <v>2273</v>
      </c>
    </row>
    <row r="39" ht="22.5" customHeight="1">
      <c r="A39" s="5" t="s">
        <v>11</v>
      </c>
      <c r="B39" s="1171" t="s">
        <v>2069</v>
      </c>
      <c r="C39" s="1172">
        <v>219.0</v>
      </c>
      <c r="D39" s="1235" t="s">
        <v>17</v>
      </c>
      <c r="E39" s="1235" t="s">
        <v>17</v>
      </c>
      <c r="F39" s="1178" t="s">
        <v>17</v>
      </c>
      <c r="G39" s="1443">
        <v>3.0</v>
      </c>
      <c r="H39" s="1446">
        <v>0.0137</v>
      </c>
      <c r="I39" s="1182" t="s">
        <v>2275</v>
      </c>
      <c r="J39" s="1438">
        <v>6.0</v>
      </c>
      <c r="K39" s="1319">
        <v>0.0286</v>
      </c>
      <c r="L39" s="1548" t="s">
        <v>2276</v>
      </c>
    </row>
    <row r="40" ht="22.5" hidden="1" customHeight="1">
      <c r="A40" s="5" t="s">
        <v>185</v>
      </c>
      <c r="B40" s="5" t="s">
        <v>15</v>
      </c>
      <c r="C40" s="50">
        <v>40.0</v>
      </c>
      <c r="D40" s="47" t="s">
        <v>258</v>
      </c>
      <c r="E40" s="47">
        <v>0.0</v>
      </c>
      <c r="F40" s="28">
        <v>0.0</v>
      </c>
      <c r="G40" s="47" t="s">
        <v>290</v>
      </c>
      <c r="H40" s="47">
        <v>3.0</v>
      </c>
      <c r="I40" s="47" t="s">
        <v>2082</v>
      </c>
      <c r="J40" s="1552">
        <v>5.0</v>
      </c>
      <c r="K40" s="1553" t="s">
        <v>1309</v>
      </c>
      <c r="L40" s="47" t="s">
        <v>2277</v>
      </c>
    </row>
    <row r="41" ht="22.5" hidden="1" customHeight="1">
      <c r="A41" s="5" t="s">
        <v>185</v>
      </c>
      <c r="B41" s="5" t="s">
        <v>13</v>
      </c>
      <c r="C41" s="50">
        <v>698.0</v>
      </c>
      <c r="D41" s="47" t="s">
        <v>687</v>
      </c>
      <c r="E41" s="47">
        <v>1.0</v>
      </c>
      <c r="F41" s="28">
        <v>0.0</v>
      </c>
      <c r="G41" s="47" t="s">
        <v>591</v>
      </c>
      <c r="H41" s="47">
        <v>16.0</v>
      </c>
      <c r="I41" s="47" t="s">
        <v>2280</v>
      </c>
      <c r="J41" s="1552">
        <v>102.0</v>
      </c>
      <c r="K41" s="1553" t="s">
        <v>2281</v>
      </c>
      <c r="L41" s="47" t="s">
        <v>2282</v>
      </c>
    </row>
    <row r="42" ht="22.5" hidden="1" customHeight="1">
      <c r="A42" s="5" t="s">
        <v>185</v>
      </c>
      <c r="B42" s="5" t="s">
        <v>27</v>
      </c>
      <c r="C42" s="50">
        <v>237.0</v>
      </c>
      <c r="D42" s="47" t="s">
        <v>258</v>
      </c>
      <c r="E42" s="47">
        <v>0.0</v>
      </c>
      <c r="F42" s="28">
        <v>0.0</v>
      </c>
      <c r="G42" s="47" t="s">
        <v>853</v>
      </c>
      <c r="H42" s="47">
        <v>12.0</v>
      </c>
      <c r="I42" s="47" t="s">
        <v>2284</v>
      </c>
      <c r="J42" s="1552">
        <v>23.0</v>
      </c>
      <c r="K42" s="1553" t="s">
        <v>2285</v>
      </c>
      <c r="L42" s="47" t="s">
        <v>298</v>
      </c>
    </row>
    <row r="43" ht="22.5" hidden="1" customHeight="1">
      <c r="A43" s="5" t="s">
        <v>185</v>
      </c>
      <c r="B43" s="5" t="s">
        <v>33</v>
      </c>
      <c r="C43" s="50">
        <v>351.0</v>
      </c>
      <c r="D43" s="47" t="s">
        <v>2286</v>
      </c>
      <c r="E43" s="47">
        <v>1.0</v>
      </c>
      <c r="F43" s="28">
        <v>0.0</v>
      </c>
      <c r="G43" s="47" t="s">
        <v>237</v>
      </c>
      <c r="H43" s="47">
        <v>13.0</v>
      </c>
      <c r="I43" s="47" t="s">
        <v>2287</v>
      </c>
      <c r="J43" s="1552">
        <v>76.0</v>
      </c>
      <c r="K43" s="1553" t="s">
        <v>2289</v>
      </c>
      <c r="L43" s="47" t="s">
        <v>298</v>
      </c>
    </row>
    <row r="44" ht="22.5" hidden="1" customHeight="1">
      <c r="A44" s="5" t="s">
        <v>185</v>
      </c>
      <c r="B44" s="5" t="s">
        <v>19</v>
      </c>
      <c r="C44" s="50">
        <v>427.0</v>
      </c>
      <c r="D44" s="47" t="s">
        <v>258</v>
      </c>
      <c r="E44" s="47">
        <v>0.0</v>
      </c>
      <c r="F44" s="28">
        <v>0.0</v>
      </c>
      <c r="G44" s="47" t="s">
        <v>818</v>
      </c>
      <c r="H44" s="47">
        <v>16.0</v>
      </c>
      <c r="I44" s="47" t="s">
        <v>2290</v>
      </c>
      <c r="J44" s="1552">
        <v>106.0</v>
      </c>
      <c r="K44" s="1553" t="s">
        <v>2292</v>
      </c>
      <c r="L44" s="47" t="s">
        <v>2293</v>
      </c>
    </row>
    <row r="45" ht="22.5" hidden="1" customHeight="1">
      <c r="A45" s="5" t="s">
        <v>185</v>
      </c>
      <c r="B45" s="5" t="s">
        <v>58</v>
      </c>
      <c r="C45" s="50">
        <v>206.0</v>
      </c>
      <c r="D45" s="47" t="s">
        <v>258</v>
      </c>
      <c r="E45" s="47">
        <v>0.0</v>
      </c>
      <c r="F45" s="28">
        <v>0.0</v>
      </c>
      <c r="G45" s="47" t="s">
        <v>2294</v>
      </c>
      <c r="H45" s="47">
        <v>10.0</v>
      </c>
      <c r="I45" s="47" t="s">
        <v>2295</v>
      </c>
      <c r="J45" s="1552">
        <v>37.0</v>
      </c>
      <c r="K45" s="1553" t="s">
        <v>2296</v>
      </c>
      <c r="L45" s="47" t="s">
        <v>298</v>
      </c>
    </row>
    <row r="46" ht="22.5" hidden="1" customHeight="1">
      <c r="A46" s="5" t="s">
        <v>185</v>
      </c>
      <c r="B46" s="5" t="s">
        <v>77</v>
      </c>
      <c r="C46" s="50">
        <v>129.0</v>
      </c>
      <c r="D46" s="47" t="s">
        <v>258</v>
      </c>
      <c r="E46" s="47">
        <v>0.0</v>
      </c>
      <c r="F46" s="28">
        <v>0.0</v>
      </c>
      <c r="G46" s="47" t="s">
        <v>231</v>
      </c>
      <c r="H46" s="47">
        <v>5.0</v>
      </c>
      <c r="I46" s="47">
        <v>31587.0</v>
      </c>
      <c r="J46" s="1552">
        <v>12.0</v>
      </c>
      <c r="K46" s="1553" t="s">
        <v>2297</v>
      </c>
      <c r="L46" s="47" t="s">
        <v>298</v>
      </c>
    </row>
    <row r="47" ht="22.5" hidden="1" customHeight="1">
      <c r="A47" s="5" t="s">
        <v>185</v>
      </c>
      <c r="B47" s="5" t="s">
        <v>82</v>
      </c>
      <c r="C47" s="50">
        <v>137.0</v>
      </c>
      <c r="D47" s="47" t="s">
        <v>258</v>
      </c>
      <c r="E47" s="47">
        <v>0.0</v>
      </c>
      <c r="F47" s="28">
        <v>0.0</v>
      </c>
      <c r="G47" s="47" t="s">
        <v>425</v>
      </c>
      <c r="H47" s="47">
        <v>2.0</v>
      </c>
      <c r="I47" s="47">
        <v>5725.0</v>
      </c>
      <c r="J47" s="1552">
        <v>26.0</v>
      </c>
      <c r="K47" s="1553" t="s">
        <v>2298</v>
      </c>
      <c r="L47" s="47" t="s">
        <v>298</v>
      </c>
    </row>
    <row r="48" ht="22.5" hidden="1" customHeight="1">
      <c r="A48" s="5" t="s">
        <v>185</v>
      </c>
      <c r="B48" s="50" t="s">
        <v>94</v>
      </c>
      <c r="C48" s="50">
        <v>0.0</v>
      </c>
      <c r="D48" s="47" t="s">
        <v>258</v>
      </c>
      <c r="E48" s="47">
        <v>0.0</v>
      </c>
      <c r="F48" s="28">
        <v>0.0</v>
      </c>
      <c r="G48" s="47" t="s">
        <v>258</v>
      </c>
      <c r="H48" s="47">
        <v>0.0</v>
      </c>
      <c r="I48" s="50">
        <v>0.0</v>
      </c>
      <c r="J48" s="1552">
        <v>0.0</v>
      </c>
      <c r="K48" s="1571">
        <v>0.0</v>
      </c>
      <c r="L48" s="47" t="s">
        <v>298</v>
      </c>
    </row>
    <row r="49" ht="22.5" hidden="1" customHeight="1">
      <c r="A49" s="5" t="s">
        <v>185</v>
      </c>
      <c r="B49" s="5" t="s">
        <v>90</v>
      </c>
      <c r="C49" s="50">
        <v>13.0</v>
      </c>
      <c r="D49" s="47" t="s">
        <v>258</v>
      </c>
      <c r="E49" s="47">
        <v>0.0</v>
      </c>
      <c r="F49" s="28">
        <v>0.0</v>
      </c>
      <c r="G49" s="47" t="s">
        <v>290</v>
      </c>
      <c r="H49" s="47">
        <v>1.0</v>
      </c>
      <c r="I49" s="47" t="s">
        <v>2138</v>
      </c>
      <c r="J49" s="1552">
        <v>0.0</v>
      </c>
      <c r="K49" s="1553" t="s">
        <v>258</v>
      </c>
      <c r="L49" s="47" t="s">
        <v>298</v>
      </c>
    </row>
    <row r="50" ht="22.5" hidden="1" customHeight="1">
      <c r="A50" s="5" t="s">
        <v>185</v>
      </c>
      <c r="B50" s="5" t="s">
        <v>39</v>
      </c>
      <c r="C50" s="50">
        <v>48.0</v>
      </c>
      <c r="D50" s="47" t="s">
        <v>258</v>
      </c>
      <c r="E50" s="47">
        <v>0.0</v>
      </c>
      <c r="F50" s="28">
        <v>0.0</v>
      </c>
      <c r="G50" s="47" t="s">
        <v>258</v>
      </c>
      <c r="H50" s="47">
        <v>0.0</v>
      </c>
      <c r="I50" s="50">
        <v>0.0</v>
      </c>
      <c r="J50" s="1552">
        <v>10.0</v>
      </c>
      <c r="K50" s="1553" t="s">
        <v>2299</v>
      </c>
      <c r="L50" s="47" t="s">
        <v>298</v>
      </c>
    </row>
    <row r="51" ht="22.5" hidden="1" customHeight="1">
      <c r="A51" s="5" t="s">
        <v>185</v>
      </c>
      <c r="B51" s="5" t="s">
        <v>59</v>
      </c>
      <c r="C51" s="13">
        <v>84.0</v>
      </c>
      <c r="D51" s="47" t="s">
        <v>258</v>
      </c>
      <c r="E51" s="47">
        <v>0.0</v>
      </c>
      <c r="F51" s="28">
        <v>0.0</v>
      </c>
      <c r="G51" s="47" t="s">
        <v>415</v>
      </c>
      <c r="H51" s="47">
        <v>4.0</v>
      </c>
      <c r="I51" s="47">
        <v>61634.0</v>
      </c>
      <c r="J51" s="1552">
        <v>19.0</v>
      </c>
      <c r="K51" s="47" t="s">
        <v>2300</v>
      </c>
      <c r="L51" s="47" t="s">
        <v>298</v>
      </c>
    </row>
    <row r="52" ht="22.5" hidden="1" customHeight="1">
      <c r="A52" s="5" t="s">
        <v>185</v>
      </c>
      <c r="B52" s="5" t="s">
        <v>114</v>
      </c>
      <c r="C52" s="13">
        <v>168.0</v>
      </c>
      <c r="D52" s="47" t="s">
        <v>258</v>
      </c>
      <c r="E52" s="47">
        <v>0.0</v>
      </c>
      <c r="F52" s="28">
        <v>0.0</v>
      </c>
      <c r="G52" s="47" t="s">
        <v>2301</v>
      </c>
      <c r="H52" s="47">
        <v>6.0</v>
      </c>
      <c r="I52" s="47">
        <v>26773.0</v>
      </c>
      <c r="J52" s="1552">
        <v>45.0</v>
      </c>
      <c r="K52" s="47" t="s">
        <v>2302</v>
      </c>
      <c r="L52" s="47" t="s">
        <v>298</v>
      </c>
    </row>
    <row r="53" ht="22.5" hidden="1" customHeight="1">
      <c r="A53" s="5" t="s">
        <v>185</v>
      </c>
      <c r="B53" s="5" t="s">
        <v>136</v>
      </c>
      <c r="C53" s="13">
        <v>47.0</v>
      </c>
      <c r="D53" s="47" t="s">
        <v>258</v>
      </c>
      <c r="E53" s="47">
        <v>0.0</v>
      </c>
      <c r="F53" s="28">
        <v>0.0</v>
      </c>
      <c r="G53" s="47" t="s">
        <v>1838</v>
      </c>
      <c r="H53" s="47">
        <v>1.0</v>
      </c>
      <c r="I53" s="50">
        <v>0.0</v>
      </c>
      <c r="J53" s="1552">
        <v>15.0</v>
      </c>
      <c r="K53" s="47" t="s">
        <v>2303</v>
      </c>
      <c r="L53" s="47" t="s">
        <v>298</v>
      </c>
    </row>
    <row r="54" ht="22.5" hidden="1" customHeight="1">
      <c r="A54" s="5" t="s">
        <v>185</v>
      </c>
      <c r="B54" s="5" t="s">
        <v>85</v>
      </c>
      <c r="C54" s="13">
        <v>261.0</v>
      </c>
      <c r="D54" s="47" t="s">
        <v>258</v>
      </c>
      <c r="E54" s="47">
        <v>0.0</v>
      </c>
      <c r="F54" s="28">
        <v>0.0</v>
      </c>
      <c r="G54" s="47" t="s">
        <v>1007</v>
      </c>
      <c r="H54" s="47">
        <v>9.0</v>
      </c>
      <c r="I54" s="47" t="s">
        <v>2304</v>
      </c>
      <c r="J54" s="1552">
        <v>18.0</v>
      </c>
      <c r="K54" s="47" t="s">
        <v>2305</v>
      </c>
      <c r="L54" s="47" t="s">
        <v>2306</v>
      </c>
    </row>
    <row r="55" ht="22.5" hidden="1" customHeight="1">
      <c r="A55" s="5" t="s">
        <v>185</v>
      </c>
      <c r="B55" s="35" t="s">
        <v>79</v>
      </c>
      <c r="C55" s="13">
        <v>172.0</v>
      </c>
      <c r="D55" s="47" t="s">
        <v>258</v>
      </c>
      <c r="E55" s="47">
        <v>0.0</v>
      </c>
      <c r="F55" s="28">
        <v>0.0</v>
      </c>
      <c r="G55" s="47" t="s">
        <v>1266</v>
      </c>
      <c r="H55" s="47">
        <v>8.0</v>
      </c>
      <c r="I55" s="47" t="s">
        <v>2307</v>
      </c>
      <c r="J55" s="1552">
        <v>19.0</v>
      </c>
      <c r="K55" s="47" t="s">
        <v>2308</v>
      </c>
      <c r="L55" s="47" t="s">
        <v>298</v>
      </c>
    </row>
    <row r="56" ht="22.5" hidden="1" customHeight="1">
      <c r="A56" s="5" t="s">
        <v>185</v>
      </c>
      <c r="B56" s="5" t="s">
        <v>45</v>
      </c>
      <c r="C56" s="13">
        <v>208.0</v>
      </c>
      <c r="D56" s="47" t="s">
        <v>258</v>
      </c>
      <c r="E56" s="47">
        <v>0.0</v>
      </c>
      <c r="F56" s="28">
        <v>0.0</v>
      </c>
      <c r="G56" s="47" t="s">
        <v>1431</v>
      </c>
      <c r="H56" s="47">
        <v>11.0</v>
      </c>
      <c r="I56" s="47">
        <v>3422.0</v>
      </c>
      <c r="J56" s="1552">
        <v>11.0</v>
      </c>
      <c r="K56" s="47" t="s">
        <v>1431</v>
      </c>
      <c r="L56" s="47" t="s">
        <v>2309</v>
      </c>
    </row>
    <row r="57" ht="22.5" hidden="1" customHeight="1">
      <c r="A57" s="5" t="s">
        <v>185</v>
      </c>
      <c r="B57" s="5" t="s">
        <v>170</v>
      </c>
      <c r="C57" s="13">
        <v>89.0</v>
      </c>
      <c r="D57" s="47" t="s">
        <v>2310</v>
      </c>
      <c r="E57" s="47">
        <v>1.0</v>
      </c>
      <c r="F57" s="28">
        <v>0.0</v>
      </c>
      <c r="G57" s="47" t="s">
        <v>2311</v>
      </c>
      <c r="H57" s="47">
        <v>4.0</v>
      </c>
      <c r="I57" s="47" t="s">
        <v>2312</v>
      </c>
      <c r="J57" s="1552">
        <v>10.0</v>
      </c>
      <c r="K57" s="47" t="s">
        <v>2313</v>
      </c>
      <c r="L57" s="47" t="s">
        <v>298</v>
      </c>
    </row>
    <row r="58" ht="22.5" hidden="1" customHeight="1">
      <c r="A58" s="5" t="s">
        <v>185</v>
      </c>
      <c r="B58" s="5" t="s">
        <v>153</v>
      </c>
      <c r="C58" s="13">
        <v>135.0</v>
      </c>
      <c r="D58" s="47" t="s">
        <v>258</v>
      </c>
      <c r="E58" s="47">
        <v>0.0</v>
      </c>
      <c r="F58" s="28">
        <v>0.0</v>
      </c>
      <c r="G58" s="47" t="s">
        <v>2080</v>
      </c>
      <c r="H58" s="47">
        <v>4.0</v>
      </c>
      <c r="I58" s="47" t="s">
        <v>2315</v>
      </c>
      <c r="J58" s="1552">
        <v>27.0</v>
      </c>
      <c r="K58" s="47" t="s">
        <v>1815</v>
      </c>
      <c r="L58" s="47" t="s">
        <v>298</v>
      </c>
    </row>
    <row r="59" ht="22.5" hidden="1" customHeight="1">
      <c r="A59" s="5" t="s">
        <v>185</v>
      </c>
      <c r="B59" s="5" t="s">
        <v>26</v>
      </c>
      <c r="C59" s="13">
        <v>589.0</v>
      </c>
      <c r="D59" s="47" t="s">
        <v>622</v>
      </c>
      <c r="E59" s="47">
        <v>2.0</v>
      </c>
      <c r="F59" s="28">
        <v>0.0</v>
      </c>
      <c r="G59" s="47" t="s">
        <v>2311</v>
      </c>
      <c r="H59" s="47">
        <v>27.0</v>
      </c>
      <c r="I59" s="47">
        <v>180029.0</v>
      </c>
      <c r="J59" s="1552">
        <v>40.0</v>
      </c>
      <c r="K59" s="47" t="s">
        <v>2316</v>
      </c>
      <c r="L59" s="47" t="s">
        <v>298</v>
      </c>
    </row>
    <row r="60" ht="22.5" hidden="1" customHeight="1">
      <c r="A60" s="5" t="s">
        <v>185</v>
      </c>
      <c r="B60" s="5" t="s">
        <v>23</v>
      </c>
      <c r="C60" s="13">
        <v>276.0</v>
      </c>
      <c r="D60" s="47" t="s">
        <v>258</v>
      </c>
      <c r="E60" s="47">
        <v>0.0</v>
      </c>
      <c r="F60" s="28">
        <v>0.0</v>
      </c>
      <c r="G60" s="47" t="s">
        <v>585</v>
      </c>
      <c r="H60" s="47">
        <v>6.0</v>
      </c>
      <c r="I60" s="47">
        <v>42804.0</v>
      </c>
      <c r="J60" s="1552">
        <v>82.0</v>
      </c>
      <c r="K60" s="47" t="s">
        <v>2318</v>
      </c>
      <c r="L60" s="47" t="s">
        <v>298</v>
      </c>
    </row>
    <row r="61" ht="22.5" hidden="1" customHeight="1">
      <c r="A61" s="5" t="s">
        <v>185</v>
      </c>
      <c r="B61" s="5" t="s">
        <v>159</v>
      </c>
      <c r="C61" s="13">
        <v>43.0</v>
      </c>
      <c r="D61" s="47" t="s">
        <v>258</v>
      </c>
      <c r="E61" s="47">
        <v>0.0</v>
      </c>
      <c r="F61" s="28">
        <v>0.0</v>
      </c>
      <c r="G61" s="47" t="s">
        <v>2319</v>
      </c>
      <c r="H61" s="47">
        <v>1.0</v>
      </c>
      <c r="I61" s="47">
        <v>34220.0</v>
      </c>
      <c r="J61" s="1552">
        <v>5.0</v>
      </c>
      <c r="K61" s="47" t="s">
        <v>2320</v>
      </c>
      <c r="L61" s="47" t="s">
        <v>298</v>
      </c>
    </row>
    <row r="62" ht="22.5" hidden="1" customHeight="1">
      <c r="A62" s="5" t="s">
        <v>185</v>
      </c>
      <c r="B62" s="5" t="s">
        <v>63</v>
      </c>
      <c r="C62" s="13">
        <v>335.0</v>
      </c>
      <c r="D62" s="47" t="s">
        <v>1860</v>
      </c>
      <c r="E62" s="47">
        <v>1.0</v>
      </c>
      <c r="F62" s="28">
        <v>0.0</v>
      </c>
      <c r="G62" s="47" t="s">
        <v>2321</v>
      </c>
      <c r="H62" s="47">
        <v>14.0</v>
      </c>
      <c r="I62" s="47" t="s">
        <v>2322</v>
      </c>
      <c r="J62" s="1552">
        <v>32.0</v>
      </c>
      <c r="K62" s="47" t="s">
        <v>2323</v>
      </c>
      <c r="L62" s="47" t="s">
        <v>777</v>
      </c>
    </row>
    <row r="63" ht="22.5" hidden="1" customHeight="1">
      <c r="A63" s="5" t="s">
        <v>185</v>
      </c>
      <c r="B63" s="5" t="s">
        <v>123</v>
      </c>
      <c r="C63" s="13">
        <v>33.0</v>
      </c>
      <c r="D63" s="47" t="s">
        <v>258</v>
      </c>
      <c r="E63" s="47">
        <v>0.0</v>
      </c>
      <c r="F63" s="28">
        <v>0.0</v>
      </c>
      <c r="G63" s="47" t="s">
        <v>2137</v>
      </c>
      <c r="H63" s="47">
        <v>3.0</v>
      </c>
      <c r="I63" s="47">
        <v>114608.0</v>
      </c>
      <c r="J63" s="1552">
        <v>7.0</v>
      </c>
      <c r="K63" s="47" t="s">
        <v>2325</v>
      </c>
      <c r="L63" s="47" t="s">
        <v>2326</v>
      </c>
    </row>
    <row r="64" ht="22.5" hidden="1" customHeight="1">
      <c r="A64" s="5" t="s">
        <v>383</v>
      </c>
      <c r="B64" s="5" t="s">
        <v>15</v>
      </c>
      <c r="C64" s="76">
        <v>67.0</v>
      </c>
      <c r="D64" s="1579">
        <v>0.029850746268656716</v>
      </c>
      <c r="E64" s="76">
        <v>2.0</v>
      </c>
      <c r="F64" s="28">
        <v>0.0</v>
      </c>
      <c r="G64" s="73">
        <v>0.014925373134328358</v>
      </c>
      <c r="H64" s="77">
        <v>1.0</v>
      </c>
      <c r="I64" s="28">
        <v>0.0</v>
      </c>
      <c r="J64" s="77">
        <v>4.0</v>
      </c>
      <c r="K64" s="1582">
        <v>0.0625</v>
      </c>
      <c r="L64" s="578">
        <v>0.9964</v>
      </c>
    </row>
    <row r="65" ht="22.5" hidden="1" customHeight="1">
      <c r="A65" s="5" t="s">
        <v>383</v>
      </c>
      <c r="B65" s="5" t="s">
        <v>13</v>
      </c>
      <c r="C65" s="76">
        <v>308.0</v>
      </c>
      <c r="D65" s="1583">
        <v>0.006493506493506494</v>
      </c>
      <c r="E65" s="76">
        <v>2.0</v>
      </c>
      <c r="F65" s="28">
        <v>0.0</v>
      </c>
      <c r="G65" s="73">
        <v>0.025974025974025976</v>
      </c>
      <c r="H65" s="77">
        <v>8.0</v>
      </c>
      <c r="I65" s="28">
        <v>0.0</v>
      </c>
      <c r="J65" s="77">
        <v>12.0</v>
      </c>
      <c r="K65" s="1584">
        <v>0.040268456375838924</v>
      </c>
      <c r="L65" s="578">
        <v>0.9985</v>
      </c>
    </row>
    <row r="66" ht="22.5" hidden="1" customHeight="1">
      <c r="A66" s="5" t="s">
        <v>383</v>
      </c>
      <c r="B66" s="5" t="s">
        <v>27</v>
      </c>
      <c r="C66" s="76">
        <v>60.0</v>
      </c>
      <c r="D66" s="73">
        <v>0.0</v>
      </c>
      <c r="E66" s="76">
        <v>0.0</v>
      </c>
      <c r="F66" s="28">
        <v>0.0</v>
      </c>
      <c r="G66" s="73">
        <v>0.0</v>
      </c>
      <c r="H66" s="77">
        <v>0.0</v>
      </c>
      <c r="I66" s="28">
        <v>0.0</v>
      </c>
      <c r="J66" s="77">
        <v>1.0</v>
      </c>
      <c r="K66" s="324">
        <v>0.016666666666666666</v>
      </c>
      <c r="L66" s="578">
        <v>0.9996</v>
      </c>
    </row>
    <row r="67" ht="22.5" hidden="1" customHeight="1">
      <c r="A67" s="5" t="s">
        <v>383</v>
      </c>
      <c r="B67" s="5" t="s">
        <v>33</v>
      </c>
      <c r="C67" s="76">
        <v>145.0</v>
      </c>
      <c r="D67" s="73">
        <v>0.0</v>
      </c>
      <c r="E67" s="76">
        <v>0.0</v>
      </c>
      <c r="F67" s="28">
        <v>0.0</v>
      </c>
      <c r="G67" s="73">
        <v>0.041379310344827586</v>
      </c>
      <c r="H67" s="77">
        <v>6.0</v>
      </c>
      <c r="I67" s="28">
        <v>0.0</v>
      </c>
      <c r="J67" s="77">
        <v>7.0</v>
      </c>
      <c r="K67" s="1586">
        <v>0.04861111111111111</v>
      </c>
      <c r="L67" s="578">
        <v>0.9956</v>
      </c>
    </row>
    <row r="68" ht="22.5" hidden="1" customHeight="1">
      <c r="A68" s="5" t="s">
        <v>383</v>
      </c>
      <c r="B68" s="5" t="s">
        <v>19</v>
      </c>
      <c r="C68" s="76">
        <v>179.0</v>
      </c>
      <c r="D68" s="1587">
        <v>0.00558659217877095</v>
      </c>
      <c r="E68" s="76">
        <v>1.0</v>
      </c>
      <c r="F68" s="28">
        <v>0.0</v>
      </c>
      <c r="G68" s="73">
        <v>0.027932960893854747</v>
      </c>
      <c r="H68" s="77">
        <v>5.0</v>
      </c>
      <c r="I68" s="28">
        <v>0.0</v>
      </c>
      <c r="J68" s="77">
        <v>11.0</v>
      </c>
      <c r="K68" s="1589">
        <v>0.06470588235294118</v>
      </c>
      <c r="L68" s="576">
        <v>0.8976</v>
      </c>
    </row>
    <row r="69" ht="22.5" hidden="1" customHeight="1">
      <c r="A69" s="5" t="s">
        <v>383</v>
      </c>
      <c r="B69" s="5" t="s">
        <v>63</v>
      </c>
      <c r="C69" s="76">
        <v>104.0</v>
      </c>
      <c r="D69" s="73">
        <v>0.0</v>
      </c>
      <c r="E69" s="76">
        <v>0.0</v>
      </c>
      <c r="F69" s="28">
        <v>0.0</v>
      </c>
      <c r="G69" s="73">
        <v>0.028846153846153848</v>
      </c>
      <c r="H69" s="77">
        <v>3.0</v>
      </c>
      <c r="I69" s="28">
        <v>0.0</v>
      </c>
      <c r="J69" s="77">
        <v>4.0</v>
      </c>
      <c r="K69" s="1584">
        <v>0.039603960396039604</v>
      </c>
      <c r="L69" s="578">
        <v>0.9681</v>
      </c>
    </row>
    <row r="70" ht="22.5" hidden="1" customHeight="1">
      <c r="A70" s="5" t="s">
        <v>383</v>
      </c>
      <c r="B70" s="5" t="s">
        <v>58</v>
      </c>
      <c r="C70" s="76">
        <v>98.0</v>
      </c>
      <c r="D70" s="1590">
        <v>0.030612244897959183</v>
      </c>
      <c r="E70" s="76">
        <v>3.0</v>
      </c>
      <c r="F70" s="28">
        <v>0.0</v>
      </c>
      <c r="G70" s="73">
        <v>0.01020408163265306</v>
      </c>
      <c r="H70" s="77">
        <v>1.0</v>
      </c>
      <c r="I70" s="28">
        <v>0.0</v>
      </c>
      <c r="J70" s="77">
        <v>3.0</v>
      </c>
      <c r="K70" s="1591">
        <v>0.031578947368421054</v>
      </c>
      <c r="L70" s="578">
        <v>0.9567</v>
      </c>
    </row>
    <row r="71" ht="22.5" hidden="1" customHeight="1">
      <c r="A71" s="5" t="s">
        <v>383</v>
      </c>
      <c r="B71" s="5" t="s">
        <v>77</v>
      </c>
      <c r="C71" s="76">
        <v>71.0</v>
      </c>
      <c r="D71" s="1592">
        <v>0.014084507042253521</v>
      </c>
      <c r="E71" s="76">
        <v>1.0</v>
      </c>
      <c r="F71" s="28">
        <v>0.0</v>
      </c>
      <c r="G71" s="73">
        <v>0.014084507042253521</v>
      </c>
      <c r="H71" s="77">
        <v>1.0</v>
      </c>
      <c r="I71" s="28">
        <v>0.0</v>
      </c>
      <c r="J71" s="77">
        <v>1.0</v>
      </c>
      <c r="K71" s="1593">
        <v>0.014492753623188406</v>
      </c>
      <c r="L71" s="578">
        <v>1.0</v>
      </c>
    </row>
    <row r="72" ht="22.5" hidden="1" customHeight="1">
      <c r="A72" s="5" t="s">
        <v>383</v>
      </c>
      <c r="B72" s="5" t="s">
        <v>82</v>
      </c>
      <c r="C72" s="76">
        <v>32.0</v>
      </c>
      <c r="D72" s="1594">
        <v>0.03125</v>
      </c>
      <c r="E72" s="76">
        <v>1.0</v>
      </c>
      <c r="F72" s="28">
        <v>0.0</v>
      </c>
      <c r="G72" s="73">
        <v>0.09375</v>
      </c>
      <c r="H72" s="77">
        <v>3.0</v>
      </c>
      <c r="I72" s="28">
        <v>0.0</v>
      </c>
      <c r="J72" s="77">
        <v>5.0</v>
      </c>
      <c r="K72" s="325">
        <v>0.16129032258064516</v>
      </c>
      <c r="L72" s="578">
        <v>0.9915</v>
      </c>
    </row>
    <row r="73" ht="22.5" hidden="1" customHeight="1">
      <c r="A73" s="5" t="s">
        <v>383</v>
      </c>
      <c r="B73" s="5" t="s">
        <v>39</v>
      </c>
      <c r="C73" s="76">
        <v>6.0</v>
      </c>
      <c r="D73" s="73">
        <v>0.0</v>
      </c>
      <c r="E73" s="76">
        <v>0.0</v>
      </c>
      <c r="F73" s="28">
        <v>0.0</v>
      </c>
      <c r="G73" s="73">
        <v>0.0</v>
      </c>
      <c r="H73" s="77">
        <v>0.0</v>
      </c>
      <c r="I73" s="28">
        <v>0.0</v>
      </c>
      <c r="J73" s="77">
        <v>0.0</v>
      </c>
      <c r="K73" s="73">
        <v>0.0</v>
      </c>
      <c r="L73" s="1545">
        <v>0.7175</v>
      </c>
    </row>
    <row r="74" ht="22.5" hidden="1" customHeight="1">
      <c r="A74" s="5" t="s">
        <v>383</v>
      </c>
      <c r="B74" s="5" t="s">
        <v>59</v>
      </c>
      <c r="C74" s="76">
        <v>113.0</v>
      </c>
      <c r="D74" s="73">
        <v>0.0</v>
      </c>
      <c r="E74" s="76">
        <v>0.0</v>
      </c>
      <c r="F74" s="28">
        <v>0.0</v>
      </c>
      <c r="G74" s="73">
        <v>0.04424778761061947</v>
      </c>
      <c r="H74" s="77">
        <v>5.0</v>
      </c>
      <c r="I74" s="28">
        <v>0.0</v>
      </c>
      <c r="J74" s="77">
        <v>6.0</v>
      </c>
      <c r="K74" s="1598">
        <v>0.05357142857142857</v>
      </c>
      <c r="L74" s="578">
        <v>0.9985</v>
      </c>
    </row>
    <row r="75" ht="22.5" hidden="1" customHeight="1">
      <c r="A75" s="5" t="s">
        <v>383</v>
      </c>
      <c r="B75" s="5" t="s">
        <v>114</v>
      </c>
      <c r="C75" s="76">
        <v>77.0</v>
      </c>
      <c r="D75" s="73">
        <v>0.0</v>
      </c>
      <c r="E75" s="76">
        <v>0.0</v>
      </c>
      <c r="F75" s="28">
        <v>0.0</v>
      </c>
      <c r="G75" s="73">
        <v>0.0</v>
      </c>
      <c r="H75" s="77">
        <v>0.0</v>
      </c>
      <c r="I75" s="28">
        <v>0.0</v>
      </c>
      <c r="J75" s="77">
        <v>7.0</v>
      </c>
      <c r="K75" s="1599">
        <v>0.09210526315789473</v>
      </c>
      <c r="L75" s="578">
        <v>0.9956</v>
      </c>
    </row>
    <row r="76" ht="22.5" hidden="1" customHeight="1">
      <c r="A76" s="5" t="s">
        <v>383</v>
      </c>
      <c r="B76" s="5" t="s">
        <v>136</v>
      </c>
      <c r="C76" s="76">
        <v>71.0</v>
      </c>
      <c r="D76" s="73">
        <v>0.0</v>
      </c>
      <c r="E76" s="76">
        <v>0.0</v>
      </c>
      <c r="F76" s="28">
        <v>0.0</v>
      </c>
      <c r="G76" s="73">
        <v>0.028169014084507043</v>
      </c>
      <c r="H76" s="77">
        <v>2.0</v>
      </c>
      <c r="I76" s="28">
        <v>0.0</v>
      </c>
      <c r="J76" s="77">
        <v>4.0</v>
      </c>
      <c r="K76" s="1601">
        <v>0.057971014492753624</v>
      </c>
      <c r="L76" s="578">
        <v>0.9994</v>
      </c>
    </row>
    <row r="77" ht="22.5" hidden="1" customHeight="1">
      <c r="A77" s="5" t="s">
        <v>383</v>
      </c>
      <c r="B77" s="96" t="s">
        <v>501</v>
      </c>
      <c r="C77" s="76">
        <v>114.0</v>
      </c>
      <c r="D77" s="73">
        <v>0.0</v>
      </c>
      <c r="E77" s="76">
        <v>0.0</v>
      </c>
      <c r="F77" s="28">
        <v>0.0</v>
      </c>
      <c r="G77" s="73">
        <v>0.02631578947368421</v>
      </c>
      <c r="H77" s="77">
        <v>3.0</v>
      </c>
      <c r="I77" s="28">
        <v>0.0</v>
      </c>
      <c r="J77" s="77">
        <v>3.0</v>
      </c>
      <c r="K77" s="1602">
        <v>0.02654867256637168</v>
      </c>
      <c r="L77" s="578">
        <v>0.9992</v>
      </c>
    </row>
    <row r="78" ht="22.5" hidden="1" customHeight="1">
      <c r="A78" s="5" t="s">
        <v>383</v>
      </c>
      <c r="B78" s="35" t="s">
        <v>79</v>
      </c>
      <c r="C78" s="76">
        <v>94.0</v>
      </c>
      <c r="D78" s="1603">
        <v>0.010638297872340425</v>
      </c>
      <c r="E78" s="76">
        <v>1.0</v>
      </c>
      <c r="F78" s="28">
        <v>0.0</v>
      </c>
      <c r="G78" s="73">
        <v>0.02127659574468085</v>
      </c>
      <c r="H78" s="77">
        <v>2.0</v>
      </c>
      <c r="I78" s="28">
        <v>0.0</v>
      </c>
      <c r="J78" s="77">
        <v>7.0</v>
      </c>
      <c r="K78" s="1604">
        <v>0.07692307692307693</v>
      </c>
      <c r="L78" s="578">
        <v>0.9985</v>
      </c>
    </row>
    <row r="79" ht="22.5" hidden="1" customHeight="1">
      <c r="A79" s="5" t="s">
        <v>383</v>
      </c>
      <c r="B79" s="5" t="s">
        <v>45</v>
      </c>
      <c r="C79" s="76">
        <v>51.0</v>
      </c>
      <c r="D79" s="73">
        <v>0.0</v>
      </c>
      <c r="E79" s="76">
        <v>0.0</v>
      </c>
      <c r="F79" s="28">
        <v>0.0</v>
      </c>
      <c r="G79" s="73">
        <v>0.13725490196078433</v>
      </c>
      <c r="H79" s="77">
        <v>7.0</v>
      </c>
      <c r="I79" s="28">
        <v>0.0</v>
      </c>
      <c r="J79" s="77">
        <v>1.0</v>
      </c>
      <c r="K79" s="1606">
        <v>0.0196078431372549</v>
      </c>
      <c r="L79" s="578">
        <v>0.9721</v>
      </c>
    </row>
    <row r="80" ht="22.5" hidden="1" customHeight="1">
      <c r="A80" s="5" t="s">
        <v>383</v>
      </c>
      <c r="B80" s="5" t="s">
        <v>123</v>
      </c>
      <c r="C80" s="76">
        <v>54.0</v>
      </c>
      <c r="D80" s="73">
        <v>0.0</v>
      </c>
      <c r="E80" s="76">
        <v>0.0</v>
      </c>
      <c r="F80" s="28">
        <v>0.0</v>
      </c>
      <c r="G80" s="73">
        <v>0.018518518518518517</v>
      </c>
      <c r="H80" s="77">
        <v>1.0</v>
      </c>
      <c r="I80" s="28">
        <v>0.0</v>
      </c>
      <c r="J80" s="77">
        <v>0.0</v>
      </c>
      <c r="K80" s="73">
        <v>0.0</v>
      </c>
      <c r="L80" s="578">
        <v>0.9991</v>
      </c>
    </row>
    <row r="81" ht="22.5" hidden="1" customHeight="1">
      <c r="A81" s="5" t="s">
        <v>383</v>
      </c>
      <c r="B81" s="5" t="s">
        <v>153</v>
      </c>
      <c r="C81" s="76">
        <v>71.0</v>
      </c>
      <c r="D81" s="73">
        <v>0.0</v>
      </c>
      <c r="E81" s="76">
        <v>0.0</v>
      </c>
      <c r="F81" s="28">
        <v>0.0</v>
      </c>
      <c r="G81" s="73">
        <v>0.028169014084507043</v>
      </c>
      <c r="H81" s="77">
        <v>2.0</v>
      </c>
      <c r="I81" s="28">
        <v>0.0</v>
      </c>
      <c r="J81" s="77">
        <v>4.0</v>
      </c>
      <c r="K81" s="1608">
        <v>0.056338028169014086</v>
      </c>
      <c r="L81" s="578">
        <v>1.0</v>
      </c>
    </row>
    <row r="82" ht="22.5" hidden="1" customHeight="1">
      <c r="A82" s="5" t="s">
        <v>383</v>
      </c>
      <c r="B82" s="5" t="s">
        <v>159</v>
      </c>
      <c r="C82" s="76">
        <v>374.0</v>
      </c>
      <c r="D82" s="1609">
        <v>0.008021390374331552</v>
      </c>
      <c r="E82" s="76">
        <v>3.0</v>
      </c>
      <c r="F82" s="28">
        <v>0.0</v>
      </c>
      <c r="G82" s="73">
        <v>0.0106951871657754</v>
      </c>
      <c r="H82" s="77">
        <v>4.0</v>
      </c>
      <c r="I82" s="28">
        <v>0.0</v>
      </c>
      <c r="J82" s="77">
        <v>10.0</v>
      </c>
      <c r="K82" s="1610">
        <v>0.027624309392265192</v>
      </c>
      <c r="L82" s="578">
        <v>0.9985</v>
      </c>
    </row>
    <row r="83" ht="22.5" hidden="1" customHeight="1">
      <c r="A83" s="5" t="s">
        <v>383</v>
      </c>
      <c r="B83" s="5" t="s">
        <v>26</v>
      </c>
      <c r="C83" s="76">
        <v>68.0</v>
      </c>
      <c r="D83" s="73">
        <v>0.0</v>
      </c>
      <c r="E83" s="76">
        <v>0.0</v>
      </c>
      <c r="F83" s="28">
        <v>0.0</v>
      </c>
      <c r="G83" s="73">
        <v>0.04411764705882353</v>
      </c>
      <c r="H83" s="77">
        <v>3.0</v>
      </c>
      <c r="I83" s="28">
        <v>0.0</v>
      </c>
      <c r="J83" s="77">
        <v>3.0</v>
      </c>
      <c r="K83" s="326">
        <v>0.04918032786885246</v>
      </c>
      <c r="L83" s="576">
        <v>0.869</v>
      </c>
    </row>
    <row r="84" ht="22.5" hidden="1" customHeight="1">
      <c r="A84" s="5" t="s">
        <v>383</v>
      </c>
      <c r="B84" s="5" t="s">
        <v>23</v>
      </c>
      <c r="C84" s="76">
        <v>175.0</v>
      </c>
      <c r="D84" s="73">
        <v>0.0</v>
      </c>
      <c r="E84" s="76">
        <v>0.0</v>
      </c>
      <c r="F84" s="28">
        <v>0.0</v>
      </c>
      <c r="G84" s="73">
        <v>0.04</v>
      </c>
      <c r="H84" s="77">
        <v>7.0</v>
      </c>
      <c r="I84" s="28">
        <v>0.0</v>
      </c>
      <c r="J84" s="77">
        <v>10.0</v>
      </c>
      <c r="K84" s="1601">
        <v>0.057803468208092484</v>
      </c>
      <c r="L84" s="578">
        <v>0.9985</v>
      </c>
    </row>
    <row r="85" ht="22.5" hidden="1" customHeight="1">
      <c r="A85" s="233"/>
      <c r="B85" s="1613"/>
      <c r="C85" s="341"/>
      <c r="D85" s="341"/>
      <c r="E85" s="342"/>
      <c r="F85" s="343"/>
      <c r="G85" s="341"/>
      <c r="H85" s="1085"/>
      <c r="I85" s="344"/>
      <c r="J85" s="1614"/>
      <c r="K85" s="342"/>
      <c r="L85" s="834"/>
    </row>
    <row r="86" ht="22.5" hidden="1" customHeight="1">
      <c r="A86" s="233"/>
      <c r="B86" s="234"/>
      <c r="C86" s="345"/>
      <c r="D86" s="345"/>
      <c r="E86" s="1088"/>
      <c r="F86" s="1089"/>
      <c r="G86" s="345"/>
      <c r="H86" s="1090"/>
      <c r="I86" s="1091"/>
      <c r="J86" s="1615"/>
      <c r="K86" s="1088"/>
      <c r="L86" s="1087"/>
    </row>
    <row r="87">
      <c r="C87" s="108"/>
      <c r="D87" s="108"/>
      <c r="E87" s="108"/>
      <c r="F87" s="108"/>
      <c r="G87" s="108"/>
      <c r="H87" s="1093"/>
      <c r="I87" s="315"/>
      <c r="J87" s="108"/>
      <c r="K87" s="108"/>
      <c r="L87" s="108"/>
    </row>
    <row r="88"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C89" s="108"/>
      <c r="D89" s="108"/>
      <c r="E89" s="108"/>
      <c r="F89" s="108"/>
      <c r="G89" s="108"/>
      <c r="H89" s="1093"/>
      <c r="I89" s="315"/>
      <c r="J89" s="108"/>
      <c r="K89" s="108"/>
      <c r="L89" s="108"/>
    </row>
    <row r="90">
      <c r="C90" s="108"/>
      <c r="D90" s="108"/>
      <c r="E90" s="108"/>
      <c r="F90" s="526"/>
      <c r="G90" s="588"/>
      <c r="H90" s="1096"/>
      <c r="I90" s="315"/>
      <c r="J90" s="108"/>
      <c r="K90" s="108"/>
      <c r="L90" s="108"/>
    </row>
    <row r="91">
      <c r="C91" s="245"/>
      <c r="D91" s="246"/>
      <c r="E91" s="1619"/>
      <c r="F91" s="246"/>
      <c r="G91" s="588"/>
      <c r="H91" s="1096"/>
      <c r="I91" s="315"/>
      <c r="J91" s="108"/>
      <c r="K91" s="108"/>
      <c r="L91" s="108"/>
    </row>
    <row r="92">
      <c r="D92" s="247"/>
      <c r="E92" s="1128"/>
      <c r="F92" s="247"/>
      <c r="G92" s="1616"/>
      <c r="H92" s="1096"/>
      <c r="I92" s="315"/>
      <c r="J92" s="108"/>
      <c r="K92" s="108"/>
      <c r="L92" s="108"/>
    </row>
    <row r="93">
      <c r="D93" s="247"/>
      <c r="E93" s="1128"/>
      <c r="F93" s="247"/>
      <c r="G93" s="1617"/>
      <c r="H93" s="1096"/>
      <c r="I93" s="315"/>
      <c r="J93" s="108"/>
      <c r="K93" s="108"/>
      <c r="L93" s="108"/>
    </row>
    <row r="94">
      <c r="D94" s="247"/>
      <c r="E94" s="1128"/>
      <c r="F94" s="247"/>
      <c r="G94" s="321"/>
      <c r="H94" s="1096"/>
      <c r="I94" s="315"/>
      <c r="J94" s="108"/>
      <c r="K94" s="108"/>
      <c r="L94" s="108"/>
    </row>
    <row r="95">
      <c r="D95" s="247"/>
      <c r="E95" s="1128"/>
      <c r="F95" s="247"/>
      <c r="G95" s="321"/>
      <c r="H95" s="1096"/>
      <c r="I95" s="315"/>
      <c r="J95" s="108"/>
      <c r="K95" s="108"/>
      <c r="L95" s="108"/>
    </row>
    <row r="96">
      <c r="D96" s="247"/>
      <c r="E96" s="1128"/>
      <c r="F96" s="247"/>
      <c r="G96" s="321"/>
      <c r="H96" s="1096"/>
      <c r="I96" s="315"/>
      <c r="J96" s="108"/>
      <c r="K96" s="108"/>
      <c r="L96" s="108"/>
    </row>
    <row r="97">
      <c r="D97" s="247"/>
      <c r="E97" s="1128"/>
      <c r="F97" s="247"/>
      <c r="G97" s="321"/>
      <c r="H97" s="1096"/>
      <c r="I97" s="315"/>
      <c r="J97" s="108"/>
      <c r="K97" s="108"/>
      <c r="L97" s="108"/>
    </row>
    <row r="98">
      <c r="D98" s="247"/>
      <c r="E98" s="1128"/>
      <c r="F98" s="247"/>
      <c r="G98" s="321"/>
      <c r="H98" s="1096"/>
      <c r="I98" s="315"/>
      <c r="J98" s="108"/>
      <c r="K98" s="108"/>
      <c r="L98" s="108"/>
    </row>
    <row r="99">
      <c r="D99" s="247"/>
      <c r="E99" s="1128"/>
      <c r="F99" s="247"/>
      <c r="G99" s="321"/>
      <c r="H99" s="1096"/>
      <c r="I99" s="315"/>
      <c r="J99" s="108"/>
      <c r="K99" s="108"/>
      <c r="L99" s="108"/>
    </row>
    <row r="100">
      <c r="D100" s="247"/>
      <c r="E100" s="1620"/>
      <c r="F100" s="247"/>
      <c r="G100" s="321"/>
      <c r="H100" s="1096"/>
      <c r="I100" s="315"/>
      <c r="J100" s="108"/>
      <c r="K100" s="108"/>
      <c r="L100" s="108"/>
    </row>
    <row r="101">
      <c r="D101" s="247"/>
      <c r="E101" s="1620"/>
      <c r="F101" s="247"/>
      <c r="G101" s="321"/>
      <c r="H101" s="1096"/>
      <c r="I101" s="315"/>
      <c r="J101" s="108"/>
      <c r="K101" s="108"/>
      <c r="L101" s="108"/>
    </row>
    <row r="102">
      <c r="D102" s="247"/>
      <c r="E102" s="1128"/>
      <c r="F102" s="247"/>
      <c r="G102" s="321"/>
      <c r="H102" s="1096"/>
      <c r="I102" s="315"/>
      <c r="J102" s="108"/>
      <c r="K102" s="108"/>
      <c r="L102" s="108"/>
    </row>
    <row r="103">
      <c r="D103" s="247"/>
      <c r="E103" s="1128"/>
      <c r="F103" s="247"/>
      <c r="G103" s="321"/>
      <c r="H103" s="1096"/>
      <c r="I103" s="315"/>
      <c r="J103" s="108"/>
      <c r="K103" s="108"/>
      <c r="L103" s="108"/>
    </row>
    <row r="104">
      <c r="D104" s="247"/>
      <c r="E104" s="1128"/>
      <c r="F104" s="247"/>
      <c r="G104" s="321"/>
      <c r="H104" s="1096"/>
      <c r="I104" s="315"/>
      <c r="J104" s="108"/>
      <c r="K104" s="108"/>
      <c r="L104" s="108"/>
    </row>
    <row r="105">
      <c r="D105" s="247"/>
      <c r="E105" s="1128"/>
      <c r="F105" s="247"/>
      <c r="G105" s="321"/>
      <c r="H105" s="1096"/>
      <c r="I105" s="315"/>
      <c r="J105" s="108"/>
      <c r="K105" s="108"/>
      <c r="L105" s="108"/>
    </row>
    <row r="106">
      <c r="D106" s="247"/>
      <c r="E106" s="1128"/>
      <c r="F106" s="247"/>
      <c r="G106" s="321"/>
      <c r="H106" s="1096"/>
      <c r="I106" s="315"/>
      <c r="J106" s="108"/>
      <c r="K106" s="108"/>
      <c r="L106" s="108"/>
    </row>
    <row r="107">
      <c r="D107" s="247"/>
      <c r="E107" s="1128"/>
      <c r="F107" s="247"/>
      <c r="G107" s="321"/>
      <c r="H107" s="1096"/>
      <c r="I107" s="315"/>
      <c r="J107" s="108"/>
      <c r="K107" s="108"/>
      <c r="L107" s="108"/>
    </row>
    <row r="108">
      <c r="D108" s="247"/>
      <c r="E108" s="1128"/>
      <c r="F108" s="247"/>
      <c r="G108" s="321"/>
      <c r="H108" s="1096"/>
      <c r="I108" s="315"/>
      <c r="J108" s="108"/>
      <c r="K108" s="108"/>
      <c r="L108" s="108"/>
    </row>
    <row r="109">
      <c r="D109" s="247"/>
      <c r="E109" s="1128"/>
      <c r="F109" s="247"/>
      <c r="G109" s="321"/>
      <c r="H109" s="1096"/>
      <c r="I109" s="315"/>
      <c r="J109" s="108"/>
      <c r="K109" s="108"/>
      <c r="L109" s="108"/>
    </row>
    <row r="110">
      <c r="D110" s="247"/>
      <c r="E110" s="1128"/>
      <c r="F110" s="247"/>
      <c r="G110" s="321"/>
      <c r="H110" s="1096"/>
      <c r="I110" s="315"/>
      <c r="J110" s="108"/>
      <c r="K110" s="108"/>
      <c r="L110" s="108"/>
    </row>
    <row r="111">
      <c r="D111" s="247"/>
      <c r="E111" s="1128"/>
      <c r="F111" s="247"/>
      <c r="G111" s="321"/>
      <c r="H111" s="1096"/>
      <c r="I111" s="315"/>
      <c r="J111" s="108"/>
      <c r="K111" s="108"/>
      <c r="L111" s="108"/>
    </row>
    <row r="112">
      <c r="D112" s="247"/>
      <c r="E112" s="1128"/>
      <c r="F112" s="247"/>
      <c r="G112" s="321"/>
      <c r="H112" s="1096"/>
      <c r="I112" s="315"/>
      <c r="J112" s="108"/>
      <c r="K112" s="108"/>
      <c r="L112" s="108"/>
    </row>
    <row r="113">
      <c r="D113" s="247"/>
      <c r="E113" s="1128"/>
      <c r="F113" s="247"/>
      <c r="G113" s="247"/>
      <c r="H113" s="1101"/>
      <c r="I113" s="314"/>
      <c r="J113" s="79"/>
      <c r="K113" s="79"/>
      <c r="L113" s="79"/>
    </row>
    <row r="114">
      <c r="D114" s="247"/>
      <c r="E114" s="1128"/>
      <c r="F114" s="247"/>
      <c r="G114" s="247"/>
      <c r="H114" s="1101"/>
      <c r="I114" s="314"/>
      <c r="J114" s="79"/>
      <c r="K114" s="79"/>
      <c r="L114" s="79"/>
    </row>
    <row r="115">
      <c r="D115" s="247"/>
      <c r="E115" s="1128"/>
      <c r="F115" s="247"/>
      <c r="G115" s="247"/>
      <c r="H115" s="1101"/>
      <c r="I115" s="314"/>
      <c r="J115" s="79"/>
      <c r="K115" s="79"/>
      <c r="L115" s="79"/>
    </row>
    <row r="116">
      <c r="C116" s="79"/>
      <c r="D116" s="79"/>
      <c r="E116" s="251"/>
      <c r="F116" s="1128"/>
      <c r="G116" s="247"/>
      <c r="H116" s="1101"/>
      <c r="I116" s="314"/>
      <c r="J116" s="79"/>
      <c r="K116" s="79"/>
      <c r="L116" s="79"/>
    </row>
    <row r="117">
      <c r="C117" s="79"/>
      <c r="D117" s="79"/>
      <c r="E117" s="251"/>
      <c r="F117" s="1128"/>
      <c r="G117" s="247"/>
      <c r="H117" s="1101"/>
      <c r="I117" s="314"/>
      <c r="J117" s="79"/>
      <c r="K117" s="79"/>
      <c r="L117" s="79"/>
    </row>
    <row r="118">
      <c r="C118" s="79"/>
      <c r="D118" s="79"/>
      <c r="E118" s="79"/>
      <c r="F118" s="1132"/>
      <c r="G118" s="1132"/>
      <c r="H118" s="1101"/>
      <c r="I118" s="314"/>
      <c r="J118" s="79"/>
      <c r="K118" s="79"/>
      <c r="L118" s="79"/>
    </row>
    <row r="119">
      <c r="C119" s="79"/>
      <c r="D119" s="79"/>
      <c r="E119" s="79"/>
      <c r="F119" s="79"/>
      <c r="G119" s="79"/>
      <c r="H119" s="252"/>
      <c r="I119" s="314"/>
      <c r="J119" s="79"/>
      <c r="K119" s="79"/>
      <c r="L119" s="79"/>
    </row>
    <row r="120">
      <c r="C120" s="79"/>
      <c r="D120" s="79"/>
      <c r="E120" s="79"/>
      <c r="F120" s="79"/>
      <c r="G120" s="79"/>
      <c r="H120" s="252"/>
      <c r="I120" s="314"/>
      <c r="J120" s="79"/>
      <c r="K120" s="79"/>
      <c r="L120" s="79"/>
    </row>
    <row r="121"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</sheetData>
  <dataValidations>
    <dataValidation allowBlank="1" showDropDown="1" sqref="L2:L8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20.38"/>
    <col customWidth="1" min="8" max="8" width="16.75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" t="s">
        <v>0</v>
      </c>
      <c r="B1" s="1" t="s">
        <v>1</v>
      </c>
      <c r="C1" s="1" t="s">
        <v>2</v>
      </c>
      <c r="D1" s="1621" t="s">
        <v>1170</v>
      </c>
      <c r="E1" s="264" t="s">
        <v>2047</v>
      </c>
      <c r="F1" s="779" t="s">
        <v>12</v>
      </c>
      <c r="G1" s="780" t="s">
        <v>6</v>
      </c>
      <c r="H1" s="780" t="s">
        <v>5</v>
      </c>
      <c r="I1" s="781" t="s">
        <v>7</v>
      </c>
      <c r="J1" s="264" t="s">
        <v>8</v>
      </c>
      <c r="K1" s="264" t="s">
        <v>2343</v>
      </c>
      <c r="L1" s="147" t="s">
        <v>10</v>
      </c>
    </row>
    <row r="2" ht="22.5" customHeight="1">
      <c r="A2" s="1622" t="s">
        <v>11</v>
      </c>
      <c r="B2" s="1623" t="s">
        <v>15</v>
      </c>
      <c r="C2" s="1421">
        <v>292.0</v>
      </c>
      <c r="D2" s="1624">
        <v>3.0</v>
      </c>
      <c r="E2" s="1184">
        <v>0.0102</v>
      </c>
      <c r="F2" s="1178" t="s">
        <v>277</v>
      </c>
      <c r="G2" s="1625">
        <v>2.0</v>
      </c>
      <c r="H2" s="1460">
        <v>0.0068</v>
      </c>
      <c r="I2" s="1182" t="s">
        <v>1599</v>
      </c>
      <c r="J2" s="1626">
        <v>37.0</v>
      </c>
      <c r="K2" s="1627">
        <v>0.1523</v>
      </c>
      <c r="L2" s="1405" t="s">
        <v>2344</v>
      </c>
    </row>
    <row r="3" ht="22.5" customHeight="1">
      <c r="A3" s="1622" t="s">
        <v>11</v>
      </c>
      <c r="B3" s="1623" t="s">
        <v>13</v>
      </c>
      <c r="C3" s="1235">
        <v>1132.0</v>
      </c>
      <c r="D3" s="1235" t="s">
        <v>17</v>
      </c>
      <c r="E3" s="1235" t="s">
        <v>17</v>
      </c>
      <c r="F3" s="1178" t="s">
        <v>17</v>
      </c>
      <c r="G3" s="1188">
        <v>26.0</v>
      </c>
      <c r="H3" s="1315">
        <v>0.023</v>
      </c>
      <c r="I3" s="1182" t="s">
        <v>2345</v>
      </c>
      <c r="J3" s="1628">
        <v>23.0</v>
      </c>
      <c r="K3" s="1627">
        <v>0.0222</v>
      </c>
      <c r="L3" s="1434" t="s">
        <v>2346</v>
      </c>
    </row>
    <row r="4" ht="22.5" customHeight="1">
      <c r="A4" s="1622" t="s">
        <v>11</v>
      </c>
      <c r="B4" s="1623" t="s">
        <v>27</v>
      </c>
      <c r="C4" s="1421">
        <v>593.0</v>
      </c>
      <c r="D4" s="1421" t="s">
        <v>17</v>
      </c>
      <c r="E4" s="1235" t="s">
        <v>17</v>
      </c>
      <c r="F4" s="1178" t="s">
        <v>17</v>
      </c>
      <c r="G4" s="1196">
        <v>8.0</v>
      </c>
      <c r="H4" s="1418">
        <v>0.0135</v>
      </c>
      <c r="I4" s="1182" t="s">
        <v>2347</v>
      </c>
      <c r="J4" s="1629">
        <v>31.0</v>
      </c>
      <c r="K4" s="1627">
        <v>0.0559</v>
      </c>
      <c r="L4" s="1434" t="s">
        <v>2094</v>
      </c>
    </row>
    <row r="5" ht="22.5" customHeight="1">
      <c r="A5" s="1622" t="s">
        <v>11</v>
      </c>
      <c r="B5" s="1623" t="s">
        <v>33</v>
      </c>
      <c r="C5" s="1421">
        <v>720.0</v>
      </c>
      <c r="D5" s="1391">
        <v>1.0</v>
      </c>
      <c r="E5" s="1240">
        <v>0.0014</v>
      </c>
      <c r="F5" s="1178" t="s">
        <v>1624</v>
      </c>
      <c r="G5" s="1630">
        <v>9.0</v>
      </c>
      <c r="H5" s="1392">
        <v>0.0125</v>
      </c>
      <c r="I5" s="1182" t="s">
        <v>2348</v>
      </c>
      <c r="J5" s="1631">
        <v>22.0</v>
      </c>
      <c r="K5" s="1627">
        <v>0.0333</v>
      </c>
      <c r="L5" s="1434" t="s">
        <v>2349</v>
      </c>
    </row>
    <row r="6" ht="22.5" customHeight="1">
      <c r="A6" s="1622" t="s">
        <v>11</v>
      </c>
      <c r="B6" s="1623" t="s">
        <v>19</v>
      </c>
      <c r="C6" s="1421">
        <v>1062.0</v>
      </c>
      <c r="D6" s="1391">
        <v>1.0</v>
      </c>
      <c r="E6" s="1211">
        <v>9.0E-4</v>
      </c>
      <c r="F6" s="1178" t="s">
        <v>277</v>
      </c>
      <c r="G6" s="1632">
        <v>15.0</v>
      </c>
      <c r="H6" s="1214">
        <v>0.0141</v>
      </c>
      <c r="I6" s="1182" t="s">
        <v>2350</v>
      </c>
      <c r="J6" s="1335">
        <v>27.0</v>
      </c>
      <c r="K6" s="1627">
        <v>0.0264</v>
      </c>
      <c r="L6" s="1434" t="s">
        <v>2351</v>
      </c>
    </row>
    <row r="7" ht="22.5" customHeight="1">
      <c r="A7" s="1622" t="s">
        <v>11</v>
      </c>
      <c r="B7" s="1623" t="s">
        <v>46</v>
      </c>
      <c r="C7" s="1235">
        <v>108.0</v>
      </c>
      <c r="D7" s="1235" t="s">
        <v>17</v>
      </c>
      <c r="E7" s="1235" t="s">
        <v>17</v>
      </c>
      <c r="F7" s="1178" t="s">
        <v>17</v>
      </c>
      <c r="G7" s="1625">
        <v>2.0</v>
      </c>
      <c r="H7" s="1199">
        <v>0.0185</v>
      </c>
      <c r="I7" s="1182" t="s">
        <v>2352</v>
      </c>
      <c r="J7" s="1225">
        <v>1.0</v>
      </c>
      <c r="K7" s="1627">
        <v>0.011</v>
      </c>
      <c r="L7" s="1434" t="s">
        <v>2353</v>
      </c>
    </row>
    <row r="8" ht="22.5" customHeight="1">
      <c r="A8" s="1622" t="s">
        <v>11</v>
      </c>
      <c r="B8" s="1623" t="s">
        <v>50</v>
      </c>
      <c r="C8" s="1235">
        <v>421.0</v>
      </c>
      <c r="D8" s="1235" t="s">
        <v>17</v>
      </c>
      <c r="E8" s="1235" t="s">
        <v>17</v>
      </c>
      <c r="F8" s="1178" t="s">
        <v>17</v>
      </c>
      <c r="G8" s="1633">
        <v>13.0</v>
      </c>
      <c r="H8" s="1290">
        <v>0.0309</v>
      </c>
      <c r="I8" s="1182" t="s">
        <v>2354</v>
      </c>
      <c r="J8" s="1634">
        <v>5.0</v>
      </c>
      <c r="K8" s="1627">
        <v>0.0133</v>
      </c>
      <c r="L8" s="1635" t="s">
        <v>1922</v>
      </c>
    </row>
    <row r="9" ht="22.5" customHeight="1">
      <c r="A9" s="1622" t="s">
        <v>11</v>
      </c>
      <c r="B9" s="1623" t="s">
        <v>58</v>
      </c>
      <c r="C9" s="1421">
        <v>510.0</v>
      </c>
      <c r="D9" s="1421" t="s">
        <v>17</v>
      </c>
      <c r="E9" s="1235" t="s">
        <v>17</v>
      </c>
      <c r="F9" s="1178" t="s">
        <v>17</v>
      </c>
      <c r="G9" s="1196">
        <v>8.0</v>
      </c>
      <c r="H9" s="1269">
        <v>0.0157</v>
      </c>
      <c r="I9" s="1182" t="s">
        <v>2355</v>
      </c>
      <c r="J9" s="1428"/>
      <c r="K9" s="1636"/>
      <c r="L9" s="1503" t="s">
        <v>2270</v>
      </c>
    </row>
    <row r="10" ht="22.5" customHeight="1">
      <c r="A10" s="1622" t="s">
        <v>11</v>
      </c>
      <c r="B10" s="1623" t="s">
        <v>64</v>
      </c>
      <c r="C10" s="1421">
        <v>371.0</v>
      </c>
      <c r="D10" s="1421" t="s">
        <v>17</v>
      </c>
      <c r="E10" s="1235" t="s">
        <v>17</v>
      </c>
      <c r="F10" s="1178" t="s">
        <v>17</v>
      </c>
      <c r="G10" s="1625">
        <v>2.0</v>
      </c>
      <c r="H10" s="1637">
        <v>0.0054</v>
      </c>
      <c r="I10" s="1182" t="s">
        <v>2356</v>
      </c>
      <c r="J10" s="1638">
        <v>3.0</v>
      </c>
      <c r="K10" s="1627">
        <v>0.0087</v>
      </c>
      <c r="L10" s="1639" t="s">
        <v>2357</v>
      </c>
    </row>
    <row r="11" ht="22.5" customHeight="1">
      <c r="A11" s="1622" t="s">
        <v>11</v>
      </c>
      <c r="B11" s="1623" t="s">
        <v>77</v>
      </c>
      <c r="C11" s="1421">
        <v>379.0</v>
      </c>
      <c r="D11" s="1391">
        <v>1.0</v>
      </c>
      <c r="E11" s="1192">
        <v>0.0026</v>
      </c>
      <c r="F11" s="1178" t="s">
        <v>911</v>
      </c>
      <c r="G11" s="1196">
        <v>8.0</v>
      </c>
      <c r="H11" s="1456">
        <v>0.0211</v>
      </c>
      <c r="I11" s="1182" t="s">
        <v>2358</v>
      </c>
      <c r="J11" s="1365">
        <v>13.0</v>
      </c>
      <c r="K11" s="1627">
        <v>0.0365</v>
      </c>
      <c r="L11" s="1399" t="s">
        <v>2359</v>
      </c>
    </row>
    <row r="12" ht="22.5" customHeight="1">
      <c r="A12" s="1622" t="s">
        <v>11</v>
      </c>
      <c r="B12" s="1623" t="s">
        <v>82</v>
      </c>
      <c r="C12" s="1235">
        <v>421.0</v>
      </c>
      <c r="D12" s="1235" t="s">
        <v>17</v>
      </c>
      <c r="E12" s="1235" t="s">
        <v>17</v>
      </c>
      <c r="F12" s="1178" t="s">
        <v>17</v>
      </c>
      <c r="G12" s="1435">
        <v>6.0</v>
      </c>
      <c r="H12" s="1451">
        <v>0.0143</v>
      </c>
      <c r="I12" s="1182" t="s">
        <v>2360</v>
      </c>
      <c r="J12" s="1291">
        <v>8.0</v>
      </c>
      <c r="K12" s="1627">
        <v>0.0201</v>
      </c>
      <c r="L12" s="1434" t="s">
        <v>2361</v>
      </c>
    </row>
    <row r="13" ht="22.5" customHeight="1">
      <c r="A13" s="1622" t="s">
        <v>11</v>
      </c>
      <c r="B13" s="1623" t="s">
        <v>90</v>
      </c>
      <c r="C13" s="1235">
        <v>384.0</v>
      </c>
      <c r="D13" s="1235" t="s">
        <v>17</v>
      </c>
      <c r="E13" s="1235" t="s">
        <v>17</v>
      </c>
      <c r="F13" s="1178" t="s">
        <v>17</v>
      </c>
      <c r="G13" s="1435">
        <v>6.0</v>
      </c>
      <c r="H13" s="1411">
        <v>0.0156</v>
      </c>
      <c r="I13" s="1182" t="s">
        <v>2362</v>
      </c>
      <c r="J13" s="1272">
        <v>12.0</v>
      </c>
      <c r="K13" s="1627">
        <v>0.0338</v>
      </c>
      <c r="L13" s="1434" t="s">
        <v>2363</v>
      </c>
    </row>
    <row r="14" ht="22.5" customHeight="1">
      <c r="A14" s="1622" t="s">
        <v>11</v>
      </c>
      <c r="B14" s="1623" t="s">
        <v>94</v>
      </c>
      <c r="C14" s="1235">
        <v>375.0</v>
      </c>
      <c r="D14" s="1235" t="s">
        <v>17</v>
      </c>
      <c r="E14" s="1235" t="s">
        <v>17</v>
      </c>
      <c r="F14" s="1178" t="s">
        <v>17</v>
      </c>
      <c r="G14" s="1643">
        <v>5.0</v>
      </c>
      <c r="H14" s="1418">
        <v>0.0133</v>
      </c>
      <c r="I14" s="1182" t="s">
        <v>2364</v>
      </c>
      <c r="J14" s="1291">
        <v>8.0</v>
      </c>
      <c r="K14" s="1627">
        <v>0.0241</v>
      </c>
      <c r="L14" s="1645" t="s">
        <v>2365</v>
      </c>
    </row>
    <row r="15" ht="22.5" customHeight="1">
      <c r="A15" s="1622" t="s">
        <v>11</v>
      </c>
      <c r="B15" s="1623" t="s">
        <v>39</v>
      </c>
      <c r="C15" s="1235">
        <v>804.0</v>
      </c>
      <c r="D15" s="1314">
        <v>3.0</v>
      </c>
      <c r="E15" s="1384">
        <v>0.0037</v>
      </c>
      <c r="F15" s="1178" t="s">
        <v>277</v>
      </c>
      <c r="G15" s="1646">
        <v>16.0</v>
      </c>
      <c r="H15" s="1343">
        <v>0.0199</v>
      </c>
      <c r="I15" s="1182" t="s">
        <v>2366</v>
      </c>
      <c r="J15" s="1263">
        <v>72.0</v>
      </c>
      <c r="K15" s="1627">
        <v>0.101</v>
      </c>
      <c r="L15" s="1461" t="s">
        <v>2367</v>
      </c>
    </row>
    <row r="16" ht="22.5" customHeight="1">
      <c r="A16" s="1622" t="s">
        <v>11</v>
      </c>
      <c r="B16" s="1623" t="s">
        <v>2369</v>
      </c>
      <c r="C16" s="1421">
        <v>519.0</v>
      </c>
      <c r="D16" s="1421" t="s">
        <v>17</v>
      </c>
      <c r="E16" s="1235" t="s">
        <v>17</v>
      </c>
      <c r="F16" s="1178" t="s">
        <v>17</v>
      </c>
      <c r="G16" s="1630">
        <v>9.0</v>
      </c>
      <c r="H16" s="1258">
        <v>0.0173</v>
      </c>
      <c r="I16" s="1182" t="s">
        <v>2370</v>
      </c>
      <c r="J16" s="1649">
        <v>2.0</v>
      </c>
      <c r="K16" s="1627">
        <v>0.0039</v>
      </c>
      <c r="L16" s="1503" t="s">
        <v>2270</v>
      </c>
    </row>
    <row r="17" ht="22.5" customHeight="1">
      <c r="A17" s="1622" t="s">
        <v>11</v>
      </c>
      <c r="B17" s="1623" t="s">
        <v>59</v>
      </c>
      <c r="C17" s="1421">
        <v>628.0</v>
      </c>
      <c r="D17" s="1421" t="s">
        <v>17</v>
      </c>
      <c r="E17" s="1235" t="s">
        <v>17</v>
      </c>
      <c r="F17" s="1178" t="s">
        <v>17</v>
      </c>
      <c r="G17" s="1650">
        <v>14.0</v>
      </c>
      <c r="H17" s="1377">
        <v>0.0223</v>
      </c>
      <c r="I17" s="1182" t="s">
        <v>2371</v>
      </c>
      <c r="J17" s="1248">
        <v>17.0</v>
      </c>
      <c r="K17" s="1627">
        <v>0.0289</v>
      </c>
      <c r="L17" s="1434" t="s">
        <v>2373</v>
      </c>
    </row>
    <row r="18" ht="22.5" customHeight="1">
      <c r="A18" s="1622" t="s">
        <v>11</v>
      </c>
      <c r="B18" s="1623" t="s">
        <v>114</v>
      </c>
      <c r="C18" s="1235">
        <v>309.0</v>
      </c>
      <c r="D18" s="1225">
        <v>1.0</v>
      </c>
      <c r="E18" s="1269">
        <v>0.0032</v>
      </c>
      <c r="F18" s="1178" t="s">
        <v>2374</v>
      </c>
      <c r="G18" s="1435">
        <v>6.0</v>
      </c>
      <c r="H18" s="1176">
        <v>0.0194</v>
      </c>
      <c r="I18" s="1182" t="s">
        <v>2375</v>
      </c>
      <c r="J18" s="1651">
        <v>18.0</v>
      </c>
      <c r="K18" s="1627">
        <v>0.0667</v>
      </c>
      <c r="L18" s="1461" t="s">
        <v>2376</v>
      </c>
    </row>
    <row r="19" ht="22.5" customHeight="1">
      <c r="A19" s="1622" t="s">
        <v>11</v>
      </c>
      <c r="B19" s="1623" t="s">
        <v>119</v>
      </c>
      <c r="C19" s="1235">
        <v>269.0</v>
      </c>
      <c r="D19" s="1235" t="s">
        <v>17</v>
      </c>
      <c r="E19" s="1235" t="s">
        <v>17</v>
      </c>
      <c r="F19" s="1178" t="s">
        <v>17</v>
      </c>
      <c r="G19" s="1643">
        <v>5.0</v>
      </c>
      <c r="H19" s="1199">
        <v>0.0186</v>
      </c>
      <c r="I19" s="1182" t="s">
        <v>2378</v>
      </c>
      <c r="J19" s="1652">
        <v>6.0</v>
      </c>
      <c r="K19" s="1627">
        <v>0.0243</v>
      </c>
      <c r="L19" s="1434" t="s">
        <v>2379</v>
      </c>
    </row>
    <row r="20" ht="22.5" customHeight="1">
      <c r="A20" s="1622" t="s">
        <v>11</v>
      </c>
      <c r="B20" s="1623" t="s">
        <v>126</v>
      </c>
      <c r="C20" s="1421">
        <v>281.0</v>
      </c>
      <c r="D20" s="1421" t="s">
        <v>17</v>
      </c>
      <c r="E20" s="1235" t="s">
        <v>17</v>
      </c>
      <c r="F20" s="1178" t="s">
        <v>17</v>
      </c>
      <c r="G20" s="1643">
        <v>5.0</v>
      </c>
      <c r="H20" s="1230">
        <v>0.0178</v>
      </c>
      <c r="I20" s="1182" t="s">
        <v>2380</v>
      </c>
      <c r="J20" s="1649">
        <v>2.0</v>
      </c>
      <c r="K20" s="1627">
        <v>0.0075</v>
      </c>
      <c r="L20" s="1434" t="s">
        <v>2382</v>
      </c>
    </row>
    <row r="21" ht="22.5" customHeight="1">
      <c r="A21" s="1622" t="s">
        <v>11</v>
      </c>
      <c r="B21" s="1623" t="s">
        <v>136</v>
      </c>
      <c r="C21" s="1421">
        <v>578.0</v>
      </c>
      <c r="D21" s="1408">
        <v>2.0</v>
      </c>
      <c r="E21" s="1237">
        <v>0.0054</v>
      </c>
      <c r="F21" s="1178" t="s">
        <v>277</v>
      </c>
      <c r="G21" s="1225">
        <v>1.0</v>
      </c>
      <c r="H21" s="1235" t="s">
        <v>17</v>
      </c>
      <c r="I21" s="1182" t="s">
        <v>2383</v>
      </c>
      <c r="J21" s="1653">
        <v>10.0</v>
      </c>
      <c r="K21" s="1627">
        <v>0.0282</v>
      </c>
      <c r="L21" s="1654" t="s">
        <v>2384</v>
      </c>
    </row>
    <row r="22" ht="22.5" customHeight="1">
      <c r="A22" s="1622" t="s">
        <v>11</v>
      </c>
      <c r="B22" s="1623" t="s">
        <v>72</v>
      </c>
      <c r="C22" s="1421">
        <v>306.0</v>
      </c>
      <c r="D22" s="1421" t="s">
        <v>17</v>
      </c>
      <c r="E22" s="1235" t="s">
        <v>17</v>
      </c>
      <c r="F22" s="1178" t="s">
        <v>17</v>
      </c>
      <c r="G22" s="1225">
        <v>1.0</v>
      </c>
      <c r="H22" s="1211">
        <v>0.0</v>
      </c>
      <c r="I22" s="1182" t="s">
        <v>105</v>
      </c>
      <c r="J22" s="1638">
        <v>3.0</v>
      </c>
      <c r="K22" s="1627">
        <v>0.0106</v>
      </c>
      <c r="L22" s="1656" t="s">
        <v>2386</v>
      </c>
    </row>
    <row r="23" ht="22.5" customHeight="1">
      <c r="A23" s="1622" t="s">
        <v>11</v>
      </c>
      <c r="B23" s="1623" t="s">
        <v>145</v>
      </c>
      <c r="C23" s="1421">
        <v>304.0</v>
      </c>
      <c r="D23" s="1624">
        <v>3.0</v>
      </c>
      <c r="E23" s="1232">
        <v>0.0098</v>
      </c>
      <c r="F23" s="1178" t="s">
        <v>128</v>
      </c>
      <c r="G23" s="1435">
        <v>6.0</v>
      </c>
      <c r="H23" s="1343">
        <v>0.0197</v>
      </c>
      <c r="I23" s="1182" t="s">
        <v>2387</v>
      </c>
      <c r="J23" s="1467">
        <v>9.0</v>
      </c>
      <c r="K23" s="1627">
        <v>0.0319</v>
      </c>
      <c r="L23" s="1434" t="s">
        <v>2388</v>
      </c>
    </row>
    <row r="24" ht="22.5" customHeight="1">
      <c r="A24" s="1622" t="s">
        <v>11</v>
      </c>
      <c r="B24" s="1623" t="s">
        <v>85</v>
      </c>
      <c r="C24" s="1421">
        <v>444.0</v>
      </c>
      <c r="D24" s="1421" t="s">
        <v>17</v>
      </c>
      <c r="E24" s="1235" t="s">
        <v>17</v>
      </c>
      <c r="F24" s="1178" t="s">
        <v>17</v>
      </c>
      <c r="G24" s="1657">
        <v>12.0</v>
      </c>
      <c r="H24" s="1282">
        <v>0.027</v>
      </c>
      <c r="I24" s="1182" t="s">
        <v>2390</v>
      </c>
      <c r="J24" s="1225">
        <v>1.0</v>
      </c>
      <c r="K24" s="1627">
        <v>0.0024</v>
      </c>
      <c r="L24" s="1434" t="s">
        <v>2391</v>
      </c>
    </row>
    <row r="25" ht="22.5" customHeight="1">
      <c r="A25" s="1622" t="s">
        <v>11</v>
      </c>
      <c r="B25" s="1623" t="s">
        <v>109</v>
      </c>
      <c r="C25" s="1235">
        <v>446.0</v>
      </c>
      <c r="D25" s="1235" t="s">
        <v>17</v>
      </c>
      <c r="E25" s="1235" t="s">
        <v>17</v>
      </c>
      <c r="F25" s="1178" t="s">
        <v>17</v>
      </c>
      <c r="G25" s="1658">
        <v>4.0</v>
      </c>
      <c r="H25" s="1197">
        <v>0.009</v>
      </c>
      <c r="I25" s="1182" t="s">
        <v>2393</v>
      </c>
      <c r="J25" s="1638">
        <v>3.0</v>
      </c>
      <c r="K25" s="1627">
        <v>0.0071</v>
      </c>
      <c r="L25" s="1529" t="s">
        <v>1879</v>
      </c>
    </row>
    <row r="26" ht="22.5" customHeight="1">
      <c r="A26" s="1622" t="s">
        <v>11</v>
      </c>
      <c r="B26" s="1623" t="s">
        <v>49</v>
      </c>
      <c r="C26" s="1235">
        <v>616.0</v>
      </c>
      <c r="D26" s="1235" t="s">
        <v>17</v>
      </c>
      <c r="E26" s="1235" t="s">
        <v>17</v>
      </c>
      <c r="F26" s="1178" t="s">
        <v>17</v>
      </c>
      <c r="G26" s="1659">
        <v>10.0</v>
      </c>
      <c r="H26" s="1195">
        <v>0.0162</v>
      </c>
      <c r="I26" s="1182" t="s">
        <v>2395</v>
      </c>
      <c r="J26" s="1272">
        <v>12.0</v>
      </c>
      <c r="K26" s="1627">
        <v>0.0211</v>
      </c>
      <c r="L26" s="1529" t="s">
        <v>1879</v>
      </c>
    </row>
    <row r="27" ht="22.5" customHeight="1">
      <c r="A27" s="1622" t="s">
        <v>11</v>
      </c>
      <c r="B27" s="1623" t="s">
        <v>115</v>
      </c>
      <c r="C27" s="1421">
        <v>352.0</v>
      </c>
      <c r="D27" s="1421" t="s">
        <v>17</v>
      </c>
      <c r="E27" s="1235" t="s">
        <v>17</v>
      </c>
      <c r="F27" s="1178" t="s">
        <v>17</v>
      </c>
      <c r="G27" s="1643">
        <v>5.0</v>
      </c>
      <c r="H27" s="1214">
        <v>0.0142</v>
      </c>
      <c r="I27" s="1182" t="s">
        <v>2396</v>
      </c>
      <c r="J27" s="1660">
        <v>7.0</v>
      </c>
      <c r="K27" s="1627">
        <v>0.0215</v>
      </c>
      <c r="L27" s="1656" t="s">
        <v>2386</v>
      </c>
    </row>
    <row r="28" ht="22.5" customHeight="1">
      <c r="A28" s="1622" t="s">
        <v>11</v>
      </c>
      <c r="B28" s="1623" t="s">
        <v>45</v>
      </c>
      <c r="C28" s="1421">
        <v>654.0</v>
      </c>
      <c r="D28" s="1421" t="s">
        <v>17</v>
      </c>
      <c r="E28" s="1235" t="s">
        <v>17</v>
      </c>
      <c r="F28" s="1178" t="s">
        <v>17</v>
      </c>
      <c r="G28" s="1630">
        <v>9.0</v>
      </c>
      <c r="H28" s="1446">
        <v>0.0138</v>
      </c>
      <c r="I28" s="1182" t="s">
        <v>2398</v>
      </c>
      <c r="J28" s="1651">
        <v>18.0</v>
      </c>
      <c r="K28" s="1627">
        <v>0.0294</v>
      </c>
      <c r="L28" s="1434" t="s">
        <v>2399</v>
      </c>
    </row>
    <row r="29" ht="22.5" customHeight="1">
      <c r="A29" s="1622" t="s">
        <v>11</v>
      </c>
      <c r="B29" s="1623" t="s">
        <v>170</v>
      </c>
      <c r="C29" s="1235">
        <v>300.0</v>
      </c>
      <c r="D29" s="1235" t="s">
        <v>17</v>
      </c>
      <c r="E29" s="1235" t="s">
        <v>17</v>
      </c>
      <c r="F29" s="1178" t="s">
        <v>17</v>
      </c>
      <c r="G29" s="1252">
        <v>3.0</v>
      </c>
      <c r="H29" s="1661">
        <v>0.01</v>
      </c>
      <c r="I29" s="1182" t="s">
        <v>2401</v>
      </c>
      <c r="J29" s="1628">
        <v>23.0</v>
      </c>
      <c r="K29" s="1627">
        <v>0.0852</v>
      </c>
      <c r="L29" s="1434" t="s">
        <v>2402</v>
      </c>
    </row>
    <row r="30" ht="22.5" customHeight="1">
      <c r="A30" s="1622" t="s">
        <v>11</v>
      </c>
      <c r="B30" s="1623" t="s">
        <v>123</v>
      </c>
      <c r="C30" s="1421">
        <v>389.0</v>
      </c>
      <c r="D30" s="1391">
        <v>1.0</v>
      </c>
      <c r="E30" s="1662">
        <v>0.0026</v>
      </c>
      <c r="F30" s="1178" t="s">
        <v>277</v>
      </c>
      <c r="G30" s="1435">
        <v>6.0</v>
      </c>
      <c r="H30" s="1411">
        <v>0.0154</v>
      </c>
      <c r="I30" s="1182" t="s">
        <v>2403</v>
      </c>
      <c r="J30" s="1664">
        <v>11.0</v>
      </c>
      <c r="K30" s="1627">
        <v>0.0313</v>
      </c>
      <c r="L30" s="1399" t="s">
        <v>2405</v>
      </c>
    </row>
    <row r="31" ht="22.5" customHeight="1">
      <c r="A31" s="1622" t="s">
        <v>11</v>
      </c>
      <c r="B31" s="1623" t="s">
        <v>96</v>
      </c>
      <c r="C31" s="1235">
        <v>335.0</v>
      </c>
      <c r="D31" s="1225">
        <v>1.0</v>
      </c>
      <c r="E31" s="1446">
        <v>0.003</v>
      </c>
      <c r="F31" s="1178" t="s">
        <v>128</v>
      </c>
      <c r="G31" s="1668">
        <v>11.0</v>
      </c>
      <c r="H31" s="1184">
        <v>0.0328</v>
      </c>
      <c r="I31" s="1182" t="s">
        <v>2408</v>
      </c>
      <c r="J31" s="1660">
        <v>7.0</v>
      </c>
      <c r="K31" s="1627">
        <v>0.023</v>
      </c>
      <c r="L31" s="1399" t="s">
        <v>2409</v>
      </c>
    </row>
    <row r="32" ht="22.5" customHeight="1">
      <c r="A32" s="1622" t="s">
        <v>11</v>
      </c>
      <c r="B32" s="1623" t="s">
        <v>156</v>
      </c>
      <c r="C32" s="1421">
        <v>101.0</v>
      </c>
      <c r="D32" s="1421" t="s">
        <v>17</v>
      </c>
      <c r="E32" s="1235" t="s">
        <v>17</v>
      </c>
      <c r="F32" s="1178" t="s">
        <v>17</v>
      </c>
      <c r="G32" s="1225">
        <v>1.0</v>
      </c>
      <c r="H32" s="1235" t="s">
        <v>17</v>
      </c>
      <c r="I32" s="1182" t="s">
        <v>2203</v>
      </c>
      <c r="J32" s="1467">
        <v>9.0</v>
      </c>
      <c r="K32" s="1627">
        <v>0.0259</v>
      </c>
      <c r="L32" s="1434" t="s">
        <v>2346</v>
      </c>
    </row>
    <row r="33" ht="22.5" customHeight="1">
      <c r="A33" s="1622" t="s">
        <v>11</v>
      </c>
      <c r="B33" s="1623" t="s">
        <v>153</v>
      </c>
      <c r="C33" s="1235">
        <v>292.0</v>
      </c>
      <c r="D33" s="1225">
        <v>1.0</v>
      </c>
      <c r="E33" s="1195">
        <v>0.0034</v>
      </c>
      <c r="F33" s="1178" t="s">
        <v>277</v>
      </c>
      <c r="G33" s="1658">
        <v>4.0</v>
      </c>
      <c r="H33" s="1446">
        <v>0.0137</v>
      </c>
      <c r="I33" s="1182" t="s">
        <v>2414</v>
      </c>
      <c r="J33" s="1272">
        <v>12.0</v>
      </c>
      <c r="K33" s="1627">
        <v>0.0458</v>
      </c>
      <c r="L33" s="1434" t="s">
        <v>2415</v>
      </c>
    </row>
    <row r="34" ht="22.5" customHeight="1">
      <c r="A34" s="1622" t="s">
        <v>11</v>
      </c>
      <c r="B34" s="1623" t="s">
        <v>159</v>
      </c>
      <c r="C34" s="1421">
        <v>305.0</v>
      </c>
      <c r="D34" s="1421" t="s">
        <v>17</v>
      </c>
      <c r="E34" s="1235" t="s">
        <v>17</v>
      </c>
      <c r="F34" s="1178" t="s">
        <v>17</v>
      </c>
      <c r="G34" s="1435">
        <v>6.0</v>
      </c>
      <c r="H34" s="1176">
        <v>0.0197</v>
      </c>
      <c r="I34" s="1182" t="s">
        <v>2417</v>
      </c>
      <c r="J34" s="1638">
        <v>3.0</v>
      </c>
      <c r="K34" s="1627">
        <v>0.0106</v>
      </c>
      <c r="L34" s="1434" t="s">
        <v>2094</v>
      </c>
    </row>
    <row r="35" ht="22.5" customHeight="1">
      <c r="A35" s="1622" t="s">
        <v>11</v>
      </c>
      <c r="B35" s="1623" t="s">
        <v>26</v>
      </c>
      <c r="C35" s="1421">
        <v>797.0</v>
      </c>
      <c r="D35" s="1421" t="s">
        <v>17</v>
      </c>
      <c r="E35" s="1235" t="s">
        <v>17</v>
      </c>
      <c r="F35" s="1178" t="s">
        <v>17</v>
      </c>
      <c r="G35" s="1633">
        <v>13.0</v>
      </c>
      <c r="H35" s="1195">
        <v>0.0163</v>
      </c>
      <c r="I35" s="1182" t="s">
        <v>2420</v>
      </c>
      <c r="J35" s="1676">
        <v>50.0</v>
      </c>
      <c r="K35" s="1627">
        <v>0.0666</v>
      </c>
      <c r="L35" s="1434" t="s">
        <v>2422</v>
      </c>
    </row>
    <row r="36" ht="22.5" customHeight="1">
      <c r="A36" s="1622" t="s">
        <v>11</v>
      </c>
      <c r="B36" s="1623" t="s">
        <v>23</v>
      </c>
      <c r="C36" s="1421">
        <v>697.0</v>
      </c>
      <c r="D36" s="1391">
        <v>1.0</v>
      </c>
      <c r="E36" s="1439">
        <v>0.0014</v>
      </c>
      <c r="F36" s="1178" t="s">
        <v>277</v>
      </c>
      <c r="G36" s="1678">
        <v>18.0</v>
      </c>
      <c r="H36" s="1317">
        <v>0.0258</v>
      </c>
      <c r="I36" s="1182" t="s">
        <v>2424</v>
      </c>
      <c r="J36" s="1628">
        <v>23.0</v>
      </c>
      <c r="K36" s="1627">
        <v>0.0348</v>
      </c>
      <c r="L36" s="1399" t="s">
        <v>2427</v>
      </c>
    </row>
    <row r="37" ht="22.5" customHeight="1">
      <c r="A37" s="1622" t="s">
        <v>11</v>
      </c>
      <c r="B37" s="1623" t="s">
        <v>2055</v>
      </c>
      <c r="C37" s="1235">
        <v>403.0</v>
      </c>
      <c r="D37" s="1235" t="s">
        <v>17</v>
      </c>
      <c r="E37" s="1235" t="s">
        <v>17</v>
      </c>
      <c r="F37" s="1178" t="s">
        <v>17</v>
      </c>
      <c r="G37" s="1643">
        <v>5.0</v>
      </c>
      <c r="H37" s="1392">
        <v>0.0124</v>
      </c>
      <c r="I37" s="1182" t="s">
        <v>2429</v>
      </c>
      <c r="J37" s="1365">
        <v>13.0</v>
      </c>
      <c r="K37" s="1627">
        <v>0.0338</v>
      </c>
      <c r="L37" s="1529" t="s">
        <v>1879</v>
      </c>
    </row>
    <row r="38" ht="22.5" customHeight="1">
      <c r="A38" s="1622" t="s">
        <v>11</v>
      </c>
      <c r="B38" s="1623" t="s">
        <v>497</v>
      </c>
      <c r="C38" s="1235">
        <v>589.0</v>
      </c>
      <c r="D38" s="1263">
        <v>4.0</v>
      </c>
      <c r="E38" s="1355">
        <v>0.0067</v>
      </c>
      <c r="F38" s="1178" t="s">
        <v>277</v>
      </c>
      <c r="G38" s="1643">
        <v>5.0</v>
      </c>
      <c r="H38" s="1464">
        <v>0.0085</v>
      </c>
      <c r="I38" s="1182" t="s">
        <v>2431</v>
      </c>
      <c r="J38" s="1651">
        <v>18.0</v>
      </c>
      <c r="K38" s="1627">
        <v>0.0323</v>
      </c>
      <c r="L38" s="1529" t="s">
        <v>1879</v>
      </c>
    </row>
    <row r="39" ht="22.5" customHeight="1">
      <c r="A39" s="1622" t="s">
        <v>11</v>
      </c>
      <c r="B39" s="1623" t="s">
        <v>2069</v>
      </c>
      <c r="C39" s="1421">
        <v>150.0</v>
      </c>
      <c r="D39" s="1421" t="s">
        <v>17</v>
      </c>
      <c r="E39" s="1235" t="s">
        <v>17</v>
      </c>
      <c r="F39" s="1178" t="s">
        <v>17</v>
      </c>
      <c r="G39" s="1625">
        <v>2.0</v>
      </c>
      <c r="H39" s="1418">
        <v>0.0133</v>
      </c>
      <c r="I39" s="1182" t="s">
        <v>105</v>
      </c>
      <c r="J39" s="1428"/>
      <c r="K39" s="1636"/>
      <c r="L39" s="1529" t="s">
        <v>1879</v>
      </c>
    </row>
    <row r="40" ht="22.5" customHeight="1">
      <c r="A40" s="1622" t="s">
        <v>11</v>
      </c>
      <c r="B40" s="1623" t="s">
        <v>2436</v>
      </c>
      <c r="C40" s="1421">
        <v>175.0</v>
      </c>
      <c r="D40" s="1421">
        <v>2.0</v>
      </c>
      <c r="E40" s="1235">
        <v>1.12</v>
      </c>
      <c r="F40" s="1687">
        <v>0.0</v>
      </c>
      <c r="G40" s="1625">
        <v>0.0</v>
      </c>
      <c r="H40" s="1418">
        <v>0.0</v>
      </c>
      <c r="I40" s="1689">
        <v>0.0</v>
      </c>
      <c r="J40" s="1690">
        <v>0.0</v>
      </c>
      <c r="K40" s="1691">
        <v>0.0</v>
      </c>
      <c r="L40" s="1693" t="s">
        <v>1651</v>
      </c>
    </row>
    <row r="41" ht="22.5" hidden="1" customHeight="1">
      <c r="A41" s="1622" t="s">
        <v>185</v>
      </c>
      <c r="B41" s="47" t="s">
        <v>15</v>
      </c>
      <c r="C41" s="47">
        <v>30.0</v>
      </c>
      <c r="D41" s="174" t="s">
        <v>258</v>
      </c>
      <c r="E41" s="174">
        <v>0.0</v>
      </c>
      <c r="F41" s="28">
        <v>0.0</v>
      </c>
      <c r="G41" s="174">
        <v>1.0</v>
      </c>
      <c r="H41" s="174" t="s">
        <v>1137</v>
      </c>
      <c r="I41" s="47">
        <v>0.0</v>
      </c>
      <c r="J41" s="57">
        <v>11.0</v>
      </c>
      <c r="K41" s="560" t="s">
        <v>2439</v>
      </c>
      <c r="L41" s="1696" t="s">
        <v>2441</v>
      </c>
    </row>
    <row r="42" ht="22.5" hidden="1" customHeight="1">
      <c r="A42" s="1622" t="s">
        <v>185</v>
      </c>
      <c r="B42" s="47" t="s">
        <v>13</v>
      </c>
      <c r="C42" s="47">
        <v>731.0</v>
      </c>
      <c r="D42" s="174" t="s">
        <v>258</v>
      </c>
      <c r="E42" s="174">
        <v>0.0</v>
      </c>
      <c r="F42" s="28">
        <v>0.0</v>
      </c>
      <c r="G42" s="174">
        <v>24.0</v>
      </c>
      <c r="H42" s="174" t="s">
        <v>364</v>
      </c>
      <c r="I42" s="47">
        <v>60347.0</v>
      </c>
      <c r="J42" s="57">
        <v>104.0</v>
      </c>
      <c r="K42" s="560" t="s">
        <v>263</v>
      </c>
      <c r="L42" s="1696" t="s">
        <v>298</v>
      </c>
    </row>
    <row r="43" ht="22.5" hidden="1" customHeight="1">
      <c r="A43" s="1622" t="s">
        <v>185</v>
      </c>
      <c r="B43" s="47" t="s">
        <v>2096</v>
      </c>
      <c r="C43" s="47">
        <v>288.0</v>
      </c>
      <c r="D43" s="174" t="s">
        <v>258</v>
      </c>
      <c r="E43" s="174">
        <v>0.0</v>
      </c>
      <c r="F43" s="28">
        <v>0.0</v>
      </c>
      <c r="G43" s="174">
        <v>10.0</v>
      </c>
      <c r="H43" s="174" t="s">
        <v>2444</v>
      </c>
      <c r="I43" s="1701" t="s">
        <v>2445</v>
      </c>
      <c r="J43" s="57">
        <v>72.0</v>
      </c>
      <c r="K43" s="560" t="s">
        <v>1051</v>
      </c>
      <c r="L43" s="1696" t="s">
        <v>298</v>
      </c>
    </row>
    <row r="44" ht="22.5" hidden="1" customHeight="1">
      <c r="A44" s="1622" t="s">
        <v>185</v>
      </c>
      <c r="B44" s="47" t="s">
        <v>33</v>
      </c>
      <c r="C44" s="47">
        <v>359.0</v>
      </c>
      <c r="D44" s="174" t="s">
        <v>536</v>
      </c>
      <c r="E44" s="174">
        <v>2.0</v>
      </c>
      <c r="F44" s="28">
        <v>0.0</v>
      </c>
      <c r="G44" s="174">
        <v>8.0</v>
      </c>
      <c r="H44" s="174" t="s">
        <v>539</v>
      </c>
      <c r="I44" s="1701" t="s">
        <v>2446</v>
      </c>
      <c r="J44" s="57">
        <v>109.0</v>
      </c>
      <c r="K44" s="560" t="s">
        <v>2447</v>
      </c>
      <c r="L44" s="1696" t="s">
        <v>385</v>
      </c>
    </row>
    <row r="45" ht="22.5" hidden="1" customHeight="1">
      <c r="A45" s="1622" t="s">
        <v>185</v>
      </c>
      <c r="B45" s="47" t="s">
        <v>19</v>
      </c>
      <c r="C45" s="47">
        <v>478.0</v>
      </c>
      <c r="D45" s="174" t="s">
        <v>634</v>
      </c>
      <c r="E45" s="174">
        <v>1.0</v>
      </c>
      <c r="F45" s="28">
        <v>0.0</v>
      </c>
      <c r="G45" s="174">
        <v>17.0</v>
      </c>
      <c r="H45" s="174" t="s">
        <v>304</v>
      </c>
      <c r="I45" s="1701" t="s">
        <v>2449</v>
      </c>
      <c r="J45" s="57">
        <v>67.0</v>
      </c>
      <c r="K45" s="560" t="s">
        <v>2450</v>
      </c>
      <c r="L45" s="1696" t="s">
        <v>2451</v>
      </c>
    </row>
    <row r="46" ht="22.5" hidden="1" customHeight="1">
      <c r="A46" s="1622" t="s">
        <v>185</v>
      </c>
      <c r="B46" s="47" t="s">
        <v>77</v>
      </c>
      <c r="C46" s="47">
        <v>122.0</v>
      </c>
      <c r="D46" s="174" t="s">
        <v>258</v>
      </c>
      <c r="E46" s="174">
        <v>0.0</v>
      </c>
      <c r="F46" s="28">
        <v>0.0</v>
      </c>
      <c r="G46" s="174">
        <v>9.0</v>
      </c>
      <c r="H46" s="174" t="s">
        <v>2454</v>
      </c>
      <c r="I46" s="1701" t="s">
        <v>2455</v>
      </c>
      <c r="J46" s="57">
        <v>18.0</v>
      </c>
      <c r="K46" s="560" t="s">
        <v>2456</v>
      </c>
      <c r="L46" s="1696" t="s">
        <v>298</v>
      </c>
    </row>
    <row r="47" ht="22.5" hidden="1" customHeight="1">
      <c r="A47" s="1622" t="s">
        <v>185</v>
      </c>
      <c r="B47" s="47" t="s">
        <v>82</v>
      </c>
      <c r="C47" s="47">
        <v>153.0</v>
      </c>
      <c r="D47" s="174" t="s">
        <v>258</v>
      </c>
      <c r="E47" s="174">
        <v>0.0</v>
      </c>
      <c r="F47" s="28">
        <v>0.0</v>
      </c>
      <c r="G47" s="174">
        <v>3.0</v>
      </c>
      <c r="H47" s="174" t="s">
        <v>1793</v>
      </c>
      <c r="I47" s="1701">
        <v>0.0</v>
      </c>
      <c r="J47" s="57">
        <v>25.0</v>
      </c>
      <c r="K47" s="560" t="s">
        <v>2458</v>
      </c>
      <c r="L47" s="1696" t="s">
        <v>298</v>
      </c>
    </row>
    <row r="48" ht="22.5" hidden="1" customHeight="1">
      <c r="A48" s="1622" t="s">
        <v>185</v>
      </c>
      <c r="B48" s="47" t="s">
        <v>90</v>
      </c>
      <c r="C48" s="47">
        <v>9.0</v>
      </c>
      <c r="D48" s="174" t="s">
        <v>258</v>
      </c>
      <c r="E48" s="174">
        <v>0.0</v>
      </c>
      <c r="F48" s="28">
        <v>0.0</v>
      </c>
      <c r="G48" s="174">
        <v>1.0</v>
      </c>
      <c r="H48" s="174" t="s">
        <v>837</v>
      </c>
      <c r="I48" s="1701">
        <v>0.0</v>
      </c>
      <c r="J48" s="57">
        <v>3.0</v>
      </c>
      <c r="K48" s="560" t="s">
        <v>2460</v>
      </c>
      <c r="L48" s="1696" t="s">
        <v>298</v>
      </c>
    </row>
    <row r="49" ht="22.5" hidden="1" customHeight="1">
      <c r="A49" s="1622" t="s">
        <v>185</v>
      </c>
      <c r="B49" s="47" t="s">
        <v>39</v>
      </c>
      <c r="C49" s="47">
        <v>48.0</v>
      </c>
      <c r="D49" s="174" t="s">
        <v>258</v>
      </c>
      <c r="E49" s="174">
        <v>0.0</v>
      </c>
      <c r="F49" s="28">
        <v>0.0</v>
      </c>
      <c r="G49" s="174">
        <v>4.0</v>
      </c>
      <c r="H49" s="174" t="s">
        <v>2461</v>
      </c>
      <c r="I49" s="1701">
        <v>20532.0</v>
      </c>
      <c r="J49" s="57">
        <v>20.0</v>
      </c>
      <c r="K49" s="560" t="s">
        <v>776</v>
      </c>
      <c r="L49" s="1696" t="s">
        <v>298</v>
      </c>
    </row>
    <row r="50" ht="22.5" hidden="1" customHeight="1">
      <c r="A50" s="1622" t="s">
        <v>185</v>
      </c>
      <c r="B50" s="47" t="s">
        <v>2150</v>
      </c>
      <c r="C50" s="47">
        <v>333.0</v>
      </c>
      <c r="D50" s="174" t="s">
        <v>258</v>
      </c>
      <c r="E50" s="174">
        <v>0.0</v>
      </c>
      <c r="F50" s="28">
        <v>0.0</v>
      </c>
      <c r="G50" s="174">
        <v>11.0</v>
      </c>
      <c r="H50" s="174" t="s">
        <v>2463</v>
      </c>
      <c r="I50" s="1701">
        <v>25816.0</v>
      </c>
      <c r="J50" s="57">
        <v>51.0</v>
      </c>
      <c r="K50" s="560" t="s">
        <v>2465</v>
      </c>
      <c r="L50" s="1696" t="s">
        <v>2467</v>
      </c>
    </row>
    <row r="51" ht="22.5" hidden="1" customHeight="1">
      <c r="A51" s="1622" t="s">
        <v>185</v>
      </c>
      <c r="B51" s="47" t="s">
        <v>59</v>
      </c>
      <c r="C51" s="47">
        <v>97.0</v>
      </c>
      <c r="D51" s="174" t="s">
        <v>258</v>
      </c>
      <c r="E51" s="174">
        <v>0.0</v>
      </c>
      <c r="F51" s="28">
        <v>0.0</v>
      </c>
      <c r="G51" s="174">
        <v>5.0</v>
      </c>
      <c r="H51" s="174" t="s">
        <v>2469</v>
      </c>
      <c r="I51" s="1701" t="s">
        <v>2470</v>
      </c>
      <c r="J51" s="57">
        <v>27.0</v>
      </c>
      <c r="K51" s="560" t="s">
        <v>2471</v>
      </c>
      <c r="L51" s="1696" t="s">
        <v>2473</v>
      </c>
    </row>
    <row r="52" ht="22.5" hidden="1" customHeight="1">
      <c r="A52" s="1622" t="s">
        <v>185</v>
      </c>
      <c r="B52" s="47" t="s">
        <v>114</v>
      </c>
      <c r="C52" s="47">
        <v>153.0</v>
      </c>
      <c r="D52" s="174" t="s">
        <v>258</v>
      </c>
      <c r="E52" s="174">
        <v>0.0</v>
      </c>
      <c r="F52" s="28">
        <v>0.0</v>
      </c>
      <c r="G52" s="174">
        <v>11.0</v>
      </c>
      <c r="H52" s="174" t="s">
        <v>2476</v>
      </c>
      <c r="I52" s="1701" t="s">
        <v>2477</v>
      </c>
      <c r="J52" s="57">
        <v>24.0</v>
      </c>
      <c r="K52" s="174" t="s">
        <v>2478</v>
      </c>
      <c r="L52" s="1696" t="s">
        <v>298</v>
      </c>
    </row>
    <row r="53" ht="22.5" hidden="1" customHeight="1">
      <c r="A53" s="1622" t="s">
        <v>185</v>
      </c>
      <c r="B53" s="47" t="s">
        <v>136</v>
      </c>
      <c r="C53" s="47">
        <v>75.0</v>
      </c>
      <c r="D53" s="174" t="s">
        <v>258</v>
      </c>
      <c r="E53" s="174">
        <v>0.0</v>
      </c>
      <c r="F53" s="28">
        <v>0.0</v>
      </c>
      <c r="G53" s="174">
        <v>4.0</v>
      </c>
      <c r="H53" s="174" t="s">
        <v>1857</v>
      </c>
      <c r="I53" s="300">
        <v>738004.0</v>
      </c>
      <c r="J53" s="57">
        <v>19.0</v>
      </c>
      <c r="K53" s="174" t="s">
        <v>2480</v>
      </c>
      <c r="L53" s="1696" t="s">
        <v>2481</v>
      </c>
    </row>
    <row r="54" ht="22.5" hidden="1" customHeight="1">
      <c r="A54" s="1622" t="s">
        <v>185</v>
      </c>
      <c r="B54" s="47" t="s">
        <v>85</v>
      </c>
      <c r="C54" s="47">
        <v>327.0</v>
      </c>
      <c r="D54" s="174" t="s">
        <v>258</v>
      </c>
      <c r="E54" s="174">
        <v>0.0</v>
      </c>
      <c r="F54" s="28">
        <v>0.0</v>
      </c>
      <c r="G54" s="174">
        <v>8.0</v>
      </c>
      <c r="H54" s="174" t="s">
        <v>1843</v>
      </c>
      <c r="I54" s="1701">
        <v>36296.0</v>
      </c>
      <c r="J54" s="57">
        <v>49.0</v>
      </c>
      <c r="K54" s="174" t="s">
        <v>2486</v>
      </c>
      <c r="L54" s="1696" t="s">
        <v>1703</v>
      </c>
    </row>
    <row r="55" ht="22.5" hidden="1" customHeight="1">
      <c r="A55" s="1622" t="s">
        <v>185</v>
      </c>
      <c r="B55" s="47" t="s">
        <v>79</v>
      </c>
      <c r="C55" s="47">
        <v>193.0</v>
      </c>
      <c r="D55" s="174" t="s">
        <v>258</v>
      </c>
      <c r="E55" s="174">
        <v>0.0</v>
      </c>
      <c r="F55" s="28">
        <v>0.0</v>
      </c>
      <c r="G55" s="174">
        <v>9.0</v>
      </c>
      <c r="H55" s="174" t="s">
        <v>226</v>
      </c>
      <c r="I55" s="1701" t="s">
        <v>2488</v>
      </c>
      <c r="J55" s="57">
        <v>22.0</v>
      </c>
      <c r="K55" s="174" t="s">
        <v>2492</v>
      </c>
      <c r="L55" s="1696" t="s">
        <v>298</v>
      </c>
    </row>
    <row r="56" ht="22.5" hidden="1" customHeight="1">
      <c r="A56" s="1622" t="s">
        <v>185</v>
      </c>
      <c r="B56" s="47" t="s">
        <v>45</v>
      </c>
      <c r="C56" s="47">
        <v>242.0</v>
      </c>
      <c r="D56" s="174" t="s">
        <v>258</v>
      </c>
      <c r="E56" s="174">
        <v>0.0</v>
      </c>
      <c r="F56" s="28">
        <v>0.0</v>
      </c>
      <c r="G56" s="174">
        <v>8.0</v>
      </c>
      <c r="H56" s="174" t="s">
        <v>1732</v>
      </c>
      <c r="I56" s="1701" t="s">
        <v>2494</v>
      </c>
      <c r="J56" s="57">
        <v>8.0</v>
      </c>
      <c r="K56" s="174" t="s">
        <v>1732</v>
      </c>
      <c r="L56" s="1696" t="s">
        <v>298</v>
      </c>
    </row>
    <row r="57" ht="22.5" hidden="1" customHeight="1">
      <c r="A57" s="1622" t="s">
        <v>185</v>
      </c>
      <c r="B57" s="47" t="s">
        <v>170</v>
      </c>
      <c r="C57" s="47">
        <v>100.0</v>
      </c>
      <c r="D57" s="174" t="s">
        <v>2498</v>
      </c>
      <c r="E57" s="174">
        <v>1.0</v>
      </c>
      <c r="F57" s="28">
        <v>0.0</v>
      </c>
      <c r="G57" s="174">
        <v>3.0</v>
      </c>
      <c r="H57" s="174" t="s">
        <v>1032</v>
      </c>
      <c r="I57" s="1701">
        <v>0.0</v>
      </c>
      <c r="J57" s="57">
        <v>9.0</v>
      </c>
      <c r="K57" s="174" t="s">
        <v>1771</v>
      </c>
      <c r="L57" s="1696" t="s">
        <v>298</v>
      </c>
    </row>
    <row r="58" ht="22.5" hidden="1" customHeight="1">
      <c r="A58" s="1622" t="s">
        <v>185</v>
      </c>
      <c r="B58" s="47" t="s">
        <v>123</v>
      </c>
      <c r="C58" s="47">
        <v>55.0</v>
      </c>
      <c r="D58" s="174" t="s">
        <v>2503</v>
      </c>
      <c r="E58" s="174">
        <v>1.0</v>
      </c>
      <c r="F58" s="28">
        <v>0.0</v>
      </c>
      <c r="G58" s="174">
        <v>1.0</v>
      </c>
      <c r="H58" s="174" t="s">
        <v>1077</v>
      </c>
      <c r="I58" s="1701">
        <v>0.0</v>
      </c>
      <c r="J58" s="57">
        <v>5.0</v>
      </c>
      <c r="K58" s="174" t="s">
        <v>2505</v>
      </c>
      <c r="L58" s="1696" t="s">
        <v>2506</v>
      </c>
    </row>
    <row r="59" ht="22.5" hidden="1" customHeight="1">
      <c r="A59" s="1622" t="s">
        <v>185</v>
      </c>
      <c r="B59" s="47" t="s">
        <v>2219</v>
      </c>
      <c r="C59" s="47">
        <v>123.0</v>
      </c>
      <c r="D59" s="174" t="s">
        <v>1133</v>
      </c>
      <c r="E59" s="174">
        <v>1.0</v>
      </c>
      <c r="F59" s="28">
        <v>0.0</v>
      </c>
      <c r="G59" s="174">
        <v>3.0</v>
      </c>
      <c r="H59" s="174" t="s">
        <v>1445</v>
      </c>
      <c r="I59" s="1701">
        <v>1155.0</v>
      </c>
      <c r="J59" s="57">
        <v>19.0</v>
      </c>
      <c r="K59" s="174" t="s">
        <v>2044</v>
      </c>
      <c r="L59" s="1696" t="s">
        <v>2512</v>
      </c>
    </row>
    <row r="60" ht="22.5" hidden="1" customHeight="1">
      <c r="A60" s="1622" t="s">
        <v>185</v>
      </c>
      <c r="B60" s="55" t="s">
        <v>26</v>
      </c>
      <c r="C60" s="47">
        <v>635.0</v>
      </c>
      <c r="D60" s="174" t="s">
        <v>258</v>
      </c>
      <c r="E60" s="174">
        <v>0.0</v>
      </c>
      <c r="F60" s="28">
        <v>0.0</v>
      </c>
      <c r="G60" s="174">
        <v>29.0</v>
      </c>
      <c r="H60" s="174" t="s">
        <v>2515</v>
      </c>
      <c r="I60" s="1701" t="s">
        <v>2516</v>
      </c>
      <c r="J60" s="57">
        <v>62.0</v>
      </c>
      <c r="K60" s="174" t="s">
        <v>2518</v>
      </c>
      <c r="L60" s="1696" t="s">
        <v>2519</v>
      </c>
    </row>
    <row r="61" ht="22.5" hidden="1" customHeight="1">
      <c r="A61" s="1622" t="s">
        <v>185</v>
      </c>
      <c r="B61" s="55" t="s">
        <v>58</v>
      </c>
      <c r="C61" s="47">
        <v>230.0</v>
      </c>
      <c r="D61" s="174" t="s">
        <v>258</v>
      </c>
      <c r="E61" s="174">
        <v>0.0</v>
      </c>
      <c r="F61" s="28">
        <v>0.0</v>
      </c>
      <c r="G61" s="174">
        <v>11.0</v>
      </c>
      <c r="H61" s="174" t="s">
        <v>1244</v>
      </c>
      <c r="I61" s="1701" t="s">
        <v>2522</v>
      </c>
      <c r="J61" s="57">
        <v>34.0</v>
      </c>
      <c r="K61" s="174" t="s">
        <v>2523</v>
      </c>
      <c r="L61" s="1696" t="s">
        <v>1842</v>
      </c>
    </row>
    <row r="62" ht="22.5" hidden="1" customHeight="1">
      <c r="A62" s="1622" t="s">
        <v>185</v>
      </c>
      <c r="B62" s="47" t="s">
        <v>23</v>
      </c>
      <c r="C62" s="47">
        <v>273.0</v>
      </c>
      <c r="D62" s="174" t="s">
        <v>2526</v>
      </c>
      <c r="E62" s="174">
        <v>2.0</v>
      </c>
      <c r="F62" s="28">
        <v>0.0</v>
      </c>
      <c r="G62" s="174">
        <v>11.0</v>
      </c>
      <c r="H62" s="174" t="s">
        <v>2278</v>
      </c>
      <c r="I62" s="1701" t="s">
        <v>2530</v>
      </c>
      <c r="J62" s="57">
        <v>67.0</v>
      </c>
      <c r="K62" s="174" t="s">
        <v>2531</v>
      </c>
      <c r="L62" s="1696" t="s">
        <v>298</v>
      </c>
    </row>
    <row r="63" ht="22.5" hidden="1" customHeight="1">
      <c r="A63" s="1622" t="s">
        <v>185</v>
      </c>
      <c r="B63" s="47" t="s">
        <v>505</v>
      </c>
      <c r="C63" s="47">
        <v>51.0</v>
      </c>
      <c r="D63" s="174" t="s">
        <v>258</v>
      </c>
      <c r="E63" s="174">
        <v>0.0</v>
      </c>
      <c r="F63" s="28">
        <v>0.0</v>
      </c>
      <c r="G63" s="174">
        <v>2.0</v>
      </c>
      <c r="H63" s="174" t="s">
        <v>349</v>
      </c>
      <c r="I63" s="1701" t="s">
        <v>2535</v>
      </c>
      <c r="J63" s="57">
        <v>8.0</v>
      </c>
      <c r="K63" s="174" t="s">
        <v>2537</v>
      </c>
      <c r="L63" s="1696" t="s">
        <v>2538</v>
      </c>
    </row>
    <row r="64" ht="22.5" hidden="1" customHeight="1">
      <c r="A64" s="1622" t="s">
        <v>185</v>
      </c>
      <c r="B64" s="5" t="s">
        <v>2541</v>
      </c>
      <c r="C64" s="13">
        <v>0.0</v>
      </c>
      <c r="D64" s="50">
        <v>0.0</v>
      </c>
      <c r="E64" s="50">
        <v>0.0</v>
      </c>
      <c r="F64" s="28">
        <v>0.0</v>
      </c>
      <c r="G64" s="50">
        <v>0.0</v>
      </c>
      <c r="H64" s="50">
        <v>0.0</v>
      </c>
      <c r="I64" s="50">
        <v>0.0</v>
      </c>
      <c r="J64" s="57">
        <v>0.0</v>
      </c>
      <c r="K64" s="50">
        <v>0.0</v>
      </c>
      <c r="L64" s="50" t="s">
        <v>1651</v>
      </c>
    </row>
    <row r="65" ht="22.5" hidden="1" customHeight="1">
      <c r="A65" s="1622" t="s">
        <v>383</v>
      </c>
      <c r="B65" s="1793" t="s">
        <v>492</v>
      </c>
      <c r="C65" s="336">
        <v>52.0</v>
      </c>
      <c r="D65" s="336">
        <v>0.0</v>
      </c>
      <c r="E65" s="337">
        <v>0.0</v>
      </c>
      <c r="F65" s="28">
        <v>0.0</v>
      </c>
      <c r="G65" s="1795">
        <v>0.0</v>
      </c>
      <c r="H65" s="337">
        <v>0.0</v>
      </c>
      <c r="I65" s="28">
        <v>0.0</v>
      </c>
      <c r="J65" s="338">
        <v>3.0</v>
      </c>
      <c r="K65" s="1798">
        <v>0.057692307692307696</v>
      </c>
      <c r="L65" s="281">
        <v>0.9767</v>
      </c>
    </row>
    <row r="66" ht="22.5" hidden="1" customHeight="1">
      <c r="A66" s="1622" t="s">
        <v>383</v>
      </c>
      <c r="B66" s="1793" t="s">
        <v>488</v>
      </c>
      <c r="C66" s="336">
        <v>213.0</v>
      </c>
      <c r="D66" s="336">
        <v>5.0</v>
      </c>
      <c r="E66" s="1801">
        <v>0.023474178403755867</v>
      </c>
      <c r="F66" s="28">
        <v>0.0</v>
      </c>
      <c r="G66" s="1795">
        <v>3.0</v>
      </c>
      <c r="H66" s="337">
        <v>0.014084507042253521</v>
      </c>
      <c r="I66" s="28">
        <v>0.0</v>
      </c>
      <c r="J66" s="338">
        <v>4.0</v>
      </c>
      <c r="K66" s="1804">
        <v>0.01990049751243781</v>
      </c>
      <c r="L66" s="278">
        <v>0.9399</v>
      </c>
    </row>
    <row r="67" ht="22.5" hidden="1" customHeight="1">
      <c r="A67" s="1622" t="s">
        <v>383</v>
      </c>
      <c r="B67" s="1793" t="s">
        <v>500</v>
      </c>
      <c r="C67" s="336">
        <v>58.0</v>
      </c>
      <c r="D67" s="336">
        <v>2.0</v>
      </c>
      <c r="E67" s="1500">
        <v>0.034482758620689655</v>
      </c>
      <c r="F67" s="28">
        <v>0.0</v>
      </c>
      <c r="G67" s="1795">
        <v>0.0</v>
      </c>
      <c r="H67" s="337">
        <v>0.0</v>
      </c>
      <c r="I67" s="28">
        <v>0.0</v>
      </c>
      <c r="J67" s="338">
        <v>1.0</v>
      </c>
      <c r="K67" s="1809">
        <v>0.01818181818181818</v>
      </c>
      <c r="L67" s="281">
        <v>0.9998</v>
      </c>
    </row>
    <row r="68" ht="22.5" hidden="1" customHeight="1">
      <c r="A68" s="1622" t="s">
        <v>383</v>
      </c>
      <c r="B68" s="1793" t="s">
        <v>493</v>
      </c>
      <c r="C68" s="336">
        <v>132.0</v>
      </c>
      <c r="D68" s="336">
        <v>0.0</v>
      </c>
      <c r="E68" s="337">
        <v>0.0</v>
      </c>
      <c r="F68" s="28">
        <v>0.0</v>
      </c>
      <c r="G68" s="1795">
        <v>5.0</v>
      </c>
      <c r="H68" s="337">
        <v>0.03787878787878788</v>
      </c>
      <c r="I68" s="28">
        <v>0.0</v>
      </c>
      <c r="J68" s="338">
        <v>3.0</v>
      </c>
      <c r="K68" s="1816">
        <v>0.023076923076923078</v>
      </c>
      <c r="L68" s="281">
        <v>0.9998</v>
      </c>
    </row>
    <row r="69" ht="22.5" hidden="1" customHeight="1">
      <c r="A69" s="1622" t="s">
        <v>383</v>
      </c>
      <c r="B69" s="1793" t="s">
        <v>490</v>
      </c>
      <c r="C69" s="336">
        <v>177.0</v>
      </c>
      <c r="D69" s="336">
        <v>1.0</v>
      </c>
      <c r="E69" s="1819">
        <v>0.005649717514124294</v>
      </c>
      <c r="F69" s="28">
        <v>0.0</v>
      </c>
      <c r="G69" s="1795">
        <v>5.0</v>
      </c>
      <c r="H69" s="337">
        <v>0.02824858757062147</v>
      </c>
      <c r="I69" s="28">
        <v>0.0</v>
      </c>
      <c r="J69" s="338">
        <v>15.0</v>
      </c>
      <c r="K69" s="1821">
        <v>0.0872093023255814</v>
      </c>
      <c r="L69" s="278">
        <v>0.9147</v>
      </c>
    </row>
    <row r="70" ht="22.5" hidden="1" customHeight="1">
      <c r="A70" s="1622" t="s">
        <v>383</v>
      </c>
      <c r="B70" s="1793" t="s">
        <v>2262</v>
      </c>
      <c r="C70" s="336">
        <v>86.0</v>
      </c>
      <c r="D70" s="336">
        <v>0.0</v>
      </c>
      <c r="E70" s="337">
        <v>0.0</v>
      </c>
      <c r="F70" s="28">
        <v>0.0</v>
      </c>
      <c r="G70" s="1795">
        <v>2.0</v>
      </c>
      <c r="H70" s="337">
        <v>0.023255813953488372</v>
      </c>
      <c r="I70" s="28">
        <v>0.0</v>
      </c>
      <c r="J70" s="338">
        <v>2.0</v>
      </c>
      <c r="K70" s="1816">
        <v>0.023255813953488372</v>
      </c>
      <c r="L70" s="281">
        <v>0.9944</v>
      </c>
    </row>
    <row r="71" ht="22.5" hidden="1" customHeight="1">
      <c r="A71" s="1622" t="s">
        <v>383</v>
      </c>
      <c r="B71" s="1793" t="s">
        <v>494</v>
      </c>
      <c r="C71" s="336">
        <v>93.0</v>
      </c>
      <c r="D71" s="336">
        <v>2.0</v>
      </c>
      <c r="E71" s="1825">
        <v>0.021505376344086023</v>
      </c>
      <c r="F71" s="28">
        <v>0.0</v>
      </c>
      <c r="G71" s="1795">
        <v>2.0</v>
      </c>
      <c r="H71" s="337">
        <v>0.021505376344086023</v>
      </c>
      <c r="I71" s="28">
        <v>0.0</v>
      </c>
      <c r="J71" s="338">
        <v>0.0</v>
      </c>
      <c r="K71" s="337">
        <v>0.0</v>
      </c>
      <c r="L71" s="281">
        <v>0.9854</v>
      </c>
    </row>
    <row r="72" ht="22.5" hidden="1" customHeight="1">
      <c r="A72" s="1622" t="s">
        <v>383</v>
      </c>
      <c r="B72" s="1793" t="s">
        <v>502</v>
      </c>
      <c r="C72" s="336">
        <v>65.0</v>
      </c>
      <c r="D72" s="336">
        <v>2.0</v>
      </c>
      <c r="E72" s="1829">
        <v>0.03076923076923077</v>
      </c>
      <c r="F72" s="28">
        <v>0.0</v>
      </c>
      <c r="G72" s="1795">
        <v>3.0</v>
      </c>
      <c r="H72" s="337">
        <v>0.046153846153846156</v>
      </c>
      <c r="I72" s="28">
        <v>0.0</v>
      </c>
      <c r="J72" s="338">
        <v>0.0</v>
      </c>
      <c r="K72" s="337">
        <v>0.0</v>
      </c>
      <c r="L72" s="281">
        <v>0.999</v>
      </c>
    </row>
    <row r="73" ht="22.5" hidden="1" customHeight="1">
      <c r="A73" s="1622" t="s">
        <v>383</v>
      </c>
      <c r="B73" s="1793" t="s">
        <v>508</v>
      </c>
      <c r="C73" s="336">
        <v>33.0</v>
      </c>
      <c r="D73" s="336">
        <v>3.0</v>
      </c>
      <c r="E73" s="337">
        <v>0.09090909090909091</v>
      </c>
      <c r="F73" s="28">
        <v>0.0</v>
      </c>
      <c r="G73" s="1795">
        <v>1.0</v>
      </c>
      <c r="H73" s="337">
        <v>0.030303030303030304</v>
      </c>
      <c r="I73" s="28">
        <v>0.0</v>
      </c>
      <c r="J73" s="338">
        <v>2.0</v>
      </c>
      <c r="K73" s="337">
        <v>0.07142857142857142</v>
      </c>
      <c r="L73" s="281">
        <v>0.9907</v>
      </c>
    </row>
    <row r="74" ht="22.5" hidden="1" customHeight="1">
      <c r="A74" s="1622" t="s">
        <v>383</v>
      </c>
      <c r="B74" s="1793" t="s">
        <v>504</v>
      </c>
      <c r="C74" s="336">
        <v>44.0</v>
      </c>
      <c r="D74" s="336">
        <v>1.0</v>
      </c>
      <c r="E74" s="1836">
        <v>0.022727272727272728</v>
      </c>
      <c r="F74" s="28">
        <v>0.0</v>
      </c>
      <c r="G74" s="1795">
        <v>1.0</v>
      </c>
      <c r="H74" s="337">
        <v>0.022727272727272728</v>
      </c>
      <c r="I74" s="28">
        <v>0.0</v>
      </c>
      <c r="J74" s="338">
        <v>5.0</v>
      </c>
      <c r="K74" s="1840">
        <v>0.11627906976744186</v>
      </c>
      <c r="L74" s="1540">
        <v>0.2584</v>
      </c>
    </row>
    <row r="75" ht="22.5" hidden="1" customHeight="1">
      <c r="A75" s="1622" t="s">
        <v>383</v>
      </c>
      <c r="B75" s="1793" t="s">
        <v>498</v>
      </c>
      <c r="C75" s="336">
        <v>86.0</v>
      </c>
      <c r="D75" s="336">
        <v>1.0</v>
      </c>
      <c r="E75" s="1504">
        <v>0.011627906976744186</v>
      </c>
      <c r="F75" s="28">
        <v>0.0</v>
      </c>
      <c r="G75" s="1795">
        <v>0.0</v>
      </c>
      <c r="H75" s="337">
        <v>0.0</v>
      </c>
      <c r="I75" s="28">
        <v>0.0</v>
      </c>
      <c r="J75" s="338">
        <v>4.0</v>
      </c>
      <c r="K75" s="1841">
        <v>0.04819277108433735</v>
      </c>
      <c r="L75" s="281">
        <v>0.9998</v>
      </c>
    </row>
    <row r="76" ht="22.5" hidden="1" customHeight="1">
      <c r="A76" s="1622" t="s">
        <v>383</v>
      </c>
      <c r="B76" s="1793" t="s">
        <v>506</v>
      </c>
      <c r="C76" s="336">
        <v>69.0</v>
      </c>
      <c r="D76" s="336">
        <v>0.0</v>
      </c>
      <c r="E76" s="337">
        <v>0.0</v>
      </c>
      <c r="F76" s="28">
        <v>0.0</v>
      </c>
      <c r="G76" s="1795">
        <v>1.0</v>
      </c>
      <c r="H76" s="337">
        <v>0.014492753623188406</v>
      </c>
      <c r="I76" s="28">
        <v>0.0</v>
      </c>
      <c r="J76" s="338">
        <v>5.0</v>
      </c>
      <c r="K76" s="1848">
        <v>0.07352941176470588</v>
      </c>
      <c r="L76" s="281">
        <v>0.9952</v>
      </c>
    </row>
    <row r="77" ht="22.5" hidden="1" customHeight="1">
      <c r="A77" s="1622" t="s">
        <v>383</v>
      </c>
      <c r="B77" s="1793" t="s">
        <v>501</v>
      </c>
      <c r="C77" s="336">
        <v>65.0</v>
      </c>
      <c r="D77" s="336">
        <v>1.0</v>
      </c>
      <c r="E77" s="1850">
        <v>0.015384615384615385</v>
      </c>
      <c r="F77" s="28">
        <v>0.0</v>
      </c>
      <c r="G77" s="1795">
        <v>4.0</v>
      </c>
      <c r="H77" s="337">
        <v>0.06153846153846154</v>
      </c>
      <c r="I77" s="28">
        <v>0.0</v>
      </c>
      <c r="J77" s="338">
        <v>4.0</v>
      </c>
      <c r="K77" s="1853">
        <v>0.06349206349206349</v>
      </c>
      <c r="L77" s="281">
        <v>0.9994</v>
      </c>
    </row>
    <row r="78" ht="22.5" hidden="1" customHeight="1">
      <c r="A78" s="1622" t="s">
        <v>383</v>
      </c>
      <c r="B78" s="1793" t="s">
        <v>496</v>
      </c>
      <c r="C78" s="336">
        <v>97.0</v>
      </c>
      <c r="D78" s="336">
        <v>0.0</v>
      </c>
      <c r="E78" s="337">
        <v>0.0</v>
      </c>
      <c r="F78" s="28">
        <v>0.0</v>
      </c>
      <c r="G78" s="1795">
        <v>3.0</v>
      </c>
      <c r="H78" s="337">
        <v>0.030927835051546393</v>
      </c>
      <c r="I78" s="28">
        <v>0.0</v>
      </c>
      <c r="J78" s="338">
        <v>2.0</v>
      </c>
      <c r="K78" s="1856">
        <v>0.021052631578947368</v>
      </c>
      <c r="L78" s="281">
        <v>0.9992</v>
      </c>
    </row>
    <row r="79" ht="22.5" hidden="1" customHeight="1">
      <c r="A79" s="1622" t="s">
        <v>383</v>
      </c>
      <c r="B79" s="1793" t="s">
        <v>499</v>
      </c>
      <c r="C79" s="336">
        <v>120.0</v>
      </c>
      <c r="D79" s="336">
        <v>0.0</v>
      </c>
      <c r="E79" s="337">
        <v>0.0</v>
      </c>
      <c r="F79" s="28">
        <v>0.0</v>
      </c>
      <c r="G79" s="1795">
        <v>10.0</v>
      </c>
      <c r="H79" s="337">
        <v>0.08333333333333333</v>
      </c>
      <c r="I79" s="28">
        <v>0.0</v>
      </c>
      <c r="J79" s="338">
        <v>6.0</v>
      </c>
      <c r="K79" s="1860">
        <v>0.05128205128205128</v>
      </c>
      <c r="L79" s="278">
        <v>0.9354</v>
      </c>
    </row>
    <row r="80" ht="22.5" hidden="1" customHeight="1">
      <c r="A80" s="1622" t="s">
        <v>383</v>
      </c>
      <c r="B80" s="1793" t="s">
        <v>507</v>
      </c>
      <c r="C80" s="336">
        <v>73.0</v>
      </c>
      <c r="D80" s="336">
        <v>0.0</v>
      </c>
      <c r="E80" s="337">
        <v>0.0</v>
      </c>
      <c r="F80" s="28">
        <v>0.0</v>
      </c>
      <c r="G80" s="1795">
        <v>3.0</v>
      </c>
      <c r="H80" s="337">
        <v>0.0410958904109589</v>
      </c>
      <c r="I80" s="28">
        <v>0.0</v>
      </c>
      <c r="J80" s="338">
        <v>5.0</v>
      </c>
      <c r="K80" s="1864">
        <v>0.06944444444444445</v>
      </c>
      <c r="L80" s="281">
        <v>0.9915</v>
      </c>
    </row>
    <row r="81" ht="22.5" hidden="1" customHeight="1">
      <c r="A81" s="1622" t="s">
        <v>383</v>
      </c>
      <c r="B81" s="1793" t="s">
        <v>503</v>
      </c>
      <c r="C81" s="336">
        <v>56.0</v>
      </c>
      <c r="D81" s="336">
        <v>0.0</v>
      </c>
      <c r="E81" s="337">
        <v>0.0</v>
      </c>
      <c r="F81" s="28">
        <v>0.0</v>
      </c>
      <c r="G81" s="1795">
        <v>1.0</v>
      </c>
      <c r="H81" s="337">
        <v>0.017857142857142856</v>
      </c>
      <c r="I81" s="28">
        <v>0.0</v>
      </c>
      <c r="J81" s="338">
        <v>3.0</v>
      </c>
      <c r="K81" s="1869">
        <v>0.05357142857142857</v>
      </c>
      <c r="L81" s="281">
        <v>0.999</v>
      </c>
    </row>
    <row r="82" ht="22.5" hidden="1" customHeight="1">
      <c r="A82" s="1622" t="s">
        <v>383</v>
      </c>
      <c r="B82" s="1793" t="s">
        <v>505</v>
      </c>
      <c r="C82" s="336">
        <v>42.0</v>
      </c>
      <c r="D82" s="336">
        <v>0.0</v>
      </c>
      <c r="E82" s="337">
        <v>0.0</v>
      </c>
      <c r="F82" s="28">
        <v>0.0</v>
      </c>
      <c r="G82" s="1795">
        <v>3.0</v>
      </c>
      <c r="H82" s="337">
        <v>0.07142857142857142</v>
      </c>
      <c r="I82" s="28">
        <v>0.0</v>
      </c>
      <c r="J82" s="338">
        <v>0.0</v>
      </c>
      <c r="K82" s="337">
        <v>0.0</v>
      </c>
      <c r="L82" s="281">
        <v>1.0</v>
      </c>
    </row>
    <row r="83" ht="22.5" hidden="1" customHeight="1">
      <c r="A83" s="1622" t="s">
        <v>383</v>
      </c>
      <c r="B83" s="1793" t="s">
        <v>489</v>
      </c>
      <c r="C83" s="336">
        <v>329.0</v>
      </c>
      <c r="D83" s="336">
        <v>5.0</v>
      </c>
      <c r="E83" s="1872">
        <v>0.015197568389057751</v>
      </c>
      <c r="F83" s="28">
        <v>0.0</v>
      </c>
      <c r="G83" s="1795">
        <v>12.0</v>
      </c>
      <c r="H83" s="337">
        <v>0.0364741641337386</v>
      </c>
      <c r="I83" s="28">
        <v>0.0</v>
      </c>
      <c r="J83" s="338">
        <v>5.0</v>
      </c>
      <c r="K83" s="1873">
        <v>0.01592356687898089</v>
      </c>
      <c r="L83" s="281">
        <v>1.0</v>
      </c>
    </row>
    <row r="84" ht="22.5" hidden="1" customHeight="1">
      <c r="A84" s="1622" t="s">
        <v>383</v>
      </c>
      <c r="B84" s="1793" t="s">
        <v>495</v>
      </c>
      <c r="C84" s="336">
        <v>75.0</v>
      </c>
      <c r="D84" s="336">
        <v>0.0</v>
      </c>
      <c r="E84" s="337">
        <v>0.0</v>
      </c>
      <c r="F84" s="28">
        <v>0.0</v>
      </c>
      <c r="G84" s="1795">
        <v>0.0</v>
      </c>
      <c r="H84" s="337">
        <v>0.0</v>
      </c>
      <c r="I84" s="28">
        <v>0.0</v>
      </c>
      <c r="J84" s="338">
        <v>3.0</v>
      </c>
      <c r="K84" s="1875">
        <v>0.041666666666666664</v>
      </c>
      <c r="L84" s="281">
        <v>0.9635</v>
      </c>
    </row>
    <row r="85" ht="22.5" hidden="1" customHeight="1">
      <c r="A85" s="1622" t="s">
        <v>383</v>
      </c>
      <c r="B85" s="1793" t="s">
        <v>491</v>
      </c>
      <c r="C85" s="336">
        <v>159.0</v>
      </c>
      <c r="D85" s="336">
        <v>1.0</v>
      </c>
      <c r="E85" s="1565">
        <v>0.006289308176100629</v>
      </c>
      <c r="F85" s="28">
        <v>0.0</v>
      </c>
      <c r="G85" s="1795">
        <v>6.0</v>
      </c>
      <c r="H85" s="337">
        <v>0.03773584905660377</v>
      </c>
      <c r="I85" s="28">
        <v>0.0</v>
      </c>
      <c r="J85" s="338">
        <v>5.0</v>
      </c>
      <c r="K85" s="1882">
        <v>0.03225806451612903</v>
      </c>
      <c r="L85" s="281">
        <v>1.0</v>
      </c>
    </row>
    <row r="86" ht="22.5" hidden="1" customHeight="1">
      <c r="A86" s="233"/>
      <c r="B86" s="234"/>
      <c r="C86" s="345"/>
      <c r="D86" s="1887"/>
      <c r="E86" s="342"/>
      <c r="F86" s="28"/>
      <c r="G86" s="341"/>
      <c r="H86" s="1085"/>
      <c r="I86" s="344"/>
      <c r="J86" s="1614"/>
      <c r="K86" s="342"/>
      <c r="L86" s="834"/>
    </row>
    <row r="87" ht="22.5" hidden="1" customHeight="1">
      <c r="A87" s="233"/>
      <c r="B87" s="234"/>
      <c r="C87" s="345"/>
      <c r="D87" s="345"/>
      <c r="E87" s="1088"/>
      <c r="F87" s="1089"/>
      <c r="G87" s="345"/>
      <c r="H87" s="1090"/>
      <c r="I87" s="1091"/>
      <c r="J87" s="1615"/>
      <c r="K87" s="1088"/>
      <c r="L87" s="1087"/>
    </row>
    <row r="88">
      <c r="B88" s="79"/>
      <c r="C88" s="108"/>
      <c r="D88" s="108"/>
      <c r="E88" s="108"/>
      <c r="F88" s="108"/>
      <c r="G88" s="108"/>
      <c r="H88" s="1093"/>
      <c r="I88" s="315"/>
      <c r="J88" s="108"/>
      <c r="K88" s="108"/>
      <c r="L88" s="108"/>
    </row>
    <row r="89">
      <c r="B89" s="79"/>
      <c r="C89" s="40"/>
      <c r="D89" s="1895"/>
      <c r="E89" s="108"/>
      <c r="F89" s="108"/>
      <c r="G89" s="108"/>
      <c r="H89" s="1093"/>
      <c r="I89" s="315"/>
      <c r="J89" s="108"/>
      <c r="K89" s="108"/>
      <c r="L89" s="108"/>
    </row>
    <row r="90">
      <c r="B90" s="108"/>
      <c r="C90" s="40"/>
      <c r="D90" s="1895"/>
      <c r="E90" s="1897"/>
      <c r="F90" s="1897"/>
      <c r="G90" s="1899"/>
      <c r="H90" s="1901"/>
      <c r="I90" s="1899"/>
      <c r="J90" s="1897"/>
      <c r="K90" s="1899"/>
      <c r="L90" s="108"/>
    </row>
    <row r="91">
      <c r="B91" s="108"/>
      <c r="C91" s="1903"/>
      <c r="D91" s="1905"/>
      <c r="E91" s="1906"/>
      <c r="F91" s="1906"/>
      <c r="G91" s="1907"/>
      <c r="H91" s="1908"/>
      <c r="I91" s="1907"/>
      <c r="J91" s="1909"/>
      <c r="K91" s="1907"/>
      <c r="L91" s="108"/>
    </row>
    <row r="92">
      <c r="B92" s="108"/>
      <c r="C92" s="1903"/>
      <c r="D92" s="1905"/>
      <c r="E92" s="1906"/>
      <c r="F92" s="1906"/>
      <c r="G92" s="1907"/>
      <c r="H92" s="1908"/>
      <c r="I92" s="1907"/>
      <c r="J92" s="1909"/>
      <c r="K92" s="1907"/>
      <c r="L92" s="108"/>
    </row>
    <row r="93">
      <c r="B93" s="108"/>
      <c r="C93" s="1903"/>
      <c r="D93" s="1905"/>
      <c r="E93" s="1906"/>
      <c r="F93" s="1906"/>
      <c r="G93" s="1907"/>
      <c r="H93" s="1908"/>
      <c r="I93" s="1907"/>
      <c r="J93" s="1909"/>
      <c r="K93" s="1907"/>
      <c r="L93" s="108"/>
    </row>
    <row r="94">
      <c r="B94" s="108"/>
      <c r="C94" s="1903"/>
      <c r="D94" s="245"/>
      <c r="E94" s="245"/>
      <c r="F94" s="1913"/>
      <c r="G94" s="245"/>
      <c r="H94" s="1908"/>
      <c r="I94" s="1907"/>
      <c r="J94" s="1909"/>
      <c r="K94" s="1907"/>
      <c r="L94" s="108"/>
    </row>
    <row r="95">
      <c r="B95" s="108"/>
      <c r="C95" s="1903"/>
      <c r="F95" s="1914"/>
      <c r="H95" s="1908"/>
      <c r="I95" s="1907"/>
      <c r="J95" s="1909"/>
      <c r="K95" s="1907"/>
      <c r="L95" s="108"/>
    </row>
    <row r="96">
      <c r="B96" s="108"/>
      <c r="C96" s="1903"/>
      <c r="F96" s="1914"/>
      <c r="H96" s="1908"/>
      <c r="I96" s="1907"/>
      <c r="J96" s="1909"/>
      <c r="K96" s="1907"/>
      <c r="L96" s="108"/>
    </row>
    <row r="97">
      <c r="B97" s="108"/>
      <c r="C97" s="1903"/>
      <c r="F97" s="1914"/>
      <c r="H97" s="1908"/>
      <c r="I97" s="1907"/>
      <c r="J97" s="1909"/>
      <c r="K97" s="1907"/>
      <c r="L97" s="108"/>
    </row>
    <row r="98">
      <c r="B98" s="108"/>
      <c r="C98" s="1903"/>
      <c r="F98" s="1914"/>
      <c r="H98" s="1908"/>
      <c r="I98" s="1907"/>
      <c r="J98" s="1909"/>
      <c r="K98" s="1907"/>
      <c r="L98" s="108"/>
    </row>
    <row r="99">
      <c r="B99" s="108"/>
      <c r="C99" s="1903"/>
      <c r="F99" s="1914"/>
      <c r="H99" s="1908"/>
      <c r="I99" s="1907"/>
      <c r="J99" s="1909"/>
      <c r="K99" s="1907"/>
      <c r="L99" s="108"/>
    </row>
    <row r="100">
      <c r="B100" s="108"/>
      <c r="C100" s="1903"/>
      <c r="F100" s="1914"/>
      <c r="H100" s="1908"/>
      <c r="I100" s="1907"/>
      <c r="J100" s="1909"/>
      <c r="K100" s="1907"/>
      <c r="L100" s="108"/>
    </row>
    <row r="101">
      <c r="B101" s="108"/>
      <c r="C101" s="1903"/>
      <c r="F101" s="1914"/>
      <c r="H101" s="1908"/>
      <c r="I101" s="1907"/>
      <c r="J101" s="1909"/>
      <c r="K101" s="1907"/>
      <c r="L101" s="108"/>
    </row>
    <row r="102">
      <c r="B102" s="108"/>
      <c r="C102" s="1903"/>
      <c r="F102" s="1914"/>
      <c r="H102" s="1908"/>
      <c r="I102" s="1907"/>
      <c r="J102" s="1909"/>
      <c r="K102" s="1907"/>
      <c r="L102" s="108"/>
    </row>
    <row r="103">
      <c r="B103" s="108"/>
      <c r="C103" s="1903"/>
      <c r="F103" s="1914"/>
      <c r="H103" s="1908"/>
      <c r="I103" s="1907"/>
      <c r="J103" s="1909"/>
      <c r="K103" s="1907"/>
      <c r="L103" s="108"/>
    </row>
    <row r="104">
      <c r="B104" s="108"/>
      <c r="C104" s="1903"/>
      <c r="F104" s="1914"/>
      <c r="H104" s="1908"/>
      <c r="I104" s="1907"/>
      <c r="J104" s="1909"/>
      <c r="K104" s="1907"/>
      <c r="L104" s="108"/>
    </row>
    <row r="105">
      <c r="B105" s="108"/>
      <c r="C105" s="1903"/>
      <c r="F105" s="1914"/>
      <c r="H105" s="1908"/>
      <c r="I105" s="1907"/>
      <c r="J105" s="1909"/>
      <c r="K105" s="1907"/>
      <c r="L105" s="108"/>
    </row>
    <row r="106">
      <c r="B106" s="108"/>
      <c r="C106" s="1903"/>
      <c r="F106" s="1914"/>
      <c r="H106" s="1908"/>
      <c r="I106" s="1907"/>
      <c r="J106" s="1909"/>
      <c r="K106" s="1907"/>
      <c r="L106" s="108"/>
    </row>
    <row r="107">
      <c r="B107" s="108"/>
      <c r="C107" s="1903"/>
      <c r="F107" s="1914"/>
      <c r="H107" s="1908"/>
      <c r="I107" s="1907"/>
      <c r="J107" s="1909"/>
      <c r="K107" s="1907"/>
      <c r="L107" s="108"/>
    </row>
    <row r="108">
      <c r="B108" s="108"/>
      <c r="C108" s="1903"/>
      <c r="F108" s="1914"/>
      <c r="H108" s="1908"/>
      <c r="I108" s="1907"/>
      <c r="J108" s="1909"/>
      <c r="K108" s="1907"/>
      <c r="L108" s="108"/>
    </row>
    <row r="109">
      <c r="B109" s="108"/>
      <c r="C109" s="1903"/>
      <c r="F109" s="1914"/>
      <c r="H109" s="1908"/>
      <c r="I109" s="1907"/>
      <c r="J109" s="1909"/>
      <c r="K109" s="1907"/>
      <c r="L109" s="108"/>
    </row>
    <row r="110">
      <c r="B110" s="108"/>
      <c r="C110" s="1903"/>
      <c r="F110" s="1914"/>
      <c r="H110" s="1908"/>
      <c r="I110" s="1907"/>
      <c r="J110" s="1909"/>
      <c r="K110" s="1907"/>
      <c r="L110" s="108"/>
    </row>
    <row r="111">
      <c r="B111" s="108"/>
      <c r="C111" s="1903"/>
      <c r="F111" s="1914"/>
      <c r="H111" s="1908"/>
      <c r="I111" s="1907"/>
      <c r="J111" s="1909"/>
      <c r="K111" s="1907"/>
      <c r="L111" s="108"/>
    </row>
    <row r="112">
      <c r="B112" s="108"/>
      <c r="C112" s="108"/>
      <c r="F112" s="1914"/>
      <c r="H112" s="1096"/>
      <c r="I112" s="315"/>
      <c r="J112" s="108"/>
      <c r="K112" s="108"/>
      <c r="L112" s="108"/>
    </row>
    <row r="113">
      <c r="B113" s="108"/>
      <c r="C113" s="108"/>
      <c r="F113" s="1914"/>
      <c r="H113" s="1096"/>
      <c r="I113" s="315"/>
      <c r="J113" s="108"/>
      <c r="K113" s="108"/>
      <c r="L113" s="108"/>
    </row>
    <row r="114">
      <c r="B114" s="108"/>
      <c r="C114" s="108"/>
      <c r="F114" s="1914"/>
      <c r="H114" s="1096"/>
      <c r="I114" s="315"/>
      <c r="J114" s="108"/>
      <c r="K114" s="108"/>
      <c r="L114" s="108"/>
    </row>
    <row r="115">
      <c r="B115" s="108"/>
      <c r="C115" s="108"/>
      <c r="F115" s="1914"/>
      <c r="H115" s="1096"/>
      <c r="I115" s="315"/>
      <c r="J115" s="108"/>
      <c r="K115" s="108"/>
      <c r="L115" s="108"/>
    </row>
    <row r="116">
      <c r="B116" s="108"/>
      <c r="C116" s="1918"/>
      <c r="F116" s="1914"/>
      <c r="H116" s="1096"/>
      <c r="I116" s="315"/>
      <c r="J116" s="108"/>
      <c r="K116" s="108"/>
      <c r="L116" s="108"/>
    </row>
    <row r="117">
      <c r="B117" s="108"/>
      <c r="C117" s="1918"/>
      <c r="F117" s="1914"/>
      <c r="H117" s="1096"/>
      <c r="I117" s="315"/>
      <c r="J117" s="108"/>
      <c r="K117" s="108"/>
      <c r="L117" s="108"/>
    </row>
    <row r="118">
      <c r="B118" s="108"/>
      <c r="C118" s="1918"/>
      <c r="F118" s="1920"/>
      <c r="H118" s="1096"/>
      <c r="I118" s="315"/>
      <c r="J118" s="108"/>
      <c r="K118" s="108"/>
      <c r="L118" s="108"/>
    </row>
    <row r="119">
      <c r="B119" s="108"/>
      <c r="C119" s="108"/>
      <c r="D119" s="108"/>
      <c r="E119" s="108"/>
      <c r="F119" s="108"/>
      <c r="G119" s="108"/>
      <c r="H119" s="1093"/>
      <c r="I119" s="315"/>
      <c r="J119" s="108"/>
      <c r="K119" s="108"/>
      <c r="L119" s="108"/>
    </row>
    <row r="120">
      <c r="B120" s="108"/>
      <c r="C120" s="108"/>
      <c r="D120" s="108"/>
      <c r="E120" s="108"/>
      <c r="F120" s="108"/>
      <c r="G120" s="108"/>
      <c r="H120" s="1093"/>
      <c r="I120" s="315"/>
      <c r="J120" s="108"/>
      <c r="K120" s="108"/>
      <c r="L120" s="108"/>
    </row>
    <row r="121">
      <c r="B121" s="108"/>
      <c r="C121" s="108"/>
      <c r="D121" s="108"/>
      <c r="E121" s="108"/>
      <c r="F121" s="108"/>
      <c r="G121" s="108"/>
      <c r="H121" s="1093"/>
      <c r="I121" s="315"/>
      <c r="J121" s="108"/>
      <c r="K121" s="108"/>
      <c r="L121" s="108"/>
    </row>
    <row r="122">
      <c r="B122" s="108"/>
      <c r="C122" s="108"/>
      <c r="D122" s="108"/>
      <c r="E122" s="108"/>
      <c r="F122" s="108"/>
      <c r="G122" s="108"/>
      <c r="H122" s="1093"/>
      <c r="I122" s="315"/>
      <c r="J122" s="108"/>
      <c r="K122" s="108"/>
      <c r="L122" s="108"/>
    </row>
    <row r="123">
      <c r="B123" s="79"/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B124" s="79"/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B125" s="79"/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B126" s="79"/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B127" s="79"/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B128" s="79"/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B129" s="79"/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B130" s="79"/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B131" s="79"/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B132" s="79"/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B133" s="79"/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B134" s="79"/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B135" s="79"/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B136" s="79"/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B137" s="79"/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B138" s="79"/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B139" s="79"/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B140" s="79"/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B141" s="79"/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B142" s="79"/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B143" s="79"/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B144" s="79"/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B145" s="79"/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B146" s="79"/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B147" s="79"/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B148" s="79"/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B149" s="79"/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B150" s="79"/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B151" s="79"/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B152" s="79"/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B153" s="79"/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B154" s="79"/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B155" s="79"/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B156" s="79"/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B157" s="79"/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B158" s="79"/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B159" s="79"/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B160" s="79"/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B161" s="79"/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B162" s="79"/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B163" s="79"/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B164" s="79"/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B165" s="79"/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B166" s="79"/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B167" s="79"/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B168" s="79"/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B169" s="79"/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B170" s="79"/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B171" s="79"/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B172" s="79"/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B741" s="79"/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  <row r="742">
      <c r="B742" s="79"/>
      <c r="C742" s="79"/>
      <c r="D742" s="79"/>
      <c r="E742" s="79"/>
      <c r="F742" s="79"/>
      <c r="G742" s="79"/>
      <c r="H742" s="252"/>
      <c r="I742" s="314"/>
      <c r="J742" s="79"/>
      <c r="K742" s="79"/>
      <c r="L742" s="79"/>
    </row>
  </sheetData>
  <dataValidations>
    <dataValidation allowBlank="1" showDropDown="1" sqref="L2:L8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20.38"/>
    <col customWidth="1" min="8" max="8" width="16.75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3" t="s">
        <v>0</v>
      </c>
      <c r="B1" s="1640" t="s">
        <v>1</v>
      </c>
      <c r="C1" s="1640" t="s">
        <v>2</v>
      </c>
      <c r="D1" s="1640" t="s">
        <v>1170</v>
      </c>
      <c r="E1" s="1640" t="s">
        <v>2047</v>
      </c>
      <c r="F1" s="1641" t="s">
        <v>12</v>
      </c>
      <c r="G1" s="1642" t="s">
        <v>6</v>
      </c>
      <c r="H1" s="1642" t="s">
        <v>5</v>
      </c>
      <c r="I1" s="1641" t="s">
        <v>7</v>
      </c>
      <c r="J1" s="1640" t="s">
        <v>8</v>
      </c>
      <c r="K1" s="1640" t="s">
        <v>2343</v>
      </c>
      <c r="L1" s="1640" t="s">
        <v>10</v>
      </c>
    </row>
    <row r="2" ht="22.5" customHeight="1">
      <c r="A2" s="1622" t="s">
        <v>383</v>
      </c>
      <c r="B2" s="1644" t="s">
        <v>492</v>
      </c>
      <c r="C2" s="76">
        <v>75.0</v>
      </c>
      <c r="D2" s="76">
        <v>3.0</v>
      </c>
      <c r="E2" s="73">
        <v>0.04</v>
      </c>
      <c r="F2" s="28">
        <v>0.0</v>
      </c>
      <c r="G2" s="1647">
        <v>0.0</v>
      </c>
      <c r="H2" s="73">
        <v>0.0</v>
      </c>
      <c r="I2" s="28">
        <v>0.0</v>
      </c>
      <c r="J2" s="77">
        <v>4.0</v>
      </c>
      <c r="K2" s="73">
        <v>0.056338028169014086</v>
      </c>
      <c r="L2" s="1648" t="s">
        <v>2368</v>
      </c>
    </row>
    <row r="3" ht="22.5" customHeight="1">
      <c r="A3" s="1622" t="s">
        <v>383</v>
      </c>
      <c r="B3" s="1644" t="s">
        <v>488</v>
      </c>
      <c r="C3" s="76">
        <v>274.0</v>
      </c>
      <c r="D3" s="76">
        <v>2.0</v>
      </c>
      <c r="E3" s="73">
        <v>0.0072992700729927005</v>
      </c>
      <c r="F3" s="28">
        <v>0.0</v>
      </c>
      <c r="G3" s="1647">
        <v>9.0</v>
      </c>
      <c r="H3" s="73">
        <v>0.032846715328467155</v>
      </c>
      <c r="I3" s="28">
        <v>0.0</v>
      </c>
      <c r="J3" s="77">
        <v>5.0</v>
      </c>
      <c r="K3" s="73">
        <v>0.018726591760299626</v>
      </c>
      <c r="L3" s="1648" t="s">
        <v>2372</v>
      </c>
    </row>
    <row r="4" ht="22.5" customHeight="1">
      <c r="A4" s="1622" t="s">
        <v>383</v>
      </c>
      <c r="B4" s="1644" t="s">
        <v>500</v>
      </c>
      <c r="C4" s="76">
        <v>82.0</v>
      </c>
      <c r="D4" s="76">
        <v>2.0</v>
      </c>
      <c r="E4" s="73">
        <v>0.024390243902439025</v>
      </c>
      <c r="F4" s="28">
        <v>0.0</v>
      </c>
      <c r="G4" s="1647">
        <v>0.0</v>
      </c>
      <c r="H4" s="73">
        <v>0.0</v>
      </c>
      <c r="I4" s="28">
        <v>0.0</v>
      </c>
      <c r="J4" s="77">
        <v>0.0</v>
      </c>
      <c r="K4" s="73">
        <v>0.0</v>
      </c>
      <c r="L4" s="1648" t="s">
        <v>2377</v>
      </c>
    </row>
    <row r="5" ht="22.5" customHeight="1">
      <c r="A5" s="1622" t="s">
        <v>383</v>
      </c>
      <c r="B5" s="1644" t="s">
        <v>493</v>
      </c>
      <c r="C5" s="76">
        <v>134.0</v>
      </c>
      <c r="D5" s="76">
        <v>2.0</v>
      </c>
      <c r="E5" s="73">
        <v>0.014925373134328358</v>
      </c>
      <c r="F5" s="28">
        <v>0.0</v>
      </c>
      <c r="G5" s="1647">
        <v>2.0</v>
      </c>
      <c r="H5" s="73">
        <v>0.014925373134328358</v>
      </c>
      <c r="I5" s="28">
        <v>0.0</v>
      </c>
      <c r="J5" s="77">
        <v>7.0</v>
      </c>
      <c r="K5" s="73">
        <v>0.05303030303030303</v>
      </c>
      <c r="L5" s="1648" t="s">
        <v>2381</v>
      </c>
    </row>
    <row r="6" ht="22.5" customHeight="1">
      <c r="A6" s="1622" t="s">
        <v>383</v>
      </c>
      <c r="B6" s="1644" t="s">
        <v>490</v>
      </c>
      <c r="C6" s="76">
        <v>176.0</v>
      </c>
      <c r="D6" s="76">
        <v>1.0</v>
      </c>
      <c r="E6" s="73">
        <v>0.005681818181818182</v>
      </c>
      <c r="F6" s="28">
        <v>0.0</v>
      </c>
      <c r="G6" s="1647">
        <v>4.0</v>
      </c>
      <c r="H6" s="73">
        <v>0.022727272727272728</v>
      </c>
      <c r="I6" s="28">
        <v>0.0</v>
      </c>
      <c r="J6" s="77">
        <v>6.0</v>
      </c>
      <c r="K6" s="73">
        <v>0.03529411764705882</v>
      </c>
      <c r="L6" s="1655" t="s">
        <v>2385</v>
      </c>
    </row>
    <row r="7" ht="22.5" customHeight="1">
      <c r="A7" s="1622" t="s">
        <v>383</v>
      </c>
      <c r="B7" s="1644" t="s">
        <v>2262</v>
      </c>
      <c r="C7" s="76">
        <v>80.0</v>
      </c>
      <c r="D7" s="76">
        <v>1.0</v>
      </c>
      <c r="E7" s="73">
        <v>0.0125</v>
      </c>
      <c r="F7" s="28">
        <v>0.0</v>
      </c>
      <c r="G7" s="1647">
        <v>1.0</v>
      </c>
      <c r="H7" s="73">
        <v>0.0125</v>
      </c>
      <c r="I7" s="28">
        <v>0.0</v>
      </c>
      <c r="J7" s="77">
        <v>2.0</v>
      </c>
      <c r="K7" s="73">
        <v>0.02631578947368421</v>
      </c>
      <c r="L7" s="1648" t="s">
        <v>2389</v>
      </c>
    </row>
    <row r="8" ht="22.5" customHeight="1">
      <c r="A8" s="1622" t="s">
        <v>383</v>
      </c>
      <c r="B8" s="1644" t="s">
        <v>494</v>
      </c>
      <c r="C8" s="76">
        <v>94.0</v>
      </c>
      <c r="D8" s="76">
        <v>3.0</v>
      </c>
      <c r="E8" s="73">
        <v>0.031914893617021274</v>
      </c>
      <c r="F8" s="28">
        <v>0.0</v>
      </c>
      <c r="G8" s="1647">
        <v>5.0</v>
      </c>
      <c r="H8" s="73">
        <v>0.05319148936170213</v>
      </c>
      <c r="I8" s="28">
        <v>0.0</v>
      </c>
      <c r="J8" s="77">
        <v>2.0</v>
      </c>
      <c r="K8" s="73">
        <v>0.022222222222222223</v>
      </c>
      <c r="L8" s="1648" t="s">
        <v>2392</v>
      </c>
    </row>
    <row r="9" ht="22.5" customHeight="1">
      <c r="A9" s="1622" t="s">
        <v>383</v>
      </c>
      <c r="B9" s="1644" t="s">
        <v>502</v>
      </c>
      <c r="C9" s="76">
        <v>69.0</v>
      </c>
      <c r="D9" s="76">
        <v>2.0</v>
      </c>
      <c r="E9" s="73">
        <v>0.028985507246376812</v>
      </c>
      <c r="F9" s="28">
        <v>0.0</v>
      </c>
      <c r="G9" s="1647">
        <v>3.0</v>
      </c>
      <c r="H9" s="73">
        <v>0.043478260869565216</v>
      </c>
      <c r="I9" s="28">
        <v>0.0</v>
      </c>
      <c r="J9" s="77">
        <v>1.0</v>
      </c>
      <c r="K9" s="73">
        <v>0.015151515151515152</v>
      </c>
      <c r="L9" s="1648" t="s">
        <v>2394</v>
      </c>
    </row>
    <row r="10" ht="22.5" customHeight="1">
      <c r="A10" s="1622" t="s">
        <v>383</v>
      </c>
      <c r="B10" s="1644" t="s">
        <v>508</v>
      </c>
      <c r="C10" s="76">
        <v>29.0</v>
      </c>
      <c r="D10" s="76">
        <v>0.0</v>
      </c>
      <c r="E10" s="73">
        <v>0.0</v>
      </c>
      <c r="F10" s="28">
        <v>0.0</v>
      </c>
      <c r="G10" s="1647">
        <v>1.0</v>
      </c>
      <c r="H10" s="73">
        <v>0.034482758620689655</v>
      </c>
      <c r="I10" s="28">
        <v>0.0</v>
      </c>
      <c r="J10" s="77">
        <v>3.0</v>
      </c>
      <c r="K10" s="73">
        <v>0.10714285714285714</v>
      </c>
      <c r="L10" s="1648" t="s">
        <v>2397</v>
      </c>
    </row>
    <row r="11" ht="22.5" customHeight="1">
      <c r="A11" s="1622" t="s">
        <v>383</v>
      </c>
      <c r="B11" s="1644" t="s">
        <v>504</v>
      </c>
      <c r="C11" s="76">
        <v>53.0</v>
      </c>
      <c r="D11" s="76">
        <v>1.0</v>
      </c>
      <c r="E11" s="73">
        <v>0.018867924528301886</v>
      </c>
      <c r="F11" s="28">
        <v>0.0</v>
      </c>
      <c r="G11" s="1647">
        <v>1.0</v>
      </c>
      <c r="H11" s="73">
        <v>0.018867924528301886</v>
      </c>
      <c r="I11" s="28">
        <v>0.0</v>
      </c>
      <c r="J11" s="77">
        <v>2.0</v>
      </c>
      <c r="K11" s="73">
        <v>0.038461538461538464</v>
      </c>
      <c r="L11" s="1648" t="s">
        <v>2400</v>
      </c>
    </row>
    <row r="12" ht="22.5" customHeight="1">
      <c r="A12" s="1622" t="s">
        <v>383</v>
      </c>
      <c r="B12" s="1644" t="s">
        <v>498</v>
      </c>
      <c r="C12" s="76">
        <v>114.0</v>
      </c>
      <c r="D12" s="76">
        <v>5.0</v>
      </c>
      <c r="E12" s="73">
        <v>0.043859649122807015</v>
      </c>
      <c r="F12" s="28">
        <v>0.0</v>
      </c>
      <c r="G12" s="1647">
        <v>0.0</v>
      </c>
      <c r="H12" s="73">
        <v>0.0</v>
      </c>
      <c r="I12" s="28">
        <v>0.0</v>
      </c>
      <c r="J12" s="77">
        <v>6.0</v>
      </c>
      <c r="K12" s="73">
        <v>0.057692307692307696</v>
      </c>
      <c r="L12" s="1648" t="s">
        <v>2404</v>
      </c>
    </row>
    <row r="13" ht="22.5" customHeight="1">
      <c r="A13" s="1622" t="s">
        <v>383</v>
      </c>
      <c r="B13" s="1644" t="s">
        <v>506</v>
      </c>
      <c r="C13" s="76">
        <v>59.0</v>
      </c>
      <c r="D13" s="76">
        <v>2.0</v>
      </c>
      <c r="E13" s="73">
        <v>0.03389830508474576</v>
      </c>
      <c r="F13" s="28">
        <v>0.0</v>
      </c>
      <c r="G13" s="1647">
        <v>0.0</v>
      </c>
      <c r="H13" s="73">
        <v>0.0</v>
      </c>
      <c r="I13" s="28">
        <v>0.0</v>
      </c>
      <c r="J13" s="77">
        <v>4.0</v>
      </c>
      <c r="K13" s="73">
        <v>0.07017543859649122</v>
      </c>
      <c r="L13" s="1648" t="s">
        <v>2410</v>
      </c>
    </row>
    <row r="14" ht="22.5" customHeight="1">
      <c r="A14" s="1622" t="s">
        <v>383</v>
      </c>
      <c r="B14" s="1644" t="s">
        <v>501</v>
      </c>
      <c r="C14" s="76">
        <v>68.0</v>
      </c>
      <c r="D14" s="76">
        <v>1.0</v>
      </c>
      <c r="E14" s="73">
        <v>0.014705882352941176</v>
      </c>
      <c r="F14" s="28">
        <v>0.0</v>
      </c>
      <c r="G14" s="1647">
        <v>0.0</v>
      </c>
      <c r="H14" s="73">
        <v>0.0</v>
      </c>
      <c r="I14" s="28">
        <v>0.0</v>
      </c>
      <c r="J14" s="77">
        <v>3.0</v>
      </c>
      <c r="K14" s="73">
        <v>0.046153846153846156</v>
      </c>
      <c r="L14" s="1648" t="s">
        <v>2413</v>
      </c>
    </row>
    <row r="15" ht="22.5" customHeight="1">
      <c r="A15" s="1622" t="s">
        <v>383</v>
      </c>
      <c r="B15" s="1644" t="s">
        <v>496</v>
      </c>
      <c r="C15" s="76">
        <v>103.0</v>
      </c>
      <c r="D15" s="76">
        <v>1.0</v>
      </c>
      <c r="E15" s="73">
        <v>0.009708737864077669</v>
      </c>
      <c r="F15" s="28">
        <v>0.0</v>
      </c>
      <c r="G15" s="1647">
        <v>3.0</v>
      </c>
      <c r="H15" s="73">
        <v>0.02912621359223301</v>
      </c>
      <c r="I15" s="28">
        <v>0.0</v>
      </c>
      <c r="J15" s="77">
        <v>1.0</v>
      </c>
      <c r="K15" s="73">
        <v>0.009900990099009901</v>
      </c>
      <c r="L15" s="1648" t="s">
        <v>2419</v>
      </c>
    </row>
    <row r="16" ht="22.5" customHeight="1">
      <c r="A16" s="1622" t="s">
        <v>383</v>
      </c>
      <c r="B16" s="1644" t="s">
        <v>499</v>
      </c>
      <c r="C16" s="76">
        <v>88.0</v>
      </c>
      <c r="D16" s="76">
        <v>1.0</v>
      </c>
      <c r="E16" s="73">
        <v>0.011363636363636364</v>
      </c>
      <c r="F16" s="28">
        <v>0.0</v>
      </c>
      <c r="G16" s="1647">
        <v>1.0</v>
      </c>
      <c r="H16" s="73">
        <v>0.011363636363636364</v>
      </c>
      <c r="I16" s="28">
        <v>0.0</v>
      </c>
      <c r="J16" s="77">
        <v>3.0</v>
      </c>
      <c r="K16" s="73">
        <v>0.034482758620689655</v>
      </c>
      <c r="L16" s="1648" t="s">
        <v>2425</v>
      </c>
    </row>
    <row r="17" ht="22.5" customHeight="1">
      <c r="A17" s="1622" t="s">
        <v>383</v>
      </c>
      <c r="B17" s="1644" t="s">
        <v>507</v>
      </c>
      <c r="C17" s="76">
        <v>65.0</v>
      </c>
      <c r="D17" s="76">
        <v>0.0</v>
      </c>
      <c r="E17" s="73">
        <v>0.0</v>
      </c>
      <c r="F17" s="28">
        <v>0.0</v>
      </c>
      <c r="G17" s="1647">
        <v>2.0</v>
      </c>
      <c r="H17" s="73">
        <v>0.03076923076923077</v>
      </c>
      <c r="I17" s="28">
        <v>0.0</v>
      </c>
      <c r="J17" s="77">
        <v>2.0</v>
      </c>
      <c r="K17" s="73">
        <v>0.03076923076923077</v>
      </c>
      <c r="L17" s="1648" t="s">
        <v>2430</v>
      </c>
    </row>
    <row r="18" ht="22.5" customHeight="1">
      <c r="A18" s="1622" t="s">
        <v>383</v>
      </c>
      <c r="B18" s="1644" t="s">
        <v>503</v>
      </c>
      <c r="C18" s="76">
        <v>47.0</v>
      </c>
      <c r="D18" s="76">
        <v>0.0</v>
      </c>
      <c r="E18" s="73">
        <v>0.0</v>
      </c>
      <c r="F18" s="28">
        <v>0.0</v>
      </c>
      <c r="G18" s="1647">
        <v>2.0</v>
      </c>
      <c r="H18" s="73">
        <v>0.0425531914893617</v>
      </c>
      <c r="I18" s="28">
        <v>0.0</v>
      </c>
      <c r="J18" s="77">
        <v>0.0</v>
      </c>
      <c r="K18" s="73">
        <v>0.0</v>
      </c>
      <c r="L18" s="1655" t="s">
        <v>2434</v>
      </c>
    </row>
    <row r="19" ht="22.5" customHeight="1">
      <c r="A19" s="1622" t="s">
        <v>383</v>
      </c>
      <c r="B19" s="1644" t="s">
        <v>505</v>
      </c>
      <c r="C19" s="76">
        <v>41.0</v>
      </c>
      <c r="D19" s="76">
        <v>1.0</v>
      </c>
      <c r="E19" s="73">
        <v>0.024390243902439025</v>
      </c>
      <c r="F19" s="28">
        <v>0.0</v>
      </c>
      <c r="G19" s="1647">
        <v>1.0</v>
      </c>
      <c r="H19" s="73">
        <v>0.024390243902439025</v>
      </c>
      <c r="I19" s="28">
        <v>0.0</v>
      </c>
      <c r="J19" s="77">
        <v>1.0</v>
      </c>
      <c r="K19" s="73">
        <v>0.025</v>
      </c>
      <c r="L19" s="1648" t="s">
        <v>1879</v>
      </c>
    </row>
    <row r="20" ht="22.5" customHeight="1">
      <c r="A20" s="1622" t="s">
        <v>383</v>
      </c>
      <c r="B20" s="1644" t="s">
        <v>489</v>
      </c>
      <c r="C20" s="76">
        <v>329.0</v>
      </c>
      <c r="D20" s="76">
        <v>3.0</v>
      </c>
      <c r="E20" s="73">
        <v>0.00911854103343465</v>
      </c>
      <c r="F20" s="28">
        <v>0.0</v>
      </c>
      <c r="G20" s="1647">
        <v>4.0</v>
      </c>
      <c r="H20" s="73">
        <v>0.0121580547112462</v>
      </c>
      <c r="I20" s="28">
        <v>0.0</v>
      </c>
      <c r="J20" s="77">
        <v>6.0</v>
      </c>
      <c r="K20" s="73">
        <v>0.01904761904761905</v>
      </c>
      <c r="L20" s="1648" t="s">
        <v>2440</v>
      </c>
    </row>
    <row r="21" ht="22.5" customHeight="1">
      <c r="A21" s="1622" t="s">
        <v>383</v>
      </c>
      <c r="B21" s="1644" t="s">
        <v>495</v>
      </c>
      <c r="C21" s="76">
        <v>106.0</v>
      </c>
      <c r="D21" s="76">
        <v>2.0</v>
      </c>
      <c r="E21" s="73">
        <v>0.018867924528301886</v>
      </c>
      <c r="F21" s="28">
        <v>0.0</v>
      </c>
      <c r="G21" s="1647">
        <v>8.0</v>
      </c>
      <c r="H21" s="73">
        <v>0.07547169811320754</v>
      </c>
      <c r="I21" s="28">
        <v>0.0</v>
      </c>
      <c r="J21" s="77">
        <v>1.0</v>
      </c>
      <c r="K21" s="73">
        <v>0.009900990099009901</v>
      </c>
      <c r="L21" s="1699" t="s">
        <v>2443</v>
      </c>
    </row>
    <row r="22" ht="22.5" customHeight="1">
      <c r="A22" s="1622" t="s">
        <v>383</v>
      </c>
      <c r="B22" s="1644" t="s">
        <v>491</v>
      </c>
      <c r="C22" s="76">
        <v>158.0</v>
      </c>
      <c r="D22" s="76">
        <v>0.0</v>
      </c>
      <c r="E22" s="73">
        <v>0.0</v>
      </c>
      <c r="F22" s="28">
        <v>0.0</v>
      </c>
      <c r="G22" s="1647">
        <v>5.0</v>
      </c>
      <c r="H22" s="73">
        <v>0.03164556962025317</v>
      </c>
      <c r="I22" s="28">
        <v>0.0</v>
      </c>
      <c r="J22" s="77">
        <v>6.0</v>
      </c>
      <c r="K22" s="73">
        <v>0.038461538461538464</v>
      </c>
      <c r="L22" s="1648" t="s">
        <v>1879</v>
      </c>
    </row>
    <row r="23" ht="22.5" hidden="1" customHeight="1">
      <c r="A23" s="1622" t="s">
        <v>11</v>
      </c>
      <c r="B23" s="1702" t="s">
        <v>15</v>
      </c>
      <c r="C23" s="1703">
        <v>440.0</v>
      </c>
      <c r="D23" s="1703" t="s">
        <v>17</v>
      </c>
      <c r="E23" s="1703" t="s">
        <v>17</v>
      </c>
      <c r="F23" s="1704" t="s">
        <v>17</v>
      </c>
      <c r="G23" s="1703">
        <v>11.0</v>
      </c>
      <c r="H23" s="1627">
        <v>0.025</v>
      </c>
      <c r="I23" s="1706" t="s">
        <v>2448</v>
      </c>
      <c r="J23" s="1703">
        <v>17.0</v>
      </c>
      <c r="K23" s="1627">
        <v>0.0424</v>
      </c>
      <c r="L23" s="342">
        <v>0.8821979797979798</v>
      </c>
    </row>
    <row r="24" ht="22.5" hidden="1" customHeight="1">
      <c r="A24" s="1622" t="s">
        <v>11</v>
      </c>
      <c r="B24" s="1702" t="s">
        <v>13</v>
      </c>
      <c r="C24" s="1708">
        <v>1345.0</v>
      </c>
      <c r="D24" s="1708" t="s">
        <v>17</v>
      </c>
      <c r="E24" s="1703" t="s">
        <v>17</v>
      </c>
      <c r="F24" s="1704" t="s">
        <v>17</v>
      </c>
      <c r="G24" s="1703">
        <v>31.0</v>
      </c>
      <c r="H24" s="1627">
        <v>0.023</v>
      </c>
      <c r="I24" s="1706" t="s">
        <v>2452</v>
      </c>
      <c r="J24" s="1703">
        <v>11.0</v>
      </c>
      <c r="K24" s="1627">
        <v>0.0087</v>
      </c>
      <c r="L24" s="342">
        <v>0.9864087301587302</v>
      </c>
    </row>
    <row r="25" ht="22.5" hidden="1" customHeight="1">
      <c r="A25" s="1622" t="s">
        <v>11</v>
      </c>
      <c r="B25" s="1702" t="s">
        <v>27</v>
      </c>
      <c r="C25" s="1708">
        <v>723.0</v>
      </c>
      <c r="D25" s="1708" t="s">
        <v>17</v>
      </c>
      <c r="E25" s="1703" t="s">
        <v>17</v>
      </c>
      <c r="F25" s="1704" t="s">
        <v>17</v>
      </c>
      <c r="G25" s="1703">
        <v>10.0</v>
      </c>
      <c r="H25" s="1627">
        <v>0.0138</v>
      </c>
      <c r="I25" s="1706" t="s">
        <v>2457</v>
      </c>
      <c r="J25" s="1703">
        <v>9.0</v>
      </c>
      <c r="K25" s="1627">
        <v>0.0134</v>
      </c>
      <c r="L25" s="342">
        <v>0.996031746031746</v>
      </c>
    </row>
    <row r="26" ht="22.5" hidden="1" customHeight="1">
      <c r="A26" s="1622" t="s">
        <v>11</v>
      </c>
      <c r="B26" s="1702" t="s">
        <v>33</v>
      </c>
      <c r="C26" s="1708">
        <v>853.0</v>
      </c>
      <c r="D26" s="1708" t="s">
        <v>17</v>
      </c>
      <c r="E26" s="1703" t="s">
        <v>17</v>
      </c>
      <c r="F26" s="1704" t="s">
        <v>17</v>
      </c>
      <c r="G26" s="1703">
        <v>9.0</v>
      </c>
      <c r="H26" s="1627">
        <v>0.0106</v>
      </c>
      <c r="I26" s="1706" t="s">
        <v>2459</v>
      </c>
      <c r="J26" s="1703">
        <v>27.0</v>
      </c>
      <c r="K26" s="1627">
        <v>0.034</v>
      </c>
      <c r="L26" s="342">
        <v>0.9797420634920635</v>
      </c>
    </row>
    <row r="27" ht="22.5" hidden="1" customHeight="1">
      <c r="A27" s="1622" t="s">
        <v>11</v>
      </c>
      <c r="B27" s="1702" t="s">
        <v>19</v>
      </c>
      <c r="C27" s="1708">
        <v>1258.0</v>
      </c>
      <c r="D27" s="1708">
        <v>1.0</v>
      </c>
      <c r="E27" s="1627">
        <v>8.0E-4</v>
      </c>
      <c r="F27" s="1704" t="s">
        <v>41</v>
      </c>
      <c r="G27" s="1703">
        <v>24.0</v>
      </c>
      <c r="H27" s="1627">
        <v>0.0191</v>
      </c>
      <c r="I27" s="1706" t="s">
        <v>2462</v>
      </c>
      <c r="J27" s="1703">
        <v>11.0</v>
      </c>
      <c r="K27" s="1627">
        <v>0.009</v>
      </c>
      <c r="L27" s="342">
        <v>1.0</v>
      </c>
    </row>
    <row r="28" ht="22.5" hidden="1" customHeight="1">
      <c r="A28" s="1622" t="s">
        <v>11</v>
      </c>
      <c r="B28" s="1702" t="s">
        <v>46</v>
      </c>
      <c r="C28" s="1708">
        <v>85.0</v>
      </c>
      <c r="D28" s="1708">
        <v>1.0</v>
      </c>
      <c r="E28" s="1627">
        <v>0.0116</v>
      </c>
      <c r="F28" s="1704" t="s">
        <v>2464</v>
      </c>
      <c r="G28" s="1703">
        <v>4.0</v>
      </c>
      <c r="H28" s="1627">
        <v>0.0471</v>
      </c>
      <c r="I28" s="1706" t="s">
        <v>2466</v>
      </c>
      <c r="J28" s="1703">
        <v>3.0</v>
      </c>
      <c r="K28" s="1627">
        <v>0.0375</v>
      </c>
      <c r="L28" s="342">
        <v>0.9822089947089947</v>
      </c>
    </row>
    <row r="29" ht="22.5" hidden="1" customHeight="1">
      <c r="A29" s="1622" t="s">
        <v>11</v>
      </c>
      <c r="B29" s="1702" t="s">
        <v>50</v>
      </c>
      <c r="C29" s="1703">
        <v>460.0</v>
      </c>
      <c r="D29" s="1703">
        <v>1.0</v>
      </c>
      <c r="E29" s="1627">
        <v>0.0022</v>
      </c>
      <c r="F29" s="1704" t="s">
        <v>1602</v>
      </c>
      <c r="G29" s="1703">
        <v>11.0</v>
      </c>
      <c r="H29" s="1627">
        <v>0.0261</v>
      </c>
      <c r="I29" s="1706" t="s">
        <v>2474</v>
      </c>
      <c r="J29" s="1703">
        <v>4.0</v>
      </c>
      <c r="K29" s="1627">
        <v>0.0101</v>
      </c>
      <c r="L29" s="342">
        <v>0.9930555555555556</v>
      </c>
    </row>
    <row r="30" ht="22.5" hidden="1" customHeight="1">
      <c r="A30" s="1622" t="s">
        <v>11</v>
      </c>
      <c r="B30" s="1702" t="s">
        <v>58</v>
      </c>
      <c r="C30" s="1708">
        <v>564.0</v>
      </c>
      <c r="D30" s="1708" t="s">
        <v>17</v>
      </c>
      <c r="E30" s="1703" t="s">
        <v>17</v>
      </c>
      <c r="F30" s="1704" t="s">
        <v>17</v>
      </c>
      <c r="G30" s="1703">
        <v>15.0</v>
      </c>
      <c r="H30" s="1627">
        <v>0.0266</v>
      </c>
      <c r="I30" s="1706" t="s">
        <v>2479</v>
      </c>
      <c r="J30" s="1703">
        <v>6.0</v>
      </c>
      <c r="K30" s="1627">
        <v>0.0114</v>
      </c>
      <c r="L30" s="342">
        <v>0.9645656565656566</v>
      </c>
    </row>
    <row r="31" ht="22.5" hidden="1" customHeight="1">
      <c r="A31" s="1622" t="s">
        <v>11</v>
      </c>
      <c r="B31" s="1702" t="s">
        <v>64</v>
      </c>
      <c r="C31" s="1708">
        <v>392.0</v>
      </c>
      <c r="D31" s="1708" t="s">
        <v>17</v>
      </c>
      <c r="E31" s="1703" t="s">
        <v>17</v>
      </c>
      <c r="F31" s="1704" t="s">
        <v>17</v>
      </c>
      <c r="G31" s="1703">
        <v>2.0</v>
      </c>
      <c r="H31" s="1627">
        <v>0.0051</v>
      </c>
      <c r="I31" s="1706" t="s">
        <v>2485</v>
      </c>
      <c r="J31" s="1703">
        <v>3.0</v>
      </c>
      <c r="K31" s="1627">
        <v>0.0082</v>
      </c>
      <c r="L31" s="342">
        <v>0.9957837301587302</v>
      </c>
    </row>
    <row r="32" ht="22.5" hidden="1" customHeight="1">
      <c r="A32" s="1622" t="s">
        <v>11</v>
      </c>
      <c r="B32" s="1702" t="s">
        <v>77</v>
      </c>
      <c r="C32" s="1708">
        <v>444.0</v>
      </c>
      <c r="D32" s="1708" t="s">
        <v>17</v>
      </c>
      <c r="E32" s="1703" t="s">
        <v>17</v>
      </c>
      <c r="F32" s="1704" t="s">
        <v>17</v>
      </c>
      <c r="G32" s="1703">
        <v>12.0</v>
      </c>
      <c r="H32" s="1627">
        <v>0.027</v>
      </c>
      <c r="I32" s="1706" t="s">
        <v>2490</v>
      </c>
      <c r="J32" s="1703">
        <v>4.0</v>
      </c>
      <c r="K32" s="1627">
        <v>0.0095</v>
      </c>
      <c r="L32" s="342">
        <v>0.996031746031746</v>
      </c>
    </row>
    <row r="33" ht="22.5" hidden="1" customHeight="1">
      <c r="A33" s="1622" t="s">
        <v>11</v>
      </c>
      <c r="B33" s="1702" t="s">
        <v>82</v>
      </c>
      <c r="C33" s="1708">
        <v>480.0</v>
      </c>
      <c r="D33" s="1708" t="s">
        <v>17</v>
      </c>
      <c r="E33" s="1703" t="s">
        <v>17</v>
      </c>
      <c r="F33" s="1704" t="s">
        <v>17</v>
      </c>
      <c r="G33" s="1703">
        <v>3.0</v>
      </c>
      <c r="H33" s="1627">
        <v>0.0063</v>
      </c>
      <c r="I33" s="1706" t="s">
        <v>2496</v>
      </c>
      <c r="J33" s="1703">
        <v>14.0</v>
      </c>
      <c r="K33" s="1627">
        <v>0.031</v>
      </c>
      <c r="L33" s="342">
        <v>0.9878600823045267</v>
      </c>
    </row>
    <row r="34" ht="22.5" hidden="1" customHeight="1">
      <c r="A34" s="1622" t="s">
        <v>11</v>
      </c>
      <c r="B34" s="1702" t="s">
        <v>90</v>
      </c>
      <c r="C34" s="1703">
        <v>486.0</v>
      </c>
      <c r="D34" s="1703" t="s">
        <v>17</v>
      </c>
      <c r="E34" s="1703" t="s">
        <v>17</v>
      </c>
      <c r="F34" s="1704" t="s">
        <v>17</v>
      </c>
      <c r="G34" s="1703">
        <v>5.0</v>
      </c>
      <c r="H34" s="1627">
        <v>0.0103</v>
      </c>
      <c r="I34" s="1706" t="s">
        <v>2501</v>
      </c>
      <c r="J34" s="1703">
        <v>3.0</v>
      </c>
      <c r="K34" s="1627">
        <v>0.0066</v>
      </c>
      <c r="L34" s="342">
        <v>0.9920815295815296</v>
      </c>
    </row>
    <row r="35" ht="22.5" hidden="1" customHeight="1">
      <c r="A35" s="1622" t="s">
        <v>11</v>
      </c>
      <c r="B35" s="1702" t="s">
        <v>94</v>
      </c>
      <c r="C35" s="1708">
        <v>461.0</v>
      </c>
      <c r="D35" s="1708" t="s">
        <v>17</v>
      </c>
      <c r="E35" s="1703" t="s">
        <v>17</v>
      </c>
      <c r="F35" s="1704" t="s">
        <v>17</v>
      </c>
      <c r="G35" s="1703">
        <v>13.0</v>
      </c>
      <c r="H35" s="1627">
        <v>0.0282</v>
      </c>
      <c r="I35" s="1706" t="s">
        <v>2507</v>
      </c>
      <c r="J35" s="1703">
        <v>3.0</v>
      </c>
      <c r="K35" s="1627">
        <v>0.0073</v>
      </c>
      <c r="L35" s="342">
        <v>0.9839285714285715</v>
      </c>
    </row>
    <row r="36" ht="22.5" hidden="1" customHeight="1">
      <c r="A36" s="1622" t="s">
        <v>11</v>
      </c>
      <c r="B36" s="1702" t="s">
        <v>39</v>
      </c>
      <c r="C36" s="1703">
        <v>882.0</v>
      </c>
      <c r="D36" s="1703">
        <v>1.0</v>
      </c>
      <c r="E36" s="1627">
        <v>0.0011</v>
      </c>
      <c r="F36" s="1704" t="s">
        <v>277</v>
      </c>
      <c r="G36" s="1703">
        <v>28.0</v>
      </c>
      <c r="H36" s="1627">
        <v>0.0317</v>
      </c>
      <c r="I36" s="1706" t="s">
        <v>2513</v>
      </c>
      <c r="J36" s="1703">
        <v>16.0</v>
      </c>
      <c r="K36" s="1627">
        <v>0.02</v>
      </c>
      <c r="L36" s="342">
        <v>0.9984126984126984</v>
      </c>
    </row>
    <row r="37" ht="22.5" hidden="1" customHeight="1">
      <c r="A37" s="1622" t="s">
        <v>11</v>
      </c>
      <c r="B37" s="1702" t="s">
        <v>104</v>
      </c>
      <c r="C37" s="1703">
        <v>578.0</v>
      </c>
      <c r="D37" s="1703">
        <v>1.0</v>
      </c>
      <c r="E37" s="1627">
        <v>0.0073</v>
      </c>
      <c r="F37" s="1704" t="s">
        <v>2520</v>
      </c>
      <c r="G37" s="1703">
        <v>2.0</v>
      </c>
      <c r="H37" s="1703" t="s">
        <v>17</v>
      </c>
      <c r="I37" s="1706" t="s">
        <v>2356</v>
      </c>
      <c r="J37" s="1703" t="s">
        <v>17</v>
      </c>
      <c r="K37" s="1703" t="s">
        <v>17</v>
      </c>
      <c r="L37" s="342">
        <v>0.9772321428571429</v>
      </c>
    </row>
    <row r="38" ht="22.5" hidden="1" customHeight="1">
      <c r="A38" s="1622" t="s">
        <v>11</v>
      </c>
      <c r="B38" s="1702" t="s">
        <v>1989</v>
      </c>
      <c r="C38" s="1703">
        <v>570.0</v>
      </c>
      <c r="D38" s="1703" t="s">
        <v>17</v>
      </c>
      <c r="E38" s="1703" t="s">
        <v>17</v>
      </c>
      <c r="F38" s="1704" t="s">
        <v>17</v>
      </c>
      <c r="G38" s="1703">
        <v>14.0</v>
      </c>
      <c r="H38" s="1627">
        <v>0.0246</v>
      </c>
      <c r="I38" s="1706" t="s">
        <v>2529</v>
      </c>
      <c r="J38" s="1703">
        <v>1.0</v>
      </c>
      <c r="K38" s="1627">
        <v>0.0018</v>
      </c>
      <c r="L38" s="342">
        <v>1.0</v>
      </c>
    </row>
    <row r="39" ht="22.5" hidden="1" customHeight="1">
      <c r="A39" s="1622" t="s">
        <v>11</v>
      </c>
      <c r="B39" s="1702" t="s">
        <v>59</v>
      </c>
      <c r="C39" s="1703">
        <v>803.0</v>
      </c>
      <c r="D39" s="1703">
        <v>2.0</v>
      </c>
      <c r="E39" s="1627">
        <v>0.0025</v>
      </c>
      <c r="F39" s="1704" t="s">
        <v>2533</v>
      </c>
      <c r="G39" s="1703">
        <v>15.0</v>
      </c>
      <c r="H39" s="1627">
        <v>0.0187</v>
      </c>
      <c r="I39" s="1706" t="s">
        <v>2536</v>
      </c>
      <c r="J39" s="1703">
        <v>39.0</v>
      </c>
      <c r="K39" s="1627">
        <v>0.0502</v>
      </c>
      <c r="L39" s="342">
        <v>1.0</v>
      </c>
    </row>
    <row r="40" ht="22.5" hidden="1" customHeight="1">
      <c r="A40" s="1622" t="s">
        <v>11</v>
      </c>
      <c r="B40" s="1702" t="s">
        <v>114</v>
      </c>
      <c r="C40" s="1703">
        <v>395.0</v>
      </c>
      <c r="D40" s="1703" t="s">
        <v>17</v>
      </c>
      <c r="E40" s="1703" t="s">
        <v>17</v>
      </c>
      <c r="F40" s="1704" t="s">
        <v>17</v>
      </c>
      <c r="G40" s="1703">
        <v>9.0</v>
      </c>
      <c r="H40" s="1627">
        <v>0.0228</v>
      </c>
      <c r="I40" s="1706" t="s">
        <v>2544</v>
      </c>
      <c r="J40" s="1703">
        <v>12.0</v>
      </c>
      <c r="K40" s="1627">
        <v>0.0343</v>
      </c>
      <c r="L40" s="342">
        <v>0.9710918710918711</v>
      </c>
    </row>
    <row r="41" ht="22.5" hidden="1" customHeight="1">
      <c r="A41" s="1622" t="s">
        <v>11</v>
      </c>
      <c r="B41" s="1702" t="s">
        <v>119</v>
      </c>
      <c r="C41" s="1703">
        <v>325.0</v>
      </c>
      <c r="D41" s="1703" t="s">
        <v>17</v>
      </c>
      <c r="E41" s="1703" t="s">
        <v>17</v>
      </c>
      <c r="F41" s="1704" t="s">
        <v>17</v>
      </c>
      <c r="G41" s="1703">
        <v>5.0</v>
      </c>
      <c r="H41" s="1627">
        <v>0.0154</v>
      </c>
      <c r="I41" s="1706" t="s">
        <v>2548</v>
      </c>
      <c r="J41" s="1703">
        <v>12.0</v>
      </c>
      <c r="K41" s="1627">
        <v>0.0395</v>
      </c>
      <c r="L41" s="342">
        <v>0.9680041152263374</v>
      </c>
    </row>
    <row r="42" ht="22.5" hidden="1" customHeight="1">
      <c r="A42" s="1622" t="s">
        <v>11</v>
      </c>
      <c r="B42" s="1702" t="s">
        <v>126</v>
      </c>
      <c r="C42" s="1708">
        <v>284.0</v>
      </c>
      <c r="D42" s="1708">
        <v>1.0</v>
      </c>
      <c r="E42" s="1627">
        <v>0.0035</v>
      </c>
      <c r="F42" s="1704" t="s">
        <v>2001</v>
      </c>
      <c r="G42" s="1703">
        <v>5.0</v>
      </c>
      <c r="H42" s="1627">
        <v>0.0176</v>
      </c>
      <c r="I42" s="1706" t="s">
        <v>2550</v>
      </c>
      <c r="J42" s="1802"/>
      <c r="K42" s="1636"/>
      <c r="L42" s="342">
        <v>0.9555555555555555</v>
      </c>
    </row>
    <row r="43" ht="22.5" hidden="1" customHeight="1">
      <c r="A43" s="1622" t="s">
        <v>11</v>
      </c>
      <c r="B43" s="1702" t="s">
        <v>136</v>
      </c>
      <c r="C43" s="1703">
        <v>485.0</v>
      </c>
      <c r="D43" s="1703">
        <v>1.0</v>
      </c>
      <c r="E43" s="1627">
        <v>0.0021</v>
      </c>
      <c r="F43" s="1704" t="s">
        <v>2553</v>
      </c>
      <c r="G43" s="1703">
        <v>6.0</v>
      </c>
      <c r="H43" s="1627">
        <v>0.0124</v>
      </c>
      <c r="I43" s="1706" t="s">
        <v>2555</v>
      </c>
      <c r="J43" s="1703">
        <v>2.0</v>
      </c>
      <c r="K43" s="1627">
        <v>0.0043</v>
      </c>
      <c r="L43" s="342">
        <v>0.9923671497584541</v>
      </c>
    </row>
    <row r="44" ht="22.5" hidden="1" customHeight="1">
      <c r="A44" s="1622" t="s">
        <v>11</v>
      </c>
      <c r="B44" s="1702" t="s">
        <v>72</v>
      </c>
      <c r="C44" s="1708">
        <v>175.0</v>
      </c>
      <c r="D44" s="1708" t="s">
        <v>17</v>
      </c>
      <c r="E44" s="1703" t="s">
        <v>17</v>
      </c>
      <c r="F44" s="1704" t="s">
        <v>17</v>
      </c>
      <c r="G44" s="1703">
        <v>1.0</v>
      </c>
      <c r="H44" s="1627">
        <v>0.0</v>
      </c>
      <c r="I44" s="1706" t="s">
        <v>2203</v>
      </c>
      <c r="J44" s="1703">
        <v>5.0</v>
      </c>
      <c r="K44" s="1627">
        <v>0.0155</v>
      </c>
      <c r="L44" s="342">
        <v>0.996031746031746</v>
      </c>
    </row>
    <row r="45" ht="22.5" hidden="1" customHeight="1">
      <c r="A45" s="1622" t="s">
        <v>11</v>
      </c>
      <c r="B45" s="1702" t="s">
        <v>145</v>
      </c>
      <c r="C45" s="1708">
        <v>353.0</v>
      </c>
      <c r="D45" s="1708" t="s">
        <v>17</v>
      </c>
      <c r="E45" s="1703" t="s">
        <v>17</v>
      </c>
      <c r="F45" s="1704" t="s">
        <v>17</v>
      </c>
      <c r="G45" s="1703">
        <v>8.0</v>
      </c>
      <c r="H45" s="1627">
        <v>0.0227</v>
      </c>
      <c r="I45" s="1706" t="s">
        <v>2562</v>
      </c>
      <c r="J45" s="1703">
        <v>18.0</v>
      </c>
      <c r="K45" s="1627">
        <v>0.0542</v>
      </c>
      <c r="L45" s="342">
        <v>1.0</v>
      </c>
    </row>
    <row r="46" ht="22.5" hidden="1" customHeight="1">
      <c r="A46" s="1622" t="s">
        <v>11</v>
      </c>
      <c r="B46" s="1702" t="s">
        <v>85</v>
      </c>
      <c r="C46" s="1708">
        <v>535.0</v>
      </c>
      <c r="D46" s="1708" t="s">
        <v>17</v>
      </c>
      <c r="E46" s="1703" t="s">
        <v>17</v>
      </c>
      <c r="F46" s="1704" t="s">
        <v>17</v>
      </c>
      <c r="G46" s="1703">
        <v>12.0</v>
      </c>
      <c r="H46" s="1627">
        <v>0.0243</v>
      </c>
      <c r="I46" s="1706" t="s">
        <v>2565</v>
      </c>
      <c r="J46" s="1703">
        <v>10.0</v>
      </c>
      <c r="K46" s="1627">
        <v>0.0196</v>
      </c>
      <c r="L46" s="342">
        <v>0.973968253968254</v>
      </c>
    </row>
    <row r="47" ht="22.5" hidden="1" customHeight="1">
      <c r="A47" s="1622" t="s">
        <v>11</v>
      </c>
      <c r="B47" s="1702" t="s">
        <v>109</v>
      </c>
      <c r="C47" s="1703">
        <v>499.0</v>
      </c>
      <c r="D47" s="1703" t="s">
        <v>17</v>
      </c>
      <c r="E47" s="1703" t="s">
        <v>17</v>
      </c>
      <c r="F47" s="1704" t="s">
        <v>17</v>
      </c>
      <c r="G47" s="1703">
        <v>6.0</v>
      </c>
      <c r="H47" s="1627">
        <v>0.012</v>
      </c>
      <c r="I47" s="1706" t="s">
        <v>2569</v>
      </c>
      <c r="J47" s="1703">
        <v>9.0</v>
      </c>
      <c r="K47" s="1627">
        <v>0.0195</v>
      </c>
      <c r="L47" s="342">
        <v>0.984920634920635</v>
      </c>
    </row>
    <row r="48" ht="22.5" hidden="1" customHeight="1">
      <c r="A48" s="1622" t="s">
        <v>11</v>
      </c>
      <c r="B48" s="1702" t="s">
        <v>49</v>
      </c>
      <c r="C48" s="1703">
        <v>705.0</v>
      </c>
      <c r="D48" s="1703" t="s">
        <v>17</v>
      </c>
      <c r="E48" s="1703" t="s">
        <v>17</v>
      </c>
      <c r="F48" s="1704" t="s">
        <v>17</v>
      </c>
      <c r="G48" s="1703">
        <v>11.0</v>
      </c>
      <c r="H48" s="1627">
        <v>0.0156</v>
      </c>
      <c r="I48" s="1706" t="s">
        <v>2573</v>
      </c>
      <c r="J48" s="1703">
        <v>7.0</v>
      </c>
      <c r="K48" s="1627">
        <v>0.0107</v>
      </c>
      <c r="L48" s="342">
        <v>0.9800966183574878</v>
      </c>
    </row>
    <row r="49" ht="22.5" hidden="1" customHeight="1">
      <c r="A49" s="1622" t="s">
        <v>11</v>
      </c>
      <c r="B49" s="1702" t="s">
        <v>115</v>
      </c>
      <c r="C49" s="1708">
        <v>495.0</v>
      </c>
      <c r="D49" s="1708">
        <v>1.0</v>
      </c>
      <c r="E49" s="1627">
        <v>0.002</v>
      </c>
      <c r="F49" s="1704" t="s">
        <v>1018</v>
      </c>
      <c r="G49" s="1703">
        <v>3.0</v>
      </c>
      <c r="H49" s="1627">
        <v>0.0061</v>
      </c>
      <c r="I49" s="1706" t="s">
        <v>105</v>
      </c>
      <c r="J49" s="1703">
        <v>26.0</v>
      </c>
      <c r="K49" s="1627">
        <v>0.0576</v>
      </c>
      <c r="L49" s="342">
        <v>0.998015873015873</v>
      </c>
    </row>
    <row r="50" ht="22.5" hidden="1" customHeight="1">
      <c r="A50" s="1622" t="s">
        <v>11</v>
      </c>
      <c r="B50" s="1702" t="s">
        <v>45</v>
      </c>
      <c r="C50" s="1703">
        <v>766.0</v>
      </c>
      <c r="D50" s="1703">
        <v>1.0</v>
      </c>
      <c r="E50" s="1627">
        <v>0.0013</v>
      </c>
      <c r="F50" s="1704" t="s">
        <v>1676</v>
      </c>
      <c r="G50" s="1703">
        <v>9.0</v>
      </c>
      <c r="H50" s="1627">
        <v>0.0117</v>
      </c>
      <c r="I50" s="1706" t="s">
        <v>2580</v>
      </c>
      <c r="J50" s="1703">
        <v>21.0</v>
      </c>
      <c r="K50" s="1627">
        <v>0.0294</v>
      </c>
      <c r="L50" s="342">
        <v>0.9779124149659864</v>
      </c>
    </row>
    <row r="51" ht="22.5" hidden="1" customHeight="1">
      <c r="A51" s="1622" t="s">
        <v>11</v>
      </c>
      <c r="B51" s="1702" t="s">
        <v>170</v>
      </c>
      <c r="C51" s="1708">
        <v>313.0</v>
      </c>
      <c r="D51" s="1708" t="s">
        <v>17</v>
      </c>
      <c r="E51" s="1703" t="s">
        <v>17</v>
      </c>
      <c r="F51" s="1704" t="s">
        <v>17</v>
      </c>
      <c r="G51" s="1703">
        <v>6.0</v>
      </c>
      <c r="H51" s="1627">
        <v>0.0192</v>
      </c>
      <c r="I51" s="1706" t="s">
        <v>2585</v>
      </c>
      <c r="J51" s="1703">
        <v>14.0</v>
      </c>
      <c r="K51" s="1627">
        <v>0.0473</v>
      </c>
      <c r="L51" s="342">
        <v>0.9921626984126983</v>
      </c>
    </row>
    <row r="52" ht="22.5" hidden="1" customHeight="1">
      <c r="A52" s="1622" t="s">
        <v>11</v>
      </c>
      <c r="B52" s="1702" t="s">
        <v>123</v>
      </c>
      <c r="C52" s="1708">
        <v>458.0</v>
      </c>
      <c r="D52" s="1708" t="s">
        <v>17</v>
      </c>
      <c r="E52" s="1703" t="s">
        <v>17</v>
      </c>
      <c r="F52" s="1704" t="s">
        <v>17</v>
      </c>
      <c r="G52" s="1703">
        <v>10.0</v>
      </c>
      <c r="H52" s="1627">
        <v>0.0218</v>
      </c>
      <c r="I52" s="1706" t="s">
        <v>2588</v>
      </c>
      <c r="J52" s="1703">
        <v>5.0</v>
      </c>
      <c r="K52" s="1627">
        <v>0.0117</v>
      </c>
      <c r="L52" s="342">
        <v>0.9219907407407407</v>
      </c>
    </row>
    <row r="53" ht="22.5" hidden="1" customHeight="1">
      <c r="A53" s="1622" t="s">
        <v>11</v>
      </c>
      <c r="B53" s="1702" t="s">
        <v>96</v>
      </c>
      <c r="C53" s="1703">
        <v>395.0</v>
      </c>
      <c r="D53" s="1703">
        <v>1.0</v>
      </c>
      <c r="E53" s="1627">
        <v>0.0025</v>
      </c>
      <c r="F53" s="1704" t="s">
        <v>128</v>
      </c>
      <c r="G53" s="1703">
        <v>2.0</v>
      </c>
      <c r="H53" s="1627">
        <v>0.0</v>
      </c>
      <c r="I53" s="1706" t="s">
        <v>2590</v>
      </c>
      <c r="J53" s="1703">
        <v>6.0</v>
      </c>
      <c r="K53" s="1627">
        <v>0.0164</v>
      </c>
      <c r="L53" s="342">
        <v>0.9702674897119342</v>
      </c>
    </row>
    <row r="54" ht="22.5" hidden="1" customHeight="1">
      <c r="A54" s="1622" t="s">
        <v>11</v>
      </c>
      <c r="B54" s="1702" t="s">
        <v>156</v>
      </c>
      <c r="C54" s="1708">
        <v>447.0</v>
      </c>
      <c r="D54" s="1708" t="s">
        <v>17</v>
      </c>
      <c r="E54" s="1703" t="s">
        <v>17</v>
      </c>
      <c r="F54" s="1704" t="s">
        <v>17</v>
      </c>
      <c r="G54" s="1703">
        <v>7.0</v>
      </c>
      <c r="H54" s="1627">
        <v>0.0157</v>
      </c>
      <c r="I54" s="1706" t="s">
        <v>2596</v>
      </c>
      <c r="J54" s="1703">
        <v>7.0</v>
      </c>
      <c r="K54" s="1627">
        <v>0.0165</v>
      </c>
      <c r="L54" s="342">
        <v>0.9845679012345679</v>
      </c>
    </row>
    <row r="55" ht="22.5" hidden="1" customHeight="1">
      <c r="A55" s="1622" t="s">
        <v>11</v>
      </c>
      <c r="B55" s="1702" t="s">
        <v>153</v>
      </c>
      <c r="C55" s="1708">
        <v>382.0</v>
      </c>
      <c r="D55" s="1708" t="s">
        <v>17</v>
      </c>
      <c r="E55" s="1703" t="s">
        <v>17</v>
      </c>
      <c r="F55" s="1704" t="s">
        <v>17</v>
      </c>
      <c r="G55" s="1703">
        <v>5.0</v>
      </c>
      <c r="H55" s="1627">
        <v>0.0131</v>
      </c>
      <c r="I55" s="1706" t="s">
        <v>2601</v>
      </c>
      <c r="J55" s="1703">
        <v>9.0</v>
      </c>
      <c r="K55" s="1627">
        <v>0.0251</v>
      </c>
      <c r="L55" s="342">
        <v>0.9942129629629629</v>
      </c>
    </row>
    <row r="56" ht="22.5" hidden="1" customHeight="1">
      <c r="A56" s="1622" t="s">
        <v>11</v>
      </c>
      <c r="B56" s="1702" t="s">
        <v>159</v>
      </c>
      <c r="C56" s="1703">
        <v>356.0</v>
      </c>
      <c r="D56" s="1703" t="s">
        <v>17</v>
      </c>
      <c r="E56" s="1703" t="s">
        <v>17</v>
      </c>
      <c r="F56" s="1704" t="s">
        <v>17</v>
      </c>
      <c r="G56" s="1703">
        <v>4.0</v>
      </c>
      <c r="H56" s="1627">
        <v>0.0112</v>
      </c>
      <c r="I56" s="1706" t="s">
        <v>2605</v>
      </c>
      <c r="J56" s="1703">
        <v>3.0</v>
      </c>
      <c r="K56" s="1627">
        <v>0.009</v>
      </c>
      <c r="L56" s="342">
        <v>0.9984126984126984</v>
      </c>
    </row>
    <row r="57" ht="22.5" hidden="1" customHeight="1">
      <c r="A57" s="1622" t="s">
        <v>11</v>
      </c>
      <c r="B57" s="1702" t="s">
        <v>26</v>
      </c>
      <c r="C57" s="1708">
        <v>991.0</v>
      </c>
      <c r="D57" s="1708">
        <v>1.0</v>
      </c>
      <c r="E57" s="1627">
        <v>0.001</v>
      </c>
      <c r="F57" s="1704" t="s">
        <v>2608</v>
      </c>
      <c r="G57" s="1703">
        <v>20.0</v>
      </c>
      <c r="H57" s="1627">
        <v>0.0202</v>
      </c>
      <c r="I57" s="1706" t="s">
        <v>2609</v>
      </c>
      <c r="J57" s="1703">
        <v>30.0</v>
      </c>
      <c r="K57" s="1627">
        <v>0.0318</v>
      </c>
      <c r="L57" s="342">
        <v>0.9922077922077922</v>
      </c>
    </row>
    <row r="58" ht="22.5" hidden="1" customHeight="1">
      <c r="A58" s="1622" t="s">
        <v>11</v>
      </c>
      <c r="B58" s="1702" t="s">
        <v>23</v>
      </c>
      <c r="C58" s="1708">
        <v>948.0</v>
      </c>
      <c r="D58" s="1708">
        <v>2.0</v>
      </c>
      <c r="E58" s="1627">
        <v>0.0021</v>
      </c>
      <c r="F58" s="1704" t="s">
        <v>277</v>
      </c>
      <c r="G58" s="1703">
        <v>8.0</v>
      </c>
      <c r="H58" s="1627">
        <v>0.0084</v>
      </c>
      <c r="I58" s="1706" t="s">
        <v>2612</v>
      </c>
      <c r="J58" s="1703">
        <v>7.0</v>
      </c>
      <c r="K58" s="1627">
        <v>0.0078</v>
      </c>
      <c r="L58" s="342">
        <v>0.9647619047619048</v>
      </c>
    </row>
    <row r="59" ht="22.5" hidden="1" customHeight="1">
      <c r="A59" s="1622" t="s">
        <v>11</v>
      </c>
      <c r="B59" s="1702" t="s">
        <v>2055</v>
      </c>
      <c r="C59" s="1708">
        <v>450.0</v>
      </c>
      <c r="D59" s="1708" t="s">
        <v>17</v>
      </c>
      <c r="E59" s="1703" t="s">
        <v>17</v>
      </c>
      <c r="F59" s="1704" t="s">
        <v>17</v>
      </c>
      <c r="G59" s="1703">
        <v>6.0</v>
      </c>
      <c r="H59" s="1627">
        <v>0.0133</v>
      </c>
      <c r="I59" s="1706" t="s">
        <v>2615</v>
      </c>
      <c r="J59" s="1703">
        <v>9.0</v>
      </c>
      <c r="K59" s="1627">
        <v>0.0215</v>
      </c>
      <c r="L59" s="1889"/>
    </row>
    <row r="60" ht="22.5" hidden="1" customHeight="1">
      <c r="A60" s="1622" t="s">
        <v>11</v>
      </c>
      <c r="B60" s="1702" t="s">
        <v>497</v>
      </c>
      <c r="C60" s="1703">
        <v>698.0</v>
      </c>
      <c r="D60" s="1703">
        <v>2.0</v>
      </c>
      <c r="E60" s="1627">
        <v>0.0029</v>
      </c>
      <c r="F60" s="1704" t="s">
        <v>277</v>
      </c>
      <c r="G60" s="1703">
        <v>10.0</v>
      </c>
      <c r="H60" s="1627">
        <v>0.0143</v>
      </c>
      <c r="I60" s="1706" t="s">
        <v>2620</v>
      </c>
      <c r="J60" s="1703">
        <v>11.0</v>
      </c>
      <c r="K60" s="1627">
        <v>0.0162</v>
      </c>
      <c r="L60" s="1889"/>
    </row>
    <row r="61" ht="22.5" hidden="1" customHeight="1">
      <c r="A61" s="1622" t="s">
        <v>11</v>
      </c>
      <c r="B61" s="1702" t="s">
        <v>2069</v>
      </c>
      <c r="C61" s="1708">
        <v>101.0</v>
      </c>
      <c r="D61" s="1708" t="s">
        <v>17</v>
      </c>
      <c r="E61" s="1703" t="s">
        <v>17</v>
      </c>
      <c r="F61" s="1704" t="s">
        <v>17</v>
      </c>
      <c r="G61" s="1703">
        <v>1.0</v>
      </c>
      <c r="H61" s="1703" t="s">
        <v>17</v>
      </c>
      <c r="I61" s="1706" t="s">
        <v>105</v>
      </c>
      <c r="J61" s="1703">
        <v>1.0</v>
      </c>
      <c r="K61" s="1627">
        <v>0.0061</v>
      </c>
      <c r="L61" s="1889"/>
    </row>
    <row r="62" ht="22.5" hidden="1" customHeight="1">
      <c r="A62" s="1622" t="s">
        <v>185</v>
      </c>
      <c r="B62" s="1894" t="s">
        <v>15</v>
      </c>
      <c r="C62" s="1896">
        <v>23.0</v>
      </c>
      <c r="D62" s="1894" t="s">
        <v>258</v>
      </c>
      <c r="E62" s="1894">
        <v>0.0</v>
      </c>
      <c r="F62" s="1902">
        <v>0.0</v>
      </c>
      <c r="G62" s="1894" t="s">
        <v>258</v>
      </c>
      <c r="H62" s="1894">
        <v>0.0</v>
      </c>
      <c r="I62" s="1896">
        <v>0.0</v>
      </c>
      <c r="J62" s="72">
        <v>8.0</v>
      </c>
      <c r="K62" s="1911" t="s">
        <v>722</v>
      </c>
      <c r="L62" s="1894" t="s">
        <v>2627</v>
      </c>
    </row>
    <row r="63" ht="22.5" hidden="1" customHeight="1">
      <c r="A63" s="1622" t="s">
        <v>185</v>
      </c>
      <c r="B63" s="1894" t="s">
        <v>13</v>
      </c>
      <c r="C63" s="1896">
        <v>622.0</v>
      </c>
      <c r="D63" s="1894" t="s">
        <v>1067</v>
      </c>
      <c r="E63" s="1894">
        <v>1.0</v>
      </c>
      <c r="F63" s="1902">
        <v>0.0</v>
      </c>
      <c r="G63" s="1894" t="s">
        <v>1836</v>
      </c>
      <c r="H63" s="1894">
        <v>29.0</v>
      </c>
      <c r="I63" s="1894" t="s">
        <v>2630</v>
      </c>
      <c r="J63" s="72">
        <v>117.0</v>
      </c>
      <c r="K63" s="1911" t="s">
        <v>2631</v>
      </c>
      <c r="L63" s="1894" t="s">
        <v>1412</v>
      </c>
    </row>
    <row r="64" ht="22.5" hidden="1" customHeight="1">
      <c r="A64" s="1622" t="s">
        <v>185</v>
      </c>
      <c r="B64" s="1894" t="s">
        <v>2096</v>
      </c>
      <c r="C64" s="1896">
        <v>238.0</v>
      </c>
      <c r="D64" s="1894" t="s">
        <v>258</v>
      </c>
      <c r="E64" s="1894">
        <v>0.0</v>
      </c>
      <c r="F64" s="1902">
        <v>0.0</v>
      </c>
      <c r="G64" s="1894" t="s">
        <v>1836</v>
      </c>
      <c r="H64" s="1894">
        <v>11.0</v>
      </c>
      <c r="I64" s="1922">
        <v>4347.0</v>
      </c>
      <c r="J64" s="72">
        <v>28.0</v>
      </c>
      <c r="K64" s="1911" t="s">
        <v>2636</v>
      </c>
      <c r="L64" s="1894" t="s">
        <v>224</v>
      </c>
    </row>
    <row r="65" ht="22.5" hidden="1" customHeight="1">
      <c r="A65" s="1622" t="s">
        <v>185</v>
      </c>
      <c r="B65" s="1894" t="s">
        <v>33</v>
      </c>
      <c r="C65" s="1896">
        <v>348.0</v>
      </c>
      <c r="D65" s="1894" t="s">
        <v>258</v>
      </c>
      <c r="E65" s="1894">
        <v>0.0</v>
      </c>
      <c r="F65" s="1902">
        <v>0.0</v>
      </c>
      <c r="G65" s="1894" t="s">
        <v>2642</v>
      </c>
      <c r="H65" s="1894">
        <v>10.0</v>
      </c>
      <c r="I65" s="1922" t="s">
        <v>2643</v>
      </c>
      <c r="J65" s="72">
        <v>85.0</v>
      </c>
      <c r="K65" s="1911" t="s">
        <v>2644</v>
      </c>
      <c r="L65" s="1894" t="s">
        <v>1830</v>
      </c>
    </row>
    <row r="66" ht="22.5" hidden="1" customHeight="1">
      <c r="A66" s="1622" t="s">
        <v>185</v>
      </c>
      <c r="B66" s="1894" t="s">
        <v>19</v>
      </c>
      <c r="C66" s="1896">
        <v>392.0</v>
      </c>
      <c r="D66" s="1894" t="s">
        <v>2646</v>
      </c>
      <c r="E66" s="1894">
        <v>1.0</v>
      </c>
      <c r="F66" s="1902">
        <v>0.0</v>
      </c>
      <c r="G66" s="1894" t="s">
        <v>2647</v>
      </c>
      <c r="H66" s="1894">
        <v>10.0</v>
      </c>
      <c r="I66" s="1930">
        <v>0.0</v>
      </c>
      <c r="J66" s="72">
        <v>35.0</v>
      </c>
      <c r="K66" s="1911" t="s">
        <v>2649</v>
      </c>
      <c r="L66" s="1894" t="s">
        <v>2650</v>
      </c>
    </row>
    <row r="67" ht="22.5" hidden="1" customHeight="1">
      <c r="A67" s="1622" t="s">
        <v>185</v>
      </c>
      <c r="B67" s="1894" t="s">
        <v>77</v>
      </c>
      <c r="C67" s="1896">
        <v>101.0</v>
      </c>
      <c r="D67" s="1894" t="s">
        <v>258</v>
      </c>
      <c r="E67" s="1894">
        <v>0.0</v>
      </c>
      <c r="F67" s="1902">
        <v>0.0</v>
      </c>
      <c r="G67" s="1894" t="s">
        <v>631</v>
      </c>
      <c r="H67" s="1894">
        <v>6.0</v>
      </c>
      <c r="I67" s="1922">
        <v>52548.0</v>
      </c>
      <c r="J67" s="72">
        <v>7.0</v>
      </c>
      <c r="K67" s="1911" t="s">
        <v>463</v>
      </c>
      <c r="L67" s="1894" t="s">
        <v>2656</v>
      </c>
    </row>
    <row r="68" ht="22.5" hidden="1" customHeight="1">
      <c r="A68" s="1622" t="s">
        <v>185</v>
      </c>
      <c r="B68" s="1894" t="s">
        <v>82</v>
      </c>
      <c r="C68" s="1896">
        <v>140.0</v>
      </c>
      <c r="D68" s="1894" t="s">
        <v>258</v>
      </c>
      <c r="E68" s="1894">
        <v>0.0</v>
      </c>
      <c r="F68" s="1902">
        <v>0.0</v>
      </c>
      <c r="G68" s="1894" t="s">
        <v>2658</v>
      </c>
      <c r="H68" s="1894">
        <v>6.0</v>
      </c>
      <c r="I68" s="1930">
        <v>0.0</v>
      </c>
      <c r="J68" s="72">
        <v>30.0</v>
      </c>
      <c r="K68" s="1911" t="s">
        <v>2660</v>
      </c>
      <c r="L68" s="1894" t="s">
        <v>298</v>
      </c>
    </row>
    <row r="69" ht="22.5" hidden="1" customHeight="1">
      <c r="A69" s="1622" t="s">
        <v>185</v>
      </c>
      <c r="B69" s="1894" t="s">
        <v>39</v>
      </c>
      <c r="C69" s="1896">
        <v>59.0</v>
      </c>
      <c r="D69" s="1894" t="s">
        <v>258</v>
      </c>
      <c r="E69" s="1894">
        <v>0.0</v>
      </c>
      <c r="F69" s="1902">
        <v>0.0</v>
      </c>
      <c r="G69" s="1894" t="s">
        <v>2662</v>
      </c>
      <c r="H69" s="1894">
        <v>3.0</v>
      </c>
      <c r="I69" s="1922" t="s">
        <v>2664</v>
      </c>
      <c r="J69" s="72">
        <v>21.0</v>
      </c>
      <c r="K69" s="1911" t="s">
        <v>2665</v>
      </c>
      <c r="L69" s="1894" t="s">
        <v>298</v>
      </c>
    </row>
    <row r="70" ht="22.5" hidden="1" customHeight="1">
      <c r="A70" s="1622" t="s">
        <v>185</v>
      </c>
      <c r="B70" s="1894" t="s">
        <v>2150</v>
      </c>
      <c r="C70" s="1896">
        <v>325.0</v>
      </c>
      <c r="D70" s="1894" t="s">
        <v>258</v>
      </c>
      <c r="E70" s="1894">
        <v>0.0</v>
      </c>
      <c r="F70" s="1902">
        <v>0.0</v>
      </c>
      <c r="G70" s="1894" t="s">
        <v>2667</v>
      </c>
      <c r="H70" s="1894">
        <v>8.0</v>
      </c>
      <c r="I70" s="1922" t="s">
        <v>2669</v>
      </c>
      <c r="J70" s="72">
        <v>35.0</v>
      </c>
      <c r="K70" s="1911" t="s">
        <v>2670</v>
      </c>
      <c r="L70" s="1894" t="s">
        <v>2671</v>
      </c>
    </row>
    <row r="71" ht="22.5" hidden="1" customHeight="1">
      <c r="A71" s="1622" t="s">
        <v>185</v>
      </c>
      <c r="B71" s="1894" t="s">
        <v>59</v>
      </c>
      <c r="C71" s="1896">
        <v>92.0</v>
      </c>
      <c r="D71" s="1894" t="s">
        <v>258</v>
      </c>
      <c r="E71" s="1894">
        <v>0.0</v>
      </c>
      <c r="F71" s="1902">
        <v>0.0</v>
      </c>
      <c r="G71" s="1894" t="s">
        <v>2673</v>
      </c>
      <c r="H71" s="1894">
        <v>4.0</v>
      </c>
      <c r="I71" s="1922" t="s">
        <v>2676</v>
      </c>
      <c r="J71" s="72">
        <v>16.0</v>
      </c>
      <c r="K71" s="1911" t="s">
        <v>2677</v>
      </c>
      <c r="L71" s="1894" t="s">
        <v>2678</v>
      </c>
    </row>
    <row r="72" ht="22.5" hidden="1" customHeight="1">
      <c r="A72" s="1622" t="s">
        <v>185</v>
      </c>
      <c r="B72" s="5" t="s">
        <v>2541</v>
      </c>
      <c r="C72" s="13">
        <v>0.0</v>
      </c>
      <c r="D72" s="203">
        <v>0.0</v>
      </c>
      <c r="E72" s="203">
        <v>0.0</v>
      </c>
      <c r="F72" s="1902">
        <v>0.0</v>
      </c>
      <c r="G72" s="203">
        <v>0.0</v>
      </c>
      <c r="H72" s="203">
        <v>0.0</v>
      </c>
      <c r="I72" s="203">
        <v>0.0</v>
      </c>
      <c r="J72" s="13">
        <v>0.0</v>
      </c>
      <c r="K72" s="203">
        <v>0.0</v>
      </c>
      <c r="L72" s="203" t="s">
        <v>1651</v>
      </c>
    </row>
    <row r="73" ht="22.5" hidden="1" customHeight="1">
      <c r="A73" s="1622" t="s">
        <v>185</v>
      </c>
      <c r="B73" s="1894" t="s">
        <v>114</v>
      </c>
      <c r="C73" s="1896">
        <v>107.0</v>
      </c>
      <c r="D73" s="1894" t="s">
        <v>258</v>
      </c>
      <c r="E73" s="1894">
        <v>0.0</v>
      </c>
      <c r="F73" s="1902">
        <v>0.0</v>
      </c>
      <c r="G73" s="1894" t="s">
        <v>2690</v>
      </c>
      <c r="H73" s="1894">
        <v>4.0</v>
      </c>
      <c r="I73" s="1922">
        <v>1155.0</v>
      </c>
      <c r="J73" s="72">
        <v>17.0</v>
      </c>
      <c r="K73" s="1911" t="s">
        <v>2695</v>
      </c>
      <c r="L73" s="1894" t="s">
        <v>298</v>
      </c>
    </row>
    <row r="74" ht="22.5" hidden="1" customHeight="1">
      <c r="A74" s="1622" t="s">
        <v>185</v>
      </c>
      <c r="B74" s="1894" t="s">
        <v>136</v>
      </c>
      <c r="C74" s="1896">
        <v>68.0</v>
      </c>
      <c r="D74" s="1894" t="s">
        <v>258</v>
      </c>
      <c r="E74" s="1894">
        <v>0.0</v>
      </c>
      <c r="F74" s="1902">
        <v>0.0</v>
      </c>
      <c r="G74" s="1894" t="s">
        <v>2701</v>
      </c>
      <c r="H74" s="1894">
        <v>3.0</v>
      </c>
      <c r="I74" s="1930">
        <v>0.0</v>
      </c>
      <c r="J74" s="72">
        <v>16.0</v>
      </c>
      <c r="K74" s="1894" t="s">
        <v>2706</v>
      </c>
      <c r="L74" s="1894" t="s">
        <v>298</v>
      </c>
    </row>
    <row r="75" ht="22.5" hidden="1" customHeight="1">
      <c r="A75" s="1622" t="s">
        <v>185</v>
      </c>
      <c r="B75" s="1894" t="s">
        <v>85</v>
      </c>
      <c r="C75" s="1896">
        <v>260.0</v>
      </c>
      <c r="D75" s="1894" t="s">
        <v>258</v>
      </c>
      <c r="E75" s="1894">
        <v>0.0</v>
      </c>
      <c r="F75" s="1902">
        <v>0.0</v>
      </c>
      <c r="G75" s="1894" t="s">
        <v>2712</v>
      </c>
      <c r="H75" s="1894">
        <v>9.0</v>
      </c>
      <c r="I75" s="1934">
        <v>3570.0</v>
      </c>
      <c r="J75" s="72">
        <v>30.0</v>
      </c>
      <c r="K75" s="1894" t="s">
        <v>1311</v>
      </c>
      <c r="L75" s="1894" t="s">
        <v>2715</v>
      </c>
    </row>
    <row r="76" ht="22.5" hidden="1" customHeight="1">
      <c r="A76" s="1622" t="s">
        <v>185</v>
      </c>
      <c r="B76" s="1894" t="s">
        <v>79</v>
      </c>
      <c r="C76" s="1896">
        <v>164.0</v>
      </c>
      <c r="D76" s="1894" t="s">
        <v>258</v>
      </c>
      <c r="E76" s="1894">
        <v>0.0</v>
      </c>
      <c r="F76" s="1902">
        <v>0.0</v>
      </c>
      <c r="G76" s="1894" t="s">
        <v>2720</v>
      </c>
      <c r="H76" s="1894">
        <v>5.0</v>
      </c>
      <c r="I76" s="1930">
        <v>0.0</v>
      </c>
      <c r="J76" s="72">
        <v>21.0</v>
      </c>
      <c r="K76" s="1894" t="s">
        <v>2723</v>
      </c>
      <c r="L76" s="1894" t="s">
        <v>2725</v>
      </c>
    </row>
    <row r="77" ht="22.5" hidden="1" customHeight="1">
      <c r="A77" s="1622" t="s">
        <v>185</v>
      </c>
      <c r="B77" s="1894" t="s">
        <v>45</v>
      </c>
      <c r="C77" s="1896">
        <v>193.0</v>
      </c>
      <c r="D77" s="1894" t="s">
        <v>258</v>
      </c>
      <c r="E77" s="1894">
        <v>0.0</v>
      </c>
      <c r="F77" s="1902">
        <v>0.0</v>
      </c>
      <c r="G77" s="1894" t="s">
        <v>2728</v>
      </c>
      <c r="H77" s="1894">
        <v>10.0</v>
      </c>
      <c r="I77" s="1922">
        <v>33675.0</v>
      </c>
      <c r="J77" s="72">
        <v>11.0</v>
      </c>
      <c r="K77" s="1894" t="s">
        <v>1262</v>
      </c>
      <c r="L77" s="1894" t="s">
        <v>298</v>
      </c>
    </row>
    <row r="78" ht="22.5" hidden="1" customHeight="1">
      <c r="A78" s="1622" t="s">
        <v>185</v>
      </c>
      <c r="B78" s="1894" t="s">
        <v>170</v>
      </c>
      <c r="C78" s="1896">
        <v>76.0</v>
      </c>
      <c r="D78" s="1894" t="s">
        <v>258</v>
      </c>
      <c r="E78" s="1894">
        <v>0.0</v>
      </c>
      <c r="F78" s="1902">
        <v>0.0</v>
      </c>
      <c r="G78" s="1894" t="s">
        <v>1750</v>
      </c>
      <c r="H78" s="1894">
        <v>1.0</v>
      </c>
      <c r="I78" s="1922">
        <v>21502.0</v>
      </c>
      <c r="J78" s="72">
        <v>2.0</v>
      </c>
      <c r="K78" s="1894" t="s">
        <v>456</v>
      </c>
      <c r="L78" s="1894" t="s">
        <v>2742</v>
      </c>
    </row>
    <row r="79" ht="22.5" hidden="1" customHeight="1">
      <c r="A79" s="1622" t="s">
        <v>185</v>
      </c>
      <c r="B79" s="1894" t="s">
        <v>123</v>
      </c>
      <c r="C79" s="1896">
        <v>50.0</v>
      </c>
      <c r="D79" s="1894" t="s">
        <v>258</v>
      </c>
      <c r="E79" s="1894">
        <v>0.0</v>
      </c>
      <c r="F79" s="1902">
        <v>0.0</v>
      </c>
      <c r="G79" s="1894" t="s">
        <v>2226</v>
      </c>
      <c r="H79" s="1894">
        <v>4.0</v>
      </c>
      <c r="I79" s="1922" t="s">
        <v>2745</v>
      </c>
      <c r="J79" s="72">
        <v>3.0</v>
      </c>
      <c r="K79" s="1894" t="s">
        <v>2746</v>
      </c>
      <c r="L79" s="1894" t="s">
        <v>2747</v>
      </c>
    </row>
    <row r="80" ht="22.5" hidden="1" customHeight="1">
      <c r="A80" s="1622" t="s">
        <v>185</v>
      </c>
      <c r="B80" s="1894" t="s">
        <v>2219</v>
      </c>
      <c r="C80" s="1896">
        <v>127.0</v>
      </c>
      <c r="D80" s="1894" t="s">
        <v>258</v>
      </c>
      <c r="E80" s="1894">
        <v>0.0</v>
      </c>
      <c r="F80" s="1902">
        <v>0.0</v>
      </c>
      <c r="G80" s="1894" t="s">
        <v>432</v>
      </c>
      <c r="H80" s="1894">
        <v>4.0</v>
      </c>
      <c r="I80" s="1930">
        <v>0.0</v>
      </c>
      <c r="J80" s="72">
        <v>22.0</v>
      </c>
      <c r="K80" s="1894" t="s">
        <v>2753</v>
      </c>
      <c r="L80" s="1894" t="s">
        <v>298</v>
      </c>
    </row>
    <row r="81" ht="22.5" hidden="1" customHeight="1">
      <c r="A81" s="1622" t="s">
        <v>185</v>
      </c>
      <c r="B81" s="1894" t="s">
        <v>26</v>
      </c>
      <c r="C81" s="1896">
        <v>572.0</v>
      </c>
      <c r="D81" s="1894" t="s">
        <v>258</v>
      </c>
      <c r="E81" s="1894">
        <v>0.0</v>
      </c>
      <c r="F81" s="1902">
        <v>0.0</v>
      </c>
      <c r="G81" s="1894" t="s">
        <v>2761</v>
      </c>
      <c r="H81" s="1894">
        <v>21.0</v>
      </c>
      <c r="I81" s="1922" t="s">
        <v>2764</v>
      </c>
      <c r="J81" s="72">
        <v>30.0</v>
      </c>
      <c r="K81" s="1894" t="s">
        <v>2768</v>
      </c>
      <c r="L81" s="1894" t="s">
        <v>2769</v>
      </c>
    </row>
    <row r="82" ht="22.5" hidden="1" customHeight="1">
      <c r="A82" s="1622" t="s">
        <v>185</v>
      </c>
      <c r="B82" s="1894" t="s">
        <v>2236</v>
      </c>
      <c r="C82" s="1896">
        <v>201.0</v>
      </c>
      <c r="D82" s="1894" t="s">
        <v>258</v>
      </c>
      <c r="E82" s="1894">
        <v>0.0</v>
      </c>
      <c r="F82" s="1902">
        <v>0.0</v>
      </c>
      <c r="G82" s="1894" t="s">
        <v>309</v>
      </c>
      <c r="H82" s="1894">
        <v>7.0</v>
      </c>
      <c r="I82" s="1922" t="s">
        <v>2772</v>
      </c>
      <c r="J82" s="72">
        <v>30.0</v>
      </c>
      <c r="K82" s="1894" t="s">
        <v>1568</v>
      </c>
      <c r="L82" s="1894" t="s">
        <v>2775</v>
      </c>
    </row>
    <row r="83" ht="22.5" hidden="1" customHeight="1">
      <c r="A83" s="1622" t="s">
        <v>185</v>
      </c>
      <c r="B83" s="1894" t="s">
        <v>23</v>
      </c>
      <c r="C83" s="1896">
        <v>216.0</v>
      </c>
      <c r="D83" s="1894" t="s">
        <v>2777</v>
      </c>
      <c r="E83" s="1894">
        <v>1.0</v>
      </c>
      <c r="F83" s="1902">
        <v>0.0</v>
      </c>
      <c r="G83" s="1894" t="s">
        <v>2097</v>
      </c>
      <c r="H83" s="1894">
        <v>6.0</v>
      </c>
      <c r="I83" s="1922" t="s">
        <v>2781</v>
      </c>
      <c r="J83" s="72">
        <v>34.0</v>
      </c>
      <c r="K83" s="1894" t="s">
        <v>2782</v>
      </c>
      <c r="L83" s="1894" t="s">
        <v>2784</v>
      </c>
    </row>
    <row r="84" ht="22.5" hidden="1" customHeight="1">
      <c r="A84" s="1622" t="s">
        <v>185</v>
      </c>
      <c r="B84" s="1894" t="s">
        <v>505</v>
      </c>
      <c r="C84" s="1896">
        <v>38.0</v>
      </c>
      <c r="D84" s="1894" t="s">
        <v>258</v>
      </c>
      <c r="E84" s="1894">
        <v>0.0</v>
      </c>
      <c r="F84" s="1902">
        <v>0.0</v>
      </c>
      <c r="G84" s="1894" t="s">
        <v>258</v>
      </c>
      <c r="H84" s="1894">
        <v>0.0</v>
      </c>
      <c r="I84" s="1930">
        <v>0.0</v>
      </c>
      <c r="J84" s="72">
        <v>2.0</v>
      </c>
      <c r="K84" s="1894" t="s">
        <v>841</v>
      </c>
      <c r="L84" s="1894" t="s">
        <v>298</v>
      </c>
    </row>
    <row r="85" ht="22.5" hidden="1" customHeight="1">
      <c r="A85" s="233"/>
      <c r="B85" s="234"/>
      <c r="C85" s="345"/>
      <c r="D85" s="1887"/>
      <c r="E85" s="342"/>
      <c r="F85" s="28"/>
      <c r="G85" s="341"/>
      <c r="H85" s="1085"/>
      <c r="I85" s="344"/>
      <c r="J85" s="1614"/>
      <c r="K85" s="342"/>
      <c r="L85" s="834"/>
    </row>
    <row r="86" ht="22.5" hidden="1" customHeight="1">
      <c r="A86" s="233"/>
      <c r="B86" s="234"/>
      <c r="C86" s="345"/>
      <c r="D86" s="345"/>
      <c r="E86" s="1088"/>
      <c r="F86" s="1089"/>
      <c r="G86" s="345"/>
      <c r="H86" s="1090"/>
      <c r="I86" s="1091"/>
      <c r="J86" s="1615"/>
      <c r="K86" s="1088"/>
      <c r="L86" s="1087"/>
    </row>
    <row r="87">
      <c r="B87" s="79"/>
      <c r="C87" s="108"/>
      <c r="D87" s="108"/>
      <c r="E87" s="108"/>
      <c r="F87" s="108"/>
      <c r="G87" s="108"/>
      <c r="H87" s="1093"/>
      <c r="I87" s="315"/>
      <c r="J87" s="108"/>
      <c r="K87" s="108"/>
      <c r="L87" s="108"/>
    </row>
    <row r="88">
      <c r="B88" s="79"/>
      <c r="C88" s="40"/>
      <c r="D88" s="1895"/>
      <c r="E88" s="108"/>
      <c r="F88" s="108"/>
      <c r="G88" s="108"/>
      <c r="H88" s="1093"/>
      <c r="I88" s="315"/>
      <c r="J88" s="108"/>
      <c r="K88" s="108"/>
      <c r="L88" s="108"/>
    </row>
    <row r="89">
      <c r="B89" s="108"/>
      <c r="C89" s="40"/>
      <c r="D89" s="1895"/>
      <c r="E89" s="1897"/>
      <c r="F89" s="1897"/>
      <c r="G89" s="1899"/>
      <c r="H89" s="1901"/>
      <c r="I89" s="1899"/>
      <c r="J89" s="1897"/>
      <c r="K89" s="1899"/>
      <c r="L89" s="108"/>
    </row>
    <row r="90">
      <c r="B90" s="108"/>
      <c r="C90" s="1903"/>
      <c r="D90" s="1905"/>
      <c r="E90" s="1906"/>
      <c r="F90" s="1906"/>
      <c r="G90" s="1907"/>
      <c r="H90" s="1908"/>
      <c r="I90" s="1907"/>
      <c r="J90" s="1909"/>
      <c r="K90" s="1907"/>
      <c r="L90" s="108"/>
    </row>
    <row r="91">
      <c r="B91" s="108"/>
      <c r="C91" s="1903"/>
      <c r="D91" s="1905"/>
      <c r="E91" s="1906"/>
      <c r="F91" s="1906"/>
      <c r="G91" s="1907"/>
      <c r="H91" s="1908"/>
      <c r="I91" s="1907"/>
      <c r="J91" s="1909"/>
      <c r="K91" s="1907"/>
      <c r="L91" s="108"/>
    </row>
    <row r="92">
      <c r="B92" s="108"/>
      <c r="C92" s="1903"/>
      <c r="D92" s="1905"/>
      <c r="E92" s="1906"/>
      <c r="F92" s="1906"/>
      <c r="G92" s="1907"/>
      <c r="H92" s="1908"/>
      <c r="I92" s="1907"/>
      <c r="J92" s="1909"/>
      <c r="K92" s="1907"/>
      <c r="L92" s="108"/>
    </row>
    <row r="93">
      <c r="B93" s="108"/>
      <c r="C93" s="1903"/>
      <c r="D93" s="245"/>
      <c r="E93" s="245"/>
      <c r="F93" s="1913"/>
      <c r="G93" s="245"/>
      <c r="H93" s="1908"/>
      <c r="I93" s="1907"/>
      <c r="J93" s="1909"/>
      <c r="K93" s="1907"/>
      <c r="L93" s="108"/>
    </row>
    <row r="94">
      <c r="B94" s="108"/>
      <c r="C94" s="1903"/>
      <c r="F94" s="1914"/>
      <c r="H94" s="1908"/>
      <c r="I94" s="1907"/>
      <c r="J94" s="1909"/>
      <c r="K94" s="1907"/>
      <c r="L94" s="108"/>
    </row>
    <row r="95">
      <c r="B95" s="108"/>
      <c r="C95" s="1903"/>
      <c r="F95" s="1914"/>
      <c r="H95" s="1908"/>
      <c r="I95" s="1907"/>
      <c r="J95" s="1909"/>
      <c r="K95" s="1907"/>
      <c r="L95" s="108"/>
    </row>
    <row r="96">
      <c r="B96" s="108"/>
      <c r="C96" s="1903"/>
      <c r="F96" s="1914"/>
      <c r="H96" s="1908"/>
      <c r="I96" s="1907"/>
      <c r="J96" s="1909"/>
      <c r="K96" s="1907"/>
      <c r="L96" s="108"/>
    </row>
    <row r="97">
      <c r="B97" s="108"/>
      <c r="C97" s="1903"/>
      <c r="F97" s="1914"/>
      <c r="H97" s="1908"/>
      <c r="I97" s="1907"/>
      <c r="J97" s="1909"/>
      <c r="K97" s="1907"/>
      <c r="L97" s="108"/>
    </row>
    <row r="98">
      <c r="B98" s="108"/>
      <c r="C98" s="1903"/>
      <c r="F98" s="1914"/>
      <c r="H98" s="1908"/>
      <c r="I98" s="1907"/>
      <c r="J98" s="1909"/>
      <c r="K98" s="1907"/>
      <c r="L98" s="108"/>
    </row>
    <row r="99">
      <c r="B99" s="108"/>
      <c r="C99" s="1903"/>
      <c r="F99" s="1914"/>
      <c r="H99" s="1908"/>
      <c r="I99" s="1907"/>
      <c r="J99" s="1909"/>
      <c r="K99" s="1907"/>
      <c r="L99" s="108"/>
    </row>
    <row r="100">
      <c r="B100" s="108"/>
      <c r="C100" s="1903"/>
      <c r="F100" s="1914"/>
      <c r="H100" s="1908"/>
      <c r="I100" s="1907"/>
      <c r="J100" s="1909"/>
      <c r="K100" s="1907"/>
      <c r="L100" s="108"/>
    </row>
    <row r="101">
      <c r="B101" s="108"/>
      <c r="C101" s="1903"/>
      <c r="F101" s="1914"/>
      <c r="H101" s="1908"/>
      <c r="I101" s="1907"/>
      <c r="J101" s="1909"/>
      <c r="K101" s="1907"/>
      <c r="L101" s="108"/>
    </row>
    <row r="102">
      <c r="B102" s="108"/>
      <c r="C102" s="1903"/>
      <c r="F102" s="1914"/>
      <c r="H102" s="1908"/>
      <c r="I102" s="1907"/>
      <c r="J102" s="1909"/>
      <c r="K102" s="1907"/>
      <c r="L102" s="108"/>
    </row>
    <row r="103">
      <c r="B103" s="108"/>
      <c r="C103" s="1903"/>
      <c r="F103" s="1914"/>
      <c r="H103" s="1908"/>
      <c r="I103" s="1907"/>
      <c r="J103" s="1909"/>
      <c r="K103" s="1907"/>
      <c r="L103" s="108"/>
    </row>
    <row r="104">
      <c r="B104" s="108"/>
      <c r="C104" s="1903"/>
      <c r="F104" s="1914"/>
      <c r="H104" s="1908"/>
      <c r="I104" s="1907"/>
      <c r="J104" s="1909"/>
      <c r="K104" s="1907"/>
      <c r="L104" s="108"/>
    </row>
    <row r="105">
      <c r="B105" s="108"/>
      <c r="C105" s="1903"/>
      <c r="F105" s="1914"/>
      <c r="H105" s="1908"/>
      <c r="I105" s="1907"/>
      <c r="J105" s="1909"/>
      <c r="K105" s="1907"/>
      <c r="L105" s="108"/>
    </row>
    <row r="106">
      <c r="B106" s="108"/>
      <c r="C106" s="1903"/>
      <c r="F106" s="1914"/>
      <c r="H106" s="1908"/>
      <c r="I106" s="1907"/>
      <c r="J106" s="1909"/>
      <c r="K106" s="1907"/>
      <c r="L106" s="108"/>
    </row>
    <row r="107">
      <c r="B107" s="108"/>
      <c r="C107" s="1903"/>
      <c r="F107" s="1914"/>
      <c r="H107" s="1908"/>
      <c r="I107" s="1907"/>
      <c r="J107" s="1909"/>
      <c r="K107" s="1907"/>
      <c r="L107" s="108"/>
    </row>
    <row r="108">
      <c r="B108" s="108"/>
      <c r="C108" s="1903"/>
      <c r="F108" s="1914"/>
      <c r="H108" s="1908"/>
      <c r="I108" s="1907"/>
      <c r="J108" s="1909"/>
      <c r="K108" s="1907"/>
      <c r="L108" s="108"/>
    </row>
    <row r="109">
      <c r="B109" s="108"/>
      <c r="C109" s="1903"/>
      <c r="F109" s="1914"/>
      <c r="H109" s="1908"/>
      <c r="I109" s="1907"/>
      <c r="J109" s="1909"/>
      <c r="K109" s="1907"/>
      <c r="L109" s="108"/>
    </row>
    <row r="110">
      <c r="B110" s="108"/>
      <c r="C110" s="1903"/>
      <c r="F110" s="1914"/>
      <c r="H110" s="1908"/>
      <c r="I110" s="1907"/>
      <c r="J110" s="1909"/>
      <c r="K110" s="1907"/>
      <c r="L110" s="108"/>
    </row>
    <row r="111">
      <c r="B111" s="108"/>
      <c r="C111" s="108"/>
      <c r="F111" s="1914"/>
      <c r="H111" s="1096"/>
      <c r="I111" s="315"/>
      <c r="J111" s="108"/>
      <c r="K111" s="108"/>
      <c r="L111" s="108"/>
    </row>
    <row r="112">
      <c r="B112" s="108"/>
      <c r="C112" s="108"/>
      <c r="F112" s="1914"/>
      <c r="H112" s="1096"/>
      <c r="I112" s="315"/>
      <c r="J112" s="108"/>
      <c r="K112" s="108"/>
      <c r="L112" s="108"/>
    </row>
    <row r="113">
      <c r="B113" s="108"/>
      <c r="C113" s="108"/>
      <c r="F113" s="1914"/>
      <c r="H113" s="1096"/>
      <c r="I113" s="315"/>
      <c r="J113" s="108"/>
      <c r="K113" s="108"/>
      <c r="L113" s="108"/>
    </row>
    <row r="114">
      <c r="B114" s="108"/>
      <c r="C114" s="108"/>
      <c r="F114" s="1914"/>
      <c r="H114" s="1096"/>
      <c r="I114" s="315"/>
      <c r="J114" s="108"/>
      <c r="K114" s="108"/>
      <c r="L114" s="108"/>
    </row>
    <row r="115">
      <c r="B115" s="108"/>
      <c r="C115" s="1918"/>
      <c r="F115" s="1914"/>
      <c r="H115" s="1096"/>
      <c r="I115" s="315"/>
      <c r="J115" s="108"/>
      <c r="K115" s="108"/>
      <c r="L115" s="108"/>
    </row>
    <row r="116">
      <c r="B116" s="108"/>
      <c r="C116" s="1918"/>
      <c r="F116" s="1914"/>
      <c r="H116" s="1096"/>
      <c r="I116" s="315"/>
      <c r="J116" s="108"/>
      <c r="K116" s="108"/>
      <c r="L116" s="108"/>
    </row>
    <row r="117">
      <c r="B117" s="108"/>
      <c r="C117" s="1918"/>
      <c r="F117" s="1920"/>
      <c r="H117" s="1096"/>
      <c r="I117" s="315"/>
      <c r="J117" s="108"/>
      <c r="K117" s="108"/>
      <c r="L117" s="108"/>
    </row>
    <row r="118">
      <c r="B118" s="108"/>
      <c r="C118" s="108"/>
      <c r="D118" s="108"/>
      <c r="E118" s="108"/>
      <c r="F118" s="108"/>
      <c r="G118" s="108"/>
      <c r="H118" s="1093"/>
      <c r="I118" s="315"/>
      <c r="J118" s="108"/>
      <c r="K118" s="108"/>
      <c r="L118" s="108"/>
    </row>
    <row r="119">
      <c r="B119" s="108"/>
      <c r="C119" s="108"/>
      <c r="D119" s="108"/>
      <c r="E119" s="108"/>
      <c r="F119" s="108"/>
      <c r="G119" s="108"/>
      <c r="H119" s="1093"/>
      <c r="I119" s="315"/>
      <c r="J119" s="108"/>
      <c r="K119" s="108"/>
      <c r="L119" s="108"/>
    </row>
    <row r="120">
      <c r="B120" s="108"/>
      <c r="C120" s="108"/>
      <c r="D120" s="108"/>
      <c r="E120" s="108"/>
      <c r="F120" s="108"/>
      <c r="G120" s="108"/>
      <c r="H120" s="1093"/>
      <c r="I120" s="315"/>
      <c r="J120" s="108"/>
      <c r="K120" s="108"/>
      <c r="L120" s="108"/>
    </row>
    <row r="121">
      <c r="B121" s="108"/>
      <c r="C121" s="108"/>
      <c r="D121" s="108"/>
      <c r="E121" s="108"/>
      <c r="F121" s="108"/>
      <c r="G121" s="108"/>
      <c r="H121" s="1093"/>
      <c r="I121" s="315"/>
      <c r="J121" s="108"/>
      <c r="K121" s="108"/>
      <c r="L121" s="108"/>
    </row>
    <row r="122">
      <c r="B122" s="79"/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B123" s="79"/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B124" s="79"/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B125" s="79"/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B126" s="79"/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B127" s="79"/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B128" s="79"/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B129" s="79"/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B130" s="79"/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B131" s="79"/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B132" s="79"/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B133" s="79"/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B134" s="79"/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B135" s="79"/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B136" s="79"/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B137" s="79"/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B138" s="79"/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B139" s="79"/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B140" s="79"/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B141" s="79"/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B142" s="79"/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B143" s="79"/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B144" s="79"/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B145" s="79"/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B146" s="79"/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B147" s="79"/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B148" s="79"/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B149" s="79"/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B150" s="79"/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B151" s="79"/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B152" s="79"/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B153" s="79"/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B154" s="79"/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B155" s="79"/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B156" s="79"/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B157" s="79"/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B158" s="79"/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B159" s="79"/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B160" s="79"/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B161" s="79"/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B162" s="79"/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B163" s="79"/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B164" s="79"/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B165" s="79"/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B166" s="79"/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B167" s="79"/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B168" s="79"/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B169" s="79"/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B170" s="79"/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B171" s="79"/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B172" s="79"/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  <row r="741">
      <c r="B741" s="79"/>
      <c r="C741" s="79"/>
      <c r="D741" s="79"/>
      <c r="E741" s="79"/>
      <c r="F741" s="79"/>
      <c r="G741" s="79"/>
      <c r="H741" s="252"/>
      <c r="I741" s="314"/>
      <c r="J741" s="79"/>
      <c r="K741" s="79"/>
      <c r="L741" s="79"/>
    </row>
  </sheetData>
  <dataValidations>
    <dataValidation allowBlank="1" showDropDown="1" sqref="L2:L8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8.25"/>
    <col customWidth="1" min="3" max="3" width="23.13"/>
    <col customWidth="1" min="4" max="4" width="25.38"/>
    <col customWidth="1" min="5" max="5" width="27.63"/>
    <col customWidth="1" min="6" max="6" width="21.75"/>
    <col customWidth="1" min="7" max="7" width="20.38"/>
    <col customWidth="1" min="8" max="8" width="16.75"/>
    <col customWidth="1" min="9" max="9" width="19.88"/>
    <col customWidth="1" min="10" max="10" width="20.13"/>
    <col customWidth="1" min="11" max="11" width="24.0"/>
    <col customWidth="1" min="12" max="12" width="20.75"/>
  </cols>
  <sheetData>
    <row r="1" ht="22.5" customHeight="1">
      <c r="A1" s="147" t="s">
        <v>0</v>
      </c>
      <c r="B1" s="1640" t="s">
        <v>1</v>
      </c>
      <c r="C1" s="1640" t="s">
        <v>2</v>
      </c>
      <c r="D1" s="1640" t="s">
        <v>1170</v>
      </c>
      <c r="E1" s="1640" t="s">
        <v>2047</v>
      </c>
      <c r="F1" s="1641" t="s">
        <v>12</v>
      </c>
      <c r="G1" s="1642" t="s">
        <v>6</v>
      </c>
      <c r="H1" s="1642" t="s">
        <v>5</v>
      </c>
      <c r="I1" s="1641" t="s">
        <v>7</v>
      </c>
      <c r="J1" s="1640" t="s">
        <v>8</v>
      </c>
      <c r="K1" s="1640" t="s">
        <v>2343</v>
      </c>
      <c r="L1" s="1640" t="s">
        <v>10</v>
      </c>
    </row>
    <row r="2" ht="22.5" hidden="1" customHeight="1">
      <c r="A2" s="5" t="s">
        <v>383</v>
      </c>
      <c r="B2" s="88" t="s">
        <v>489</v>
      </c>
      <c r="C2" s="76">
        <v>315.0</v>
      </c>
      <c r="D2" s="76">
        <v>0.0</v>
      </c>
      <c r="E2" s="73">
        <v>0.0</v>
      </c>
      <c r="F2" s="28">
        <v>0.0</v>
      </c>
      <c r="G2" s="1647">
        <v>4.0</v>
      </c>
      <c r="H2" s="73">
        <v>0.012698412698412698</v>
      </c>
      <c r="I2" s="28">
        <v>0.0</v>
      </c>
      <c r="J2" s="77">
        <v>16.0</v>
      </c>
      <c r="K2" s="1666">
        <v>0.05128205128205128</v>
      </c>
      <c r="L2" s="1667" t="s">
        <v>2407</v>
      </c>
    </row>
    <row r="3" ht="22.5" hidden="1" customHeight="1">
      <c r="A3" s="5" t="s">
        <v>383</v>
      </c>
      <c r="B3" s="88" t="s">
        <v>488</v>
      </c>
      <c r="C3" s="76">
        <v>276.0</v>
      </c>
      <c r="D3" s="76">
        <v>4.0</v>
      </c>
      <c r="E3" s="1669">
        <v>0.014492753623188406</v>
      </c>
      <c r="F3" s="28">
        <v>0.0</v>
      </c>
      <c r="G3" s="1647">
        <v>10.0</v>
      </c>
      <c r="H3" s="73">
        <v>0.036231884057971016</v>
      </c>
      <c r="I3" s="28">
        <v>0.0</v>
      </c>
      <c r="J3" s="77">
        <v>6.0</v>
      </c>
      <c r="K3" s="1670">
        <v>0.022727272727272728</v>
      </c>
      <c r="L3" s="1667" t="s">
        <v>2411</v>
      </c>
    </row>
    <row r="4" ht="22.5" hidden="1" customHeight="1">
      <c r="A4" s="5" t="s">
        <v>383</v>
      </c>
      <c r="B4" s="88" t="s">
        <v>491</v>
      </c>
      <c r="C4" s="76">
        <v>159.0</v>
      </c>
      <c r="D4" s="76">
        <v>2.0</v>
      </c>
      <c r="E4" s="1671">
        <v>0.012578616352201259</v>
      </c>
      <c r="F4" s="28">
        <v>0.0</v>
      </c>
      <c r="G4" s="1647">
        <v>7.0</v>
      </c>
      <c r="H4" s="73">
        <v>0.0440251572327044</v>
      </c>
      <c r="I4" s="28">
        <v>0.0</v>
      </c>
      <c r="J4" s="77">
        <v>6.0</v>
      </c>
      <c r="K4" s="1589">
        <v>0.038461538461538464</v>
      </c>
      <c r="L4" s="1667" t="s">
        <v>1879</v>
      </c>
    </row>
    <row r="5" ht="22.5" hidden="1" customHeight="1">
      <c r="A5" s="5" t="s">
        <v>383</v>
      </c>
      <c r="B5" s="88" t="s">
        <v>490</v>
      </c>
      <c r="C5" s="76">
        <v>155.0</v>
      </c>
      <c r="D5" s="76">
        <v>0.0</v>
      </c>
      <c r="E5" s="73">
        <v>0.0</v>
      </c>
      <c r="F5" s="28">
        <v>0.0</v>
      </c>
      <c r="G5" s="1647">
        <v>5.0</v>
      </c>
      <c r="H5" s="73">
        <v>0.03225806451612903</v>
      </c>
      <c r="I5" s="28">
        <v>0.0</v>
      </c>
      <c r="J5" s="77">
        <v>9.0</v>
      </c>
      <c r="K5" s="1674">
        <v>0.05844155844155844</v>
      </c>
      <c r="L5" s="1667" t="s">
        <v>2418</v>
      </c>
    </row>
    <row r="6" ht="22.5" hidden="1" customHeight="1">
      <c r="A6" s="5" t="s">
        <v>383</v>
      </c>
      <c r="B6" s="88" t="s">
        <v>493</v>
      </c>
      <c r="C6" s="76">
        <v>138.0</v>
      </c>
      <c r="D6" s="76">
        <v>2.0</v>
      </c>
      <c r="E6" s="1669">
        <v>0.014492753623188406</v>
      </c>
      <c r="F6" s="28">
        <v>0.0</v>
      </c>
      <c r="G6" s="1647">
        <v>7.0</v>
      </c>
      <c r="H6" s="73">
        <v>0.050724637681159424</v>
      </c>
      <c r="I6" s="28">
        <v>0.0</v>
      </c>
      <c r="J6" s="77">
        <v>12.0</v>
      </c>
      <c r="K6" s="1677">
        <v>0.08888888888888889</v>
      </c>
      <c r="L6" s="1665" t="s">
        <v>2423</v>
      </c>
    </row>
    <row r="7" ht="22.5" hidden="1" customHeight="1">
      <c r="A7" s="5" t="s">
        <v>383</v>
      </c>
      <c r="B7" s="88" t="s">
        <v>496</v>
      </c>
      <c r="C7" s="76">
        <v>112.0</v>
      </c>
      <c r="D7" s="76">
        <v>1.0</v>
      </c>
      <c r="E7" s="1680">
        <v>0.008928571428571428</v>
      </c>
      <c r="F7" s="28">
        <v>0.0</v>
      </c>
      <c r="G7" s="1647">
        <v>2.0</v>
      </c>
      <c r="H7" s="73">
        <v>0.017857142857142856</v>
      </c>
      <c r="I7" s="28">
        <v>0.0</v>
      </c>
      <c r="J7" s="77">
        <v>3.0</v>
      </c>
      <c r="K7" s="1682">
        <v>0.02727272727272727</v>
      </c>
      <c r="L7" s="1667" t="s">
        <v>2428</v>
      </c>
    </row>
    <row r="8" ht="22.5" hidden="1" customHeight="1">
      <c r="A8" s="5" t="s">
        <v>383</v>
      </c>
      <c r="B8" s="88" t="s">
        <v>498</v>
      </c>
      <c r="C8" s="76">
        <v>107.0</v>
      </c>
      <c r="D8" s="76">
        <v>1.0</v>
      </c>
      <c r="E8" s="1684">
        <v>0.009345794392523364</v>
      </c>
      <c r="F8" s="28">
        <v>0.0</v>
      </c>
      <c r="G8" s="1647">
        <v>4.0</v>
      </c>
      <c r="H8" s="73">
        <v>0.037383177570093455</v>
      </c>
      <c r="I8" s="28">
        <v>0.0</v>
      </c>
      <c r="J8" s="77">
        <v>1.0</v>
      </c>
      <c r="K8" s="324">
        <v>0.009615384615384616</v>
      </c>
      <c r="L8" s="1667" t="s">
        <v>2432</v>
      </c>
    </row>
    <row r="9" ht="22.5" hidden="1" customHeight="1">
      <c r="A9" s="5" t="s">
        <v>383</v>
      </c>
      <c r="B9" s="88" t="s">
        <v>495</v>
      </c>
      <c r="C9" s="76">
        <v>92.0</v>
      </c>
      <c r="D9" s="76">
        <v>0.0</v>
      </c>
      <c r="E9" s="73">
        <v>0.0</v>
      </c>
      <c r="F9" s="28">
        <v>0.0</v>
      </c>
      <c r="G9" s="1647">
        <v>6.0</v>
      </c>
      <c r="H9" s="73">
        <v>0.06521739130434782</v>
      </c>
      <c r="I9" s="28">
        <v>0.0</v>
      </c>
      <c r="J9" s="77">
        <v>2.0</v>
      </c>
      <c r="K9" s="1670">
        <v>0.022222222222222223</v>
      </c>
      <c r="L9" s="1667" t="s">
        <v>1879</v>
      </c>
    </row>
    <row r="10" ht="22.5" hidden="1" customHeight="1">
      <c r="A10" s="5" t="s">
        <v>383</v>
      </c>
      <c r="B10" s="88" t="s">
        <v>494</v>
      </c>
      <c r="C10" s="76">
        <v>92.0</v>
      </c>
      <c r="D10" s="76">
        <v>1.0</v>
      </c>
      <c r="E10" s="1688">
        <v>0.010869565217391304</v>
      </c>
      <c r="F10" s="28">
        <v>0.0</v>
      </c>
      <c r="G10" s="1647">
        <v>3.0</v>
      </c>
      <c r="H10" s="73">
        <v>0.03260869565217391</v>
      </c>
      <c r="I10" s="28">
        <v>0.0</v>
      </c>
      <c r="J10" s="77">
        <v>1.0</v>
      </c>
      <c r="K10" s="1692">
        <v>0.011111111111111112</v>
      </c>
      <c r="L10" s="1667" t="s">
        <v>2437</v>
      </c>
    </row>
    <row r="11" ht="22.5" hidden="1" customHeight="1">
      <c r="A11" s="5" t="s">
        <v>383</v>
      </c>
      <c r="B11" s="88" t="s">
        <v>499</v>
      </c>
      <c r="C11" s="76">
        <v>82.0</v>
      </c>
      <c r="D11" s="76">
        <v>0.0</v>
      </c>
      <c r="E11" s="73">
        <v>0.0</v>
      </c>
      <c r="F11" s="28">
        <v>0.0</v>
      </c>
      <c r="G11" s="1647">
        <v>4.0</v>
      </c>
      <c r="H11" s="73">
        <v>0.04878048780487805</v>
      </c>
      <c r="I11" s="28">
        <v>0.0</v>
      </c>
      <c r="J11" s="77">
        <v>6.0</v>
      </c>
      <c r="K11" s="1695">
        <v>0.075</v>
      </c>
      <c r="L11" s="1667" t="s">
        <v>1915</v>
      </c>
    </row>
    <row r="12" ht="22.5" hidden="1" customHeight="1">
      <c r="A12" s="5" t="s">
        <v>383</v>
      </c>
      <c r="B12" s="88" t="s">
        <v>500</v>
      </c>
      <c r="C12" s="76">
        <v>77.0</v>
      </c>
      <c r="D12" s="76">
        <v>1.0</v>
      </c>
      <c r="E12" s="1698">
        <v>0.012987012987012988</v>
      </c>
      <c r="F12" s="28">
        <v>0.0</v>
      </c>
      <c r="G12" s="1647">
        <v>1.0</v>
      </c>
      <c r="H12" s="73">
        <v>0.012987012987012988</v>
      </c>
      <c r="I12" s="28">
        <v>0.0</v>
      </c>
      <c r="J12" s="77">
        <v>2.0</v>
      </c>
      <c r="K12" s="1683">
        <v>0.02631578947368421</v>
      </c>
      <c r="L12" s="1667" t="s">
        <v>1879</v>
      </c>
    </row>
    <row r="13" ht="22.5" hidden="1" customHeight="1">
      <c r="A13" s="5" t="s">
        <v>383</v>
      </c>
      <c r="B13" s="88" t="s">
        <v>506</v>
      </c>
      <c r="C13" s="76">
        <v>72.0</v>
      </c>
      <c r="D13" s="76">
        <v>0.0</v>
      </c>
      <c r="E13" s="73">
        <v>0.0</v>
      </c>
      <c r="F13" s="28">
        <v>0.0</v>
      </c>
      <c r="G13" s="1647">
        <v>0.0</v>
      </c>
      <c r="H13" s="73">
        <v>0.0</v>
      </c>
      <c r="I13" s="28">
        <v>0.0</v>
      </c>
      <c r="J13" s="77">
        <v>3.0</v>
      </c>
      <c r="K13" s="1700">
        <v>0.043478260869565216</v>
      </c>
      <c r="L13" s="1667" t="s">
        <v>2438</v>
      </c>
    </row>
    <row r="14" ht="22.5" hidden="1" customHeight="1">
      <c r="A14" s="5" t="s">
        <v>383</v>
      </c>
      <c r="B14" s="88" t="s">
        <v>507</v>
      </c>
      <c r="C14" s="76">
        <v>71.0</v>
      </c>
      <c r="D14" s="76">
        <v>0.0</v>
      </c>
      <c r="E14" s="73">
        <v>0.0</v>
      </c>
      <c r="F14" s="28">
        <v>0.0</v>
      </c>
      <c r="G14" s="1647">
        <v>7.0</v>
      </c>
      <c r="H14" s="73">
        <v>0.09859154929577464</v>
      </c>
      <c r="I14" s="28">
        <v>0.0</v>
      </c>
      <c r="J14" s="77">
        <v>2.0</v>
      </c>
      <c r="K14" s="1586">
        <v>0.02857142857142857</v>
      </c>
      <c r="L14" s="1667" t="s">
        <v>1918</v>
      </c>
    </row>
    <row r="15" ht="22.5" hidden="1" customHeight="1">
      <c r="A15" s="5" t="s">
        <v>383</v>
      </c>
      <c r="B15" s="88" t="s">
        <v>501</v>
      </c>
      <c r="C15" s="76">
        <v>66.0</v>
      </c>
      <c r="D15" s="76">
        <v>1.0</v>
      </c>
      <c r="E15" s="1705">
        <v>0.015151515151515152</v>
      </c>
      <c r="F15" s="28">
        <v>0.0</v>
      </c>
      <c r="G15" s="1647">
        <v>6.0</v>
      </c>
      <c r="H15" s="73">
        <v>0.09090909090909091</v>
      </c>
      <c r="I15" s="28">
        <v>0.0</v>
      </c>
      <c r="J15" s="77">
        <v>6.0</v>
      </c>
      <c r="K15" s="325">
        <v>0.0967741935483871</v>
      </c>
      <c r="L15" s="1667" t="s">
        <v>2432</v>
      </c>
    </row>
    <row r="16" ht="22.5" hidden="1" customHeight="1">
      <c r="A16" s="5" t="s">
        <v>383</v>
      </c>
      <c r="B16" s="88" t="s">
        <v>504</v>
      </c>
      <c r="C16" s="76">
        <v>55.0</v>
      </c>
      <c r="D16" s="76">
        <v>3.0</v>
      </c>
      <c r="E16" s="1709">
        <v>0.05454545454545454</v>
      </c>
      <c r="F16" s="28">
        <v>0.0</v>
      </c>
      <c r="G16" s="1647">
        <v>1.0</v>
      </c>
      <c r="H16" s="73">
        <v>0.01818181818181818</v>
      </c>
      <c r="I16" s="28">
        <v>0.0</v>
      </c>
      <c r="J16" s="77">
        <v>3.0</v>
      </c>
      <c r="K16" s="1711">
        <v>0.058823529411764705</v>
      </c>
      <c r="L16" s="1667" t="s">
        <v>2419</v>
      </c>
    </row>
    <row r="17" ht="22.5" hidden="1" customHeight="1">
      <c r="A17" s="5" t="s">
        <v>383</v>
      </c>
      <c r="B17" s="88" t="s">
        <v>502</v>
      </c>
      <c r="C17" s="76">
        <v>54.0</v>
      </c>
      <c r="D17" s="76">
        <v>0.0</v>
      </c>
      <c r="E17" s="73">
        <v>0.0</v>
      </c>
      <c r="F17" s="28">
        <v>0.0</v>
      </c>
      <c r="G17" s="1647">
        <v>1.0</v>
      </c>
      <c r="H17" s="73">
        <v>0.018518518518518517</v>
      </c>
      <c r="I17" s="28">
        <v>0.0</v>
      </c>
      <c r="J17" s="77">
        <v>0.0</v>
      </c>
      <c r="K17" s="73">
        <v>0.0</v>
      </c>
      <c r="L17" s="1667" t="s">
        <v>2331</v>
      </c>
    </row>
    <row r="18" ht="22.5" hidden="1" customHeight="1">
      <c r="A18" s="5" t="s">
        <v>383</v>
      </c>
      <c r="B18" s="88" t="s">
        <v>2262</v>
      </c>
      <c r="C18" s="76">
        <v>51.0</v>
      </c>
      <c r="D18" s="76">
        <v>5.0</v>
      </c>
      <c r="E18" s="1594">
        <v>0.09803921568627451</v>
      </c>
      <c r="F18" s="28">
        <v>0.0</v>
      </c>
      <c r="G18" s="1647">
        <v>1.0</v>
      </c>
      <c r="H18" s="73">
        <v>0.0196078431372549</v>
      </c>
      <c r="I18" s="28">
        <v>0.0</v>
      </c>
      <c r="J18" s="77">
        <v>2.0</v>
      </c>
      <c r="K18" s="1712">
        <v>0.044444444444444446</v>
      </c>
      <c r="L18" s="1667" t="s">
        <v>2432</v>
      </c>
    </row>
    <row r="19" ht="22.5" hidden="1" customHeight="1">
      <c r="A19" s="5" t="s">
        <v>383</v>
      </c>
      <c r="B19" s="88" t="s">
        <v>492</v>
      </c>
      <c r="C19" s="76">
        <v>50.0</v>
      </c>
      <c r="D19" s="76">
        <v>1.0</v>
      </c>
      <c r="E19" s="1713">
        <v>0.02</v>
      </c>
      <c r="F19" s="28">
        <v>0.0</v>
      </c>
      <c r="G19" s="1647">
        <v>1.0</v>
      </c>
      <c r="H19" s="73">
        <v>0.02</v>
      </c>
      <c r="I19" s="28">
        <v>0.0</v>
      </c>
      <c r="J19" s="77">
        <v>4.0</v>
      </c>
      <c r="K19" s="1715">
        <v>0.08333333333333333</v>
      </c>
      <c r="L19" s="1667" t="s">
        <v>1879</v>
      </c>
    </row>
    <row r="20" ht="22.5" hidden="1" customHeight="1">
      <c r="A20" s="5" t="s">
        <v>383</v>
      </c>
      <c r="B20" s="88" t="s">
        <v>505</v>
      </c>
      <c r="C20" s="76">
        <v>45.0</v>
      </c>
      <c r="D20" s="76">
        <v>0.0</v>
      </c>
      <c r="E20" s="73">
        <v>0.0</v>
      </c>
      <c r="F20" s="28">
        <v>0.0</v>
      </c>
      <c r="G20" s="1647">
        <v>0.0</v>
      </c>
      <c r="H20" s="73">
        <v>0.0</v>
      </c>
      <c r="I20" s="28">
        <v>0.0</v>
      </c>
      <c r="J20" s="77">
        <v>0.0</v>
      </c>
      <c r="K20" s="73">
        <v>0.0</v>
      </c>
      <c r="L20" s="1667" t="s">
        <v>2468</v>
      </c>
    </row>
    <row r="21" ht="22.5" hidden="1" customHeight="1">
      <c r="A21" s="5" t="s">
        <v>383</v>
      </c>
      <c r="B21" s="88" t="s">
        <v>503</v>
      </c>
      <c r="C21" s="76">
        <v>44.0</v>
      </c>
      <c r="D21" s="76">
        <v>0.0</v>
      </c>
      <c r="E21" s="73">
        <v>0.0</v>
      </c>
      <c r="F21" s="28">
        <v>0.0</v>
      </c>
      <c r="G21" s="1647">
        <v>0.0</v>
      </c>
      <c r="H21" s="73">
        <v>0.0</v>
      </c>
      <c r="I21" s="28">
        <v>0.0</v>
      </c>
      <c r="J21" s="77">
        <v>1.0</v>
      </c>
      <c r="K21" s="1670">
        <v>0.022727272727272728</v>
      </c>
      <c r="L21" s="1667" t="s">
        <v>2475</v>
      </c>
    </row>
    <row r="22" ht="22.5" hidden="1" customHeight="1">
      <c r="A22" s="5" t="s">
        <v>383</v>
      </c>
      <c r="B22" s="88" t="s">
        <v>508</v>
      </c>
      <c r="C22" s="76">
        <v>22.0</v>
      </c>
      <c r="D22" s="76">
        <v>1.0</v>
      </c>
      <c r="E22" s="73">
        <v>0.045454545454545456</v>
      </c>
      <c r="F22" s="28">
        <v>0.0</v>
      </c>
      <c r="G22" s="1647">
        <v>1.0</v>
      </c>
      <c r="H22" s="73">
        <v>0.045454545454545456</v>
      </c>
      <c r="I22" s="28">
        <v>0.0</v>
      </c>
      <c r="J22" s="77">
        <v>2.0</v>
      </c>
      <c r="K22" s="73">
        <v>0.09523809523809523</v>
      </c>
      <c r="L22" s="1667" t="s">
        <v>1879</v>
      </c>
    </row>
    <row r="23" ht="22.5" hidden="1" customHeight="1">
      <c r="A23" s="5" t="s">
        <v>11</v>
      </c>
      <c r="B23" s="1718" t="s">
        <v>15</v>
      </c>
      <c r="C23" s="1719">
        <v>407.0</v>
      </c>
      <c r="D23" s="1721">
        <v>3.0</v>
      </c>
      <c r="E23" s="1722">
        <v>0.0073</v>
      </c>
      <c r="F23" s="1724" t="s">
        <v>2482</v>
      </c>
      <c r="G23" s="1725">
        <v>4.0</v>
      </c>
      <c r="H23" s="1726">
        <v>0.0098</v>
      </c>
      <c r="I23" s="1727" t="s">
        <v>2484</v>
      </c>
      <c r="J23" s="1729">
        <v>27.0</v>
      </c>
      <c r="K23" s="1730">
        <v>0.0761</v>
      </c>
      <c r="L23" s="1731" t="s">
        <v>2487</v>
      </c>
    </row>
    <row r="24" ht="22.5" hidden="1" customHeight="1">
      <c r="A24" s="5" t="s">
        <v>11</v>
      </c>
      <c r="B24" s="1718" t="s">
        <v>13</v>
      </c>
      <c r="C24" s="1720">
        <v>1188.0</v>
      </c>
      <c r="D24" s="1720" t="s">
        <v>17</v>
      </c>
      <c r="E24" s="1720" t="s">
        <v>17</v>
      </c>
      <c r="F24" s="1724" t="s">
        <v>17</v>
      </c>
      <c r="G24" s="1734">
        <v>29.0</v>
      </c>
      <c r="H24" s="1736">
        <v>0.0244</v>
      </c>
      <c r="I24" s="1727" t="s">
        <v>2489</v>
      </c>
      <c r="J24" s="1738">
        <v>37.0</v>
      </c>
      <c r="K24" s="1739">
        <v>0.0334</v>
      </c>
      <c r="L24" s="1732" t="s">
        <v>2389</v>
      </c>
    </row>
    <row r="25" ht="22.5" hidden="1" customHeight="1">
      <c r="A25" s="5" t="s">
        <v>11</v>
      </c>
      <c r="B25" s="1718" t="s">
        <v>27</v>
      </c>
      <c r="C25" s="1719">
        <v>665.0</v>
      </c>
      <c r="D25" s="1743">
        <v>2.0</v>
      </c>
      <c r="E25" s="1744">
        <v>0.003</v>
      </c>
      <c r="F25" s="1724" t="s">
        <v>2495</v>
      </c>
      <c r="G25" s="1745">
        <v>11.0</v>
      </c>
      <c r="H25" s="1747">
        <v>0.0165</v>
      </c>
      <c r="I25" s="1727" t="s">
        <v>696</v>
      </c>
      <c r="J25" s="1749">
        <v>9.0</v>
      </c>
      <c r="K25" s="1733">
        <v>0.0145</v>
      </c>
      <c r="L25" s="1752" t="s">
        <v>2499</v>
      </c>
    </row>
    <row r="26" ht="22.5" hidden="1" customHeight="1">
      <c r="A26" s="5" t="s">
        <v>11</v>
      </c>
      <c r="B26" s="1718" t="s">
        <v>33</v>
      </c>
      <c r="C26" s="1719">
        <v>805.0</v>
      </c>
      <c r="D26" s="1719" t="s">
        <v>17</v>
      </c>
      <c r="E26" s="1720" t="s">
        <v>17</v>
      </c>
      <c r="F26" s="1724" t="s">
        <v>17</v>
      </c>
      <c r="G26" s="1754">
        <v>14.0</v>
      </c>
      <c r="H26" s="1757">
        <v>0.0174</v>
      </c>
      <c r="I26" s="1727" t="s">
        <v>2504</v>
      </c>
      <c r="J26" s="1760">
        <v>30.0</v>
      </c>
      <c r="K26" s="1761">
        <v>0.0401</v>
      </c>
      <c r="L26" s="1762" t="s">
        <v>2263</v>
      </c>
    </row>
    <row r="27" ht="22.5" hidden="1" customHeight="1">
      <c r="A27" s="5" t="s">
        <v>11</v>
      </c>
      <c r="B27" s="1718" t="s">
        <v>19</v>
      </c>
      <c r="C27" s="1719">
        <v>1221.0</v>
      </c>
      <c r="D27" s="1719" t="s">
        <v>17</v>
      </c>
      <c r="E27" s="1720" t="s">
        <v>17</v>
      </c>
      <c r="F27" s="1724" t="s">
        <v>17</v>
      </c>
      <c r="G27" s="1765">
        <v>20.0</v>
      </c>
      <c r="H27" s="1747">
        <v>0.0164</v>
      </c>
      <c r="I27" s="1727" t="s">
        <v>2509</v>
      </c>
      <c r="J27" s="1768">
        <v>26.0</v>
      </c>
      <c r="K27" s="1769">
        <v>0.0223</v>
      </c>
      <c r="L27" s="1770" t="s">
        <v>2511</v>
      </c>
    </row>
    <row r="28" ht="22.5" hidden="1" customHeight="1">
      <c r="A28" s="5" t="s">
        <v>11</v>
      </c>
      <c r="B28" s="1718" t="s">
        <v>46</v>
      </c>
      <c r="C28" s="1719">
        <v>97.0</v>
      </c>
      <c r="D28" s="1719" t="s">
        <v>17</v>
      </c>
      <c r="E28" s="1720" t="s">
        <v>17</v>
      </c>
      <c r="F28" s="1724" t="s">
        <v>17</v>
      </c>
      <c r="G28" s="1703">
        <v>1.0</v>
      </c>
      <c r="H28" s="1728">
        <v>0.0</v>
      </c>
      <c r="I28" s="1727" t="s">
        <v>1153</v>
      </c>
      <c r="J28" s="1703">
        <v>1.0</v>
      </c>
      <c r="K28" s="1773">
        <v>0.0108</v>
      </c>
      <c r="L28" s="1774" t="s">
        <v>1879</v>
      </c>
    </row>
    <row r="29" ht="22.5" hidden="1" customHeight="1">
      <c r="A29" s="5" t="s">
        <v>11</v>
      </c>
      <c r="B29" s="1718" t="s">
        <v>50</v>
      </c>
      <c r="C29" s="1720">
        <v>420.0</v>
      </c>
      <c r="D29" s="1720" t="s">
        <v>17</v>
      </c>
      <c r="E29" s="1720" t="s">
        <v>17</v>
      </c>
      <c r="F29" s="1724" t="s">
        <v>17</v>
      </c>
      <c r="G29" s="1776">
        <v>10.0</v>
      </c>
      <c r="H29" s="1772">
        <v>0.0238</v>
      </c>
      <c r="I29" s="1727" t="s">
        <v>2524</v>
      </c>
      <c r="J29" s="1778">
        <v>20.0</v>
      </c>
      <c r="K29" s="1779">
        <v>0.0539</v>
      </c>
      <c r="L29" s="1732" t="s">
        <v>2527</v>
      </c>
    </row>
    <row r="30" ht="22.5" hidden="1" customHeight="1">
      <c r="A30" s="5" t="s">
        <v>11</v>
      </c>
      <c r="B30" s="1718" t="s">
        <v>58</v>
      </c>
      <c r="C30" s="1719">
        <v>537.0</v>
      </c>
      <c r="D30" s="1719" t="s">
        <v>17</v>
      </c>
      <c r="E30" s="1720" t="s">
        <v>17</v>
      </c>
      <c r="F30" s="1724" t="s">
        <v>17</v>
      </c>
      <c r="G30" s="1754">
        <v>14.0</v>
      </c>
      <c r="H30" s="1782">
        <v>0.0261</v>
      </c>
      <c r="I30" s="1727" t="s">
        <v>2532</v>
      </c>
      <c r="J30" s="1783">
        <v>3.0</v>
      </c>
      <c r="K30" s="1728">
        <v>0.0059</v>
      </c>
      <c r="L30" s="1786" t="s">
        <v>2432</v>
      </c>
    </row>
    <row r="31" ht="22.5" hidden="1" customHeight="1">
      <c r="A31" s="5" t="s">
        <v>11</v>
      </c>
      <c r="B31" s="1718" t="s">
        <v>64</v>
      </c>
      <c r="C31" s="1720">
        <v>376.0</v>
      </c>
      <c r="D31" s="1703">
        <v>1.0</v>
      </c>
      <c r="E31" s="1726">
        <v>0.0027</v>
      </c>
      <c r="F31" s="1724" t="s">
        <v>2540</v>
      </c>
      <c r="G31" s="1788">
        <v>2.0</v>
      </c>
      <c r="H31" s="1785">
        <v>0.0053</v>
      </c>
      <c r="I31" s="1727" t="s">
        <v>2542</v>
      </c>
      <c r="J31" s="1783">
        <v>3.0</v>
      </c>
      <c r="K31" s="1789">
        <v>0.0087</v>
      </c>
      <c r="L31" s="1732" t="s">
        <v>2543</v>
      </c>
    </row>
    <row r="32" ht="22.5" hidden="1" customHeight="1">
      <c r="A32" s="5" t="s">
        <v>11</v>
      </c>
      <c r="B32" s="1718" t="s">
        <v>77</v>
      </c>
      <c r="C32" s="1719">
        <v>443.0</v>
      </c>
      <c r="D32" s="1719" t="s">
        <v>17</v>
      </c>
      <c r="E32" s="1720" t="s">
        <v>17</v>
      </c>
      <c r="F32" s="1724" t="s">
        <v>17</v>
      </c>
      <c r="G32" s="1725">
        <v>4.0</v>
      </c>
      <c r="H32" s="1794">
        <v>0.009</v>
      </c>
      <c r="I32" s="1727" t="s">
        <v>2547</v>
      </c>
      <c r="J32" s="1796">
        <v>8.0</v>
      </c>
      <c r="K32" s="1797">
        <v>0.0189</v>
      </c>
      <c r="L32" s="1799" t="s">
        <v>2357</v>
      </c>
    </row>
    <row r="33" ht="22.5" hidden="1" customHeight="1">
      <c r="A33" s="5" t="s">
        <v>11</v>
      </c>
      <c r="B33" s="1718" t="s">
        <v>82</v>
      </c>
      <c r="C33" s="1720">
        <v>440.0</v>
      </c>
      <c r="D33" s="1720" t="s">
        <v>17</v>
      </c>
      <c r="E33" s="1720" t="s">
        <v>17</v>
      </c>
      <c r="F33" s="1724" t="s">
        <v>17</v>
      </c>
      <c r="G33" s="1784">
        <v>3.0</v>
      </c>
      <c r="H33" s="1803">
        <v>0.0068</v>
      </c>
      <c r="I33" s="1727" t="s">
        <v>2551</v>
      </c>
      <c r="J33" s="1805">
        <v>13.0</v>
      </c>
      <c r="K33" s="1792">
        <v>0.0312</v>
      </c>
      <c r="L33" s="1799" t="s">
        <v>2357</v>
      </c>
    </row>
    <row r="34" ht="22.5" hidden="1" customHeight="1">
      <c r="A34" s="5" t="s">
        <v>11</v>
      </c>
      <c r="B34" s="1718" t="s">
        <v>90</v>
      </c>
      <c r="C34" s="1719">
        <v>450.0</v>
      </c>
      <c r="D34" s="1719" t="s">
        <v>17</v>
      </c>
      <c r="E34" s="1720" t="s">
        <v>17</v>
      </c>
      <c r="F34" s="1724" t="s">
        <v>17</v>
      </c>
      <c r="G34" s="1725">
        <v>4.0</v>
      </c>
      <c r="H34" s="1810">
        <v>0.0089</v>
      </c>
      <c r="I34" s="1727" t="s">
        <v>2556</v>
      </c>
      <c r="J34" s="1811"/>
      <c r="K34" s="1812"/>
      <c r="L34" s="1774" t="s">
        <v>1879</v>
      </c>
    </row>
    <row r="35" ht="22.5" hidden="1" customHeight="1">
      <c r="A35" s="5" t="s">
        <v>11</v>
      </c>
      <c r="B35" s="1718" t="s">
        <v>94</v>
      </c>
      <c r="C35" s="1720">
        <v>431.0</v>
      </c>
      <c r="D35" s="1720" t="s">
        <v>17</v>
      </c>
      <c r="E35" s="1720" t="s">
        <v>17</v>
      </c>
      <c r="F35" s="1724" t="s">
        <v>17</v>
      </c>
      <c r="G35" s="1815">
        <v>6.0</v>
      </c>
      <c r="H35" s="1781">
        <v>0.0139</v>
      </c>
      <c r="I35" s="1727" t="s">
        <v>2558</v>
      </c>
      <c r="J35" s="1768">
        <v>26.0</v>
      </c>
      <c r="K35" s="1817">
        <v>0.067</v>
      </c>
      <c r="L35" s="1818" t="s">
        <v>2559</v>
      </c>
    </row>
    <row r="36" ht="22.5" hidden="1" customHeight="1">
      <c r="A36" s="5" t="s">
        <v>11</v>
      </c>
      <c r="B36" s="1718" t="s">
        <v>39</v>
      </c>
      <c r="C36" s="1719">
        <v>831.0</v>
      </c>
      <c r="D36" s="1721">
        <v>3.0</v>
      </c>
      <c r="E36" s="1814">
        <v>0.0036</v>
      </c>
      <c r="F36" s="1724" t="s">
        <v>2561</v>
      </c>
      <c r="G36" s="1822">
        <v>16.0</v>
      </c>
      <c r="H36" s="1823">
        <v>0.0193</v>
      </c>
      <c r="I36" s="1727" t="s">
        <v>2563</v>
      </c>
      <c r="J36" s="1723">
        <v>70.0</v>
      </c>
      <c r="K36" s="1722">
        <v>0.095</v>
      </c>
      <c r="L36" s="1742" t="s">
        <v>2384</v>
      </c>
    </row>
    <row r="37" ht="22.5" hidden="1" customHeight="1">
      <c r="A37" s="5" t="s">
        <v>11</v>
      </c>
      <c r="B37" s="1718" t="s">
        <v>1989</v>
      </c>
      <c r="C37" s="1719">
        <v>536.0</v>
      </c>
      <c r="D37" s="1719" t="s">
        <v>17</v>
      </c>
      <c r="E37" s="1720" t="s">
        <v>17</v>
      </c>
      <c r="F37" s="1724" t="s">
        <v>17</v>
      </c>
      <c r="G37" s="1824">
        <v>5.0</v>
      </c>
      <c r="H37" s="1794">
        <v>0.0093</v>
      </c>
      <c r="I37" s="1727" t="s">
        <v>2566</v>
      </c>
      <c r="J37" s="1826">
        <v>5.0</v>
      </c>
      <c r="K37" s="1827">
        <v>0.0098</v>
      </c>
      <c r="L37" s="1774" t="s">
        <v>1879</v>
      </c>
    </row>
    <row r="38" ht="22.5" hidden="1" customHeight="1">
      <c r="A38" s="5" t="s">
        <v>11</v>
      </c>
      <c r="B38" s="1718" t="s">
        <v>59</v>
      </c>
      <c r="C38" s="1719">
        <v>785.0</v>
      </c>
      <c r="D38" s="1719" t="s">
        <v>17</v>
      </c>
      <c r="E38" s="1720" t="s">
        <v>17</v>
      </c>
      <c r="F38" s="1724" t="s">
        <v>17</v>
      </c>
      <c r="G38" s="1830">
        <v>21.0</v>
      </c>
      <c r="H38" s="1831">
        <v>0.028</v>
      </c>
      <c r="I38" s="1727" t="s">
        <v>2570</v>
      </c>
      <c r="J38" s="1832">
        <v>48.0</v>
      </c>
      <c r="K38" s="1741">
        <v>0.0646</v>
      </c>
      <c r="L38" s="1732" t="s">
        <v>2571</v>
      </c>
    </row>
    <row r="39" ht="22.5" hidden="1" customHeight="1">
      <c r="A39" s="5" t="s">
        <v>11</v>
      </c>
      <c r="B39" s="1718" t="s">
        <v>114</v>
      </c>
      <c r="C39" s="1719">
        <v>370.0</v>
      </c>
      <c r="D39" s="1743">
        <v>2.0</v>
      </c>
      <c r="E39" s="1736">
        <v>0.0054</v>
      </c>
      <c r="F39" s="1724" t="s">
        <v>277</v>
      </c>
      <c r="G39" s="1824">
        <v>5.0</v>
      </c>
      <c r="H39" s="1833">
        <v>0.0135</v>
      </c>
      <c r="I39" s="1727" t="s">
        <v>2574</v>
      </c>
      <c r="J39" s="1749">
        <v>9.0</v>
      </c>
      <c r="K39" s="1833">
        <v>0.0262</v>
      </c>
      <c r="L39" s="1759" t="s">
        <v>2265</v>
      </c>
    </row>
    <row r="40" ht="22.5" hidden="1" customHeight="1">
      <c r="A40" s="5" t="s">
        <v>11</v>
      </c>
      <c r="B40" s="1718" t="s">
        <v>119</v>
      </c>
      <c r="C40" s="1720">
        <v>287.0</v>
      </c>
      <c r="D40" s="1720" t="s">
        <v>17</v>
      </c>
      <c r="E40" s="1720" t="s">
        <v>17</v>
      </c>
      <c r="F40" s="1724" t="s">
        <v>17</v>
      </c>
      <c r="G40" s="1838">
        <v>8.0</v>
      </c>
      <c r="H40" s="1831">
        <v>0.0279</v>
      </c>
      <c r="I40" s="1727" t="s">
        <v>2577</v>
      </c>
      <c r="J40" s="1796">
        <v>8.0</v>
      </c>
      <c r="K40" s="1792">
        <v>0.0304</v>
      </c>
      <c r="L40" s="1775" t="s">
        <v>2578</v>
      </c>
    </row>
    <row r="41" ht="22.5" hidden="1" customHeight="1">
      <c r="A41" s="5" t="s">
        <v>11</v>
      </c>
      <c r="B41" s="1718" t="s">
        <v>126</v>
      </c>
      <c r="C41" s="1720">
        <v>266.0</v>
      </c>
      <c r="D41" s="1703">
        <v>1.0</v>
      </c>
      <c r="E41" s="1780">
        <v>0.0037</v>
      </c>
      <c r="F41" s="1724" t="s">
        <v>277</v>
      </c>
      <c r="G41" s="1843">
        <v>7.0</v>
      </c>
      <c r="H41" s="1844">
        <v>0.0263</v>
      </c>
      <c r="I41" s="1727" t="s">
        <v>2581</v>
      </c>
      <c r="J41" s="1845">
        <v>4.0</v>
      </c>
      <c r="K41" s="1846">
        <v>0.0169</v>
      </c>
      <c r="L41" s="1847" t="s">
        <v>2582</v>
      </c>
    </row>
    <row r="42" ht="22.5" hidden="1" customHeight="1">
      <c r="A42" s="5" t="s">
        <v>11</v>
      </c>
      <c r="B42" s="1718" t="s">
        <v>136</v>
      </c>
      <c r="C42" s="1719">
        <v>578.0</v>
      </c>
      <c r="D42" s="1743">
        <v>2.0</v>
      </c>
      <c r="E42" s="1755">
        <v>0.004</v>
      </c>
      <c r="F42" s="1724" t="s">
        <v>2584</v>
      </c>
      <c r="G42" s="1703">
        <v>1.0</v>
      </c>
      <c r="H42" s="1720" t="s">
        <v>17</v>
      </c>
      <c r="I42" s="1727" t="s">
        <v>105</v>
      </c>
      <c r="J42" s="1851">
        <v>6.0</v>
      </c>
      <c r="K42" s="1852">
        <v>0.0126</v>
      </c>
      <c r="L42" s="1732" t="s">
        <v>2587</v>
      </c>
    </row>
    <row r="43" ht="22.5" hidden="1" customHeight="1">
      <c r="A43" s="5" t="s">
        <v>11</v>
      </c>
      <c r="B43" s="1718" t="s">
        <v>145</v>
      </c>
      <c r="C43" s="1720">
        <v>314.0</v>
      </c>
      <c r="D43" s="1720" t="s">
        <v>17</v>
      </c>
      <c r="E43" s="1720" t="s">
        <v>17</v>
      </c>
      <c r="F43" s="1724" t="s">
        <v>17</v>
      </c>
      <c r="G43" s="1725">
        <v>4.0</v>
      </c>
      <c r="H43" s="1744">
        <v>0.0127</v>
      </c>
      <c r="I43" s="1727" t="s">
        <v>2589</v>
      </c>
      <c r="J43" s="1855">
        <v>16.0</v>
      </c>
      <c r="K43" s="1779">
        <v>0.055</v>
      </c>
      <c r="L43" s="1759" t="s">
        <v>1907</v>
      </c>
    </row>
    <row r="44" ht="22.5" hidden="1" customHeight="1">
      <c r="A44" s="5" t="s">
        <v>11</v>
      </c>
      <c r="B44" s="1718" t="s">
        <v>85</v>
      </c>
      <c r="C44" s="1719">
        <v>662.0</v>
      </c>
      <c r="D44" s="1708">
        <v>1.0</v>
      </c>
      <c r="E44" s="1728">
        <v>0.0015</v>
      </c>
      <c r="F44" s="1724" t="s">
        <v>41</v>
      </c>
      <c r="G44" s="1859">
        <v>15.0</v>
      </c>
      <c r="H44" s="1861">
        <v>0.0227</v>
      </c>
      <c r="I44" s="1727" t="s">
        <v>2593</v>
      </c>
      <c r="J44" s="1862">
        <v>28.0</v>
      </c>
      <c r="K44" s="1823">
        <v>0.0451</v>
      </c>
      <c r="L44" s="1732" t="s">
        <v>2594</v>
      </c>
    </row>
    <row r="45" ht="22.5" hidden="1" customHeight="1">
      <c r="A45" s="5" t="s">
        <v>11</v>
      </c>
      <c r="B45" s="1718" t="s">
        <v>109</v>
      </c>
      <c r="C45" s="1719">
        <v>498.0</v>
      </c>
      <c r="D45" s="1708">
        <v>1.0</v>
      </c>
      <c r="E45" s="1865">
        <v>0.002</v>
      </c>
      <c r="F45" s="1724" t="s">
        <v>173</v>
      </c>
      <c r="G45" s="1824">
        <v>5.0</v>
      </c>
      <c r="H45" s="1867">
        <v>0.01</v>
      </c>
      <c r="I45" s="1727" t="s">
        <v>2598</v>
      </c>
      <c r="J45" s="1826">
        <v>5.0</v>
      </c>
      <c r="K45" s="1773">
        <v>0.0106</v>
      </c>
      <c r="L45" s="1759" t="s">
        <v>2599</v>
      </c>
    </row>
    <row r="46" ht="22.5" hidden="1" customHeight="1">
      <c r="A46" s="5" t="s">
        <v>11</v>
      </c>
      <c r="B46" s="1718" t="s">
        <v>49</v>
      </c>
      <c r="C46" s="1719">
        <v>655.0</v>
      </c>
      <c r="D46" s="1708">
        <v>1.0</v>
      </c>
      <c r="E46" s="1728">
        <v>0.0015</v>
      </c>
      <c r="F46" s="1724" t="s">
        <v>277</v>
      </c>
      <c r="G46" s="1815">
        <v>6.0</v>
      </c>
      <c r="H46" s="1794">
        <v>0.0092</v>
      </c>
      <c r="I46" s="1727" t="s">
        <v>2602</v>
      </c>
      <c r="J46" s="1796">
        <v>8.0</v>
      </c>
      <c r="K46" s="1852">
        <v>0.0129</v>
      </c>
      <c r="L46" s="1871" t="s">
        <v>2604</v>
      </c>
    </row>
    <row r="47" ht="22.5" hidden="1" customHeight="1">
      <c r="A47" s="5" t="s">
        <v>11</v>
      </c>
      <c r="B47" s="1718" t="s">
        <v>115</v>
      </c>
      <c r="C47" s="1720">
        <v>412.0</v>
      </c>
      <c r="D47" s="1720" t="s">
        <v>17</v>
      </c>
      <c r="E47" s="1720" t="s">
        <v>17</v>
      </c>
      <c r="F47" s="1724" t="s">
        <v>17</v>
      </c>
      <c r="G47" s="1815">
        <v>6.0</v>
      </c>
      <c r="H47" s="1808">
        <v>0.0146</v>
      </c>
      <c r="I47" s="1727" t="s">
        <v>2606</v>
      </c>
      <c r="J47" s="1837">
        <v>7.0</v>
      </c>
      <c r="K47" s="1797">
        <v>0.0185</v>
      </c>
      <c r="L47" s="1799" t="s">
        <v>2357</v>
      </c>
    </row>
    <row r="48" ht="22.5" hidden="1" customHeight="1">
      <c r="A48" s="5" t="s">
        <v>11</v>
      </c>
      <c r="B48" s="1718" t="s">
        <v>45</v>
      </c>
      <c r="C48" s="1719">
        <v>772.0</v>
      </c>
      <c r="D48" s="1719" t="s">
        <v>17</v>
      </c>
      <c r="E48" s="1720" t="s">
        <v>17</v>
      </c>
      <c r="F48" s="1724" t="s">
        <v>17</v>
      </c>
      <c r="G48" s="1776">
        <v>10.0</v>
      </c>
      <c r="H48" s="1744">
        <v>0.013</v>
      </c>
      <c r="I48" s="1727" t="s">
        <v>2610</v>
      </c>
      <c r="J48" s="1876">
        <v>12.0</v>
      </c>
      <c r="K48" s="1878">
        <v>0.0167</v>
      </c>
      <c r="L48" s="1880" t="s">
        <v>2392</v>
      </c>
    </row>
    <row r="49" ht="22.5" hidden="1" customHeight="1">
      <c r="A49" s="5" t="s">
        <v>11</v>
      </c>
      <c r="B49" s="1718" t="s">
        <v>170</v>
      </c>
      <c r="C49" s="1720">
        <v>323.0</v>
      </c>
      <c r="D49" s="1703">
        <v>1.0</v>
      </c>
      <c r="E49" s="1781">
        <v>0.0031</v>
      </c>
      <c r="F49" s="1724" t="s">
        <v>41</v>
      </c>
      <c r="G49" s="1883">
        <v>9.0</v>
      </c>
      <c r="H49" s="1831">
        <v>0.0279</v>
      </c>
      <c r="I49" s="1727" t="s">
        <v>2614</v>
      </c>
      <c r="J49" s="1885">
        <v>10.0</v>
      </c>
      <c r="K49" s="1739">
        <v>0.0334</v>
      </c>
      <c r="L49" s="1759" t="s">
        <v>2617</v>
      </c>
    </row>
    <row r="50" ht="22.5" hidden="1" customHeight="1">
      <c r="A50" s="5" t="s">
        <v>11</v>
      </c>
      <c r="B50" s="1718" t="s">
        <v>123</v>
      </c>
      <c r="C50" s="1720">
        <v>443.0</v>
      </c>
      <c r="D50" s="1720" t="s">
        <v>17</v>
      </c>
      <c r="E50" s="1720" t="s">
        <v>17</v>
      </c>
      <c r="F50" s="1724" t="s">
        <v>17</v>
      </c>
      <c r="G50" s="1859">
        <v>15.0</v>
      </c>
      <c r="H50" s="1722">
        <v>0.0339</v>
      </c>
      <c r="I50" s="1727" t="s">
        <v>2619</v>
      </c>
      <c r="J50" s="1826">
        <v>5.0</v>
      </c>
      <c r="K50" s="1852">
        <v>0.0127</v>
      </c>
      <c r="L50" s="1818" t="s">
        <v>2621</v>
      </c>
    </row>
    <row r="51" ht="22.5" hidden="1" customHeight="1">
      <c r="A51" s="5" t="s">
        <v>11</v>
      </c>
      <c r="B51" s="1718" t="s">
        <v>96</v>
      </c>
      <c r="C51" s="1720">
        <v>399.0</v>
      </c>
      <c r="D51" s="1720" t="s">
        <v>17</v>
      </c>
      <c r="E51" s="1720" t="s">
        <v>17</v>
      </c>
      <c r="F51" s="1724" t="s">
        <v>17</v>
      </c>
      <c r="G51" s="1776">
        <v>10.0</v>
      </c>
      <c r="H51" s="1741">
        <v>0.0251</v>
      </c>
      <c r="I51" s="1727" t="s">
        <v>2623</v>
      </c>
      <c r="J51" s="1783">
        <v>3.0</v>
      </c>
      <c r="K51" s="1893">
        <v>0.0081</v>
      </c>
      <c r="L51" s="1774" t="s">
        <v>1879</v>
      </c>
    </row>
    <row r="52" ht="22.5" hidden="1" customHeight="1">
      <c r="A52" s="5" t="s">
        <v>11</v>
      </c>
      <c r="B52" s="1718" t="s">
        <v>156</v>
      </c>
      <c r="C52" s="1719">
        <v>433.0</v>
      </c>
      <c r="D52" s="1719" t="s">
        <v>17</v>
      </c>
      <c r="E52" s="1720" t="s">
        <v>17</v>
      </c>
      <c r="F52" s="1724" t="s">
        <v>17</v>
      </c>
      <c r="G52" s="1898">
        <v>13.0</v>
      </c>
      <c r="H52" s="1900">
        <v>0.03</v>
      </c>
      <c r="I52" s="1727" t="s">
        <v>2625</v>
      </c>
      <c r="J52" s="1904">
        <v>17.0</v>
      </c>
      <c r="K52" s="1755">
        <v>0.0428</v>
      </c>
      <c r="L52" s="1759" t="s">
        <v>2411</v>
      </c>
    </row>
    <row r="53" ht="22.5" hidden="1" customHeight="1">
      <c r="A53" s="5" t="s">
        <v>11</v>
      </c>
      <c r="B53" s="1718" t="s">
        <v>153</v>
      </c>
      <c r="C53" s="1720">
        <v>320.0</v>
      </c>
      <c r="D53" s="1720" t="s">
        <v>17</v>
      </c>
      <c r="E53" s="1720" t="s">
        <v>17</v>
      </c>
      <c r="F53" s="1724" t="s">
        <v>17</v>
      </c>
      <c r="G53" s="1725">
        <v>4.0</v>
      </c>
      <c r="H53" s="1915">
        <v>0.0125</v>
      </c>
      <c r="I53" s="1727" t="s">
        <v>2628</v>
      </c>
      <c r="J53" s="1837">
        <v>7.0</v>
      </c>
      <c r="K53" s="1916">
        <v>0.0243</v>
      </c>
      <c r="L53" s="1759" t="s">
        <v>2568</v>
      </c>
    </row>
    <row r="54" ht="22.5" hidden="1" customHeight="1">
      <c r="A54" s="5" t="s">
        <v>11</v>
      </c>
      <c r="B54" s="1718" t="s">
        <v>159</v>
      </c>
      <c r="C54" s="1719">
        <v>349.0</v>
      </c>
      <c r="D54" s="1719" t="s">
        <v>17</v>
      </c>
      <c r="E54" s="1720" t="s">
        <v>17</v>
      </c>
      <c r="F54" s="1724" t="s">
        <v>17</v>
      </c>
      <c r="G54" s="1784">
        <v>3.0</v>
      </c>
      <c r="H54" s="1797">
        <v>0.0086</v>
      </c>
      <c r="I54" s="1727" t="s">
        <v>2632</v>
      </c>
      <c r="J54" s="1917">
        <v>11.0</v>
      </c>
      <c r="K54" s="1814">
        <v>0.0341</v>
      </c>
      <c r="L54" s="1921" t="s">
        <v>2634</v>
      </c>
    </row>
    <row r="55" ht="22.5" hidden="1" customHeight="1">
      <c r="A55" s="5" t="s">
        <v>11</v>
      </c>
      <c r="B55" s="1718" t="s">
        <v>26</v>
      </c>
      <c r="C55" s="1719">
        <v>989.0</v>
      </c>
      <c r="D55" s="1721">
        <v>3.0</v>
      </c>
      <c r="E55" s="1748">
        <v>0.003</v>
      </c>
      <c r="F55" s="1724" t="s">
        <v>2637</v>
      </c>
      <c r="G55" s="1859">
        <v>15.0</v>
      </c>
      <c r="H55" s="1814">
        <v>0.0162</v>
      </c>
      <c r="I55" s="1727" t="s">
        <v>2638</v>
      </c>
      <c r="J55" s="1924">
        <v>35.0</v>
      </c>
      <c r="K55" s="1780">
        <v>0.0373</v>
      </c>
      <c r="L55" s="1921" t="s">
        <v>2640</v>
      </c>
    </row>
    <row r="56" ht="22.5" hidden="1" customHeight="1">
      <c r="A56" s="5" t="s">
        <v>11</v>
      </c>
      <c r="B56" s="1718" t="s">
        <v>23</v>
      </c>
      <c r="C56" s="1720">
        <v>933.0</v>
      </c>
      <c r="D56" s="1720" t="s">
        <v>17</v>
      </c>
      <c r="E56" s="1720" t="s">
        <v>17</v>
      </c>
      <c r="F56" s="1724" t="s">
        <v>17</v>
      </c>
      <c r="G56" s="1745">
        <v>11.0</v>
      </c>
      <c r="H56" s="1820">
        <v>0.0118</v>
      </c>
      <c r="I56" s="1727" t="s">
        <v>2645</v>
      </c>
      <c r="J56" s="1927">
        <v>23.0</v>
      </c>
      <c r="K56" s="1748">
        <v>0.0257</v>
      </c>
      <c r="L56" s="1774" t="s">
        <v>1879</v>
      </c>
    </row>
    <row r="57" ht="22.5" hidden="1" customHeight="1">
      <c r="A57" s="5" t="s">
        <v>11</v>
      </c>
      <c r="B57" s="1718" t="s">
        <v>2055</v>
      </c>
      <c r="C57" s="1720">
        <v>444.0</v>
      </c>
      <c r="D57" s="1720" t="s">
        <v>17</v>
      </c>
      <c r="E57" s="1720" t="s">
        <v>17</v>
      </c>
      <c r="F57" s="1724" t="s">
        <v>17</v>
      </c>
      <c r="G57" s="1725">
        <v>4.0</v>
      </c>
      <c r="H57" s="1810">
        <v>0.009</v>
      </c>
      <c r="I57" s="1727" t="s">
        <v>2648</v>
      </c>
      <c r="J57" s="1760">
        <v>30.0</v>
      </c>
      <c r="K57" s="1831">
        <v>0.075</v>
      </c>
      <c r="L57" s="1921" t="s">
        <v>2651</v>
      </c>
    </row>
    <row r="58" ht="22.5" hidden="1" customHeight="1">
      <c r="A58" s="5" t="s">
        <v>11</v>
      </c>
      <c r="B58" s="1718" t="s">
        <v>497</v>
      </c>
      <c r="C58" s="1719">
        <v>151.0</v>
      </c>
      <c r="D58" s="1708">
        <v>1.0</v>
      </c>
      <c r="E58" s="1931">
        <v>0.0066</v>
      </c>
      <c r="F58" s="1724" t="s">
        <v>41</v>
      </c>
      <c r="G58" s="1703">
        <v>1.0</v>
      </c>
      <c r="H58" s="1803">
        <v>0.0066</v>
      </c>
      <c r="I58" s="1727" t="s">
        <v>2654</v>
      </c>
      <c r="J58" s="1845">
        <v>4.0</v>
      </c>
      <c r="K58" s="1781">
        <v>0.0272</v>
      </c>
      <c r="L58" s="1767" t="s">
        <v>2657</v>
      </c>
    </row>
    <row r="59" ht="22.5" hidden="1" customHeight="1">
      <c r="A59" s="5" t="s">
        <v>11</v>
      </c>
      <c r="B59" s="1718" t="s">
        <v>2069</v>
      </c>
      <c r="C59" s="1719">
        <v>164.0</v>
      </c>
      <c r="D59" s="1719" t="s">
        <v>17</v>
      </c>
      <c r="E59" s="1720" t="s">
        <v>17</v>
      </c>
      <c r="F59" s="1724" t="s">
        <v>17</v>
      </c>
      <c r="G59" s="1788">
        <v>2.0</v>
      </c>
      <c r="H59" s="1916">
        <v>0.0122</v>
      </c>
      <c r="I59" s="1727" t="s">
        <v>2659</v>
      </c>
      <c r="J59" s="1796">
        <v>8.0</v>
      </c>
      <c r="K59" s="1932">
        <v>0.051</v>
      </c>
      <c r="L59" s="1774" t="s">
        <v>1879</v>
      </c>
    </row>
    <row r="60" ht="22.5" customHeight="1">
      <c r="A60" s="5" t="s">
        <v>11</v>
      </c>
      <c r="B60" s="1718" t="s">
        <v>104</v>
      </c>
      <c r="C60" s="1720">
        <v>160.0</v>
      </c>
      <c r="D60" s="1703">
        <v>1.0</v>
      </c>
      <c r="E60" s="1730">
        <v>0.0062</v>
      </c>
      <c r="F60" s="1724" t="s">
        <v>2661</v>
      </c>
      <c r="G60" s="1703">
        <v>0.0</v>
      </c>
      <c r="H60" s="1728">
        <v>0.0</v>
      </c>
      <c r="I60" s="1727" t="s">
        <v>17</v>
      </c>
      <c r="J60" s="1720" t="s">
        <v>17</v>
      </c>
      <c r="K60" s="1720" t="s">
        <v>17</v>
      </c>
      <c r="L60" s="1889"/>
    </row>
    <row r="61" ht="22.5" customHeight="1">
      <c r="A61" s="5" t="s">
        <v>11</v>
      </c>
      <c r="B61" s="1718" t="s">
        <v>72</v>
      </c>
      <c r="C61" s="1719">
        <v>296.0</v>
      </c>
      <c r="D61" s="1719" t="s">
        <v>17</v>
      </c>
      <c r="E61" s="1720" t="s">
        <v>17</v>
      </c>
      <c r="F61" s="1724" t="s">
        <v>17</v>
      </c>
      <c r="G61" s="1703">
        <v>0.0</v>
      </c>
      <c r="H61" s="1728">
        <v>0.0</v>
      </c>
      <c r="I61" s="1727" t="s">
        <v>17</v>
      </c>
      <c r="J61" s="1783">
        <v>3.0</v>
      </c>
      <c r="K61" s="1923">
        <v>0.0108</v>
      </c>
      <c r="L61" s="1889"/>
    </row>
    <row r="62" ht="22.5" hidden="1" customHeight="1">
      <c r="A62" s="5" t="s">
        <v>185</v>
      </c>
      <c r="B62" s="174" t="s">
        <v>15</v>
      </c>
      <c r="C62" s="174">
        <v>28.0</v>
      </c>
      <c r="D62" s="174" t="s">
        <v>258</v>
      </c>
      <c r="E62" s="174">
        <v>0.0</v>
      </c>
      <c r="F62" s="1902">
        <v>0.0</v>
      </c>
      <c r="G62" s="174">
        <v>0.0</v>
      </c>
      <c r="H62" s="174" t="s">
        <v>258</v>
      </c>
      <c r="I62" s="1933">
        <v>0.0</v>
      </c>
      <c r="J62" s="85">
        <v>8.0</v>
      </c>
      <c r="K62" s="174" t="s">
        <v>895</v>
      </c>
      <c r="L62" s="174" t="s">
        <v>2675</v>
      </c>
    </row>
    <row r="63" ht="22.5" hidden="1" customHeight="1">
      <c r="A63" s="5" t="s">
        <v>185</v>
      </c>
      <c r="B63" s="174" t="s">
        <v>13</v>
      </c>
      <c r="C63" s="174">
        <v>677.0</v>
      </c>
      <c r="D63" s="174" t="s">
        <v>687</v>
      </c>
      <c r="E63" s="174">
        <v>1.0</v>
      </c>
      <c r="F63" s="1902">
        <v>0.0</v>
      </c>
      <c r="G63" s="174">
        <v>22.0</v>
      </c>
      <c r="H63" s="174" t="s">
        <v>479</v>
      </c>
      <c r="I63" s="47" t="s">
        <v>2681</v>
      </c>
      <c r="J63" s="85">
        <v>98.0</v>
      </c>
      <c r="K63" s="560" t="s">
        <v>2682</v>
      </c>
      <c r="L63" s="174" t="s">
        <v>792</v>
      </c>
    </row>
    <row r="64" ht="22.5" hidden="1" customHeight="1">
      <c r="A64" s="5" t="s">
        <v>185</v>
      </c>
      <c r="B64" s="174" t="s">
        <v>2096</v>
      </c>
      <c r="C64" s="174">
        <v>257.0</v>
      </c>
      <c r="D64" s="174" t="s">
        <v>348</v>
      </c>
      <c r="E64" s="174">
        <v>1.0</v>
      </c>
      <c r="F64" s="1902">
        <v>0.0</v>
      </c>
      <c r="G64" s="174">
        <v>6.0</v>
      </c>
      <c r="H64" s="174" t="s">
        <v>2685</v>
      </c>
      <c r="I64" s="47" t="s">
        <v>2687</v>
      </c>
      <c r="J64" s="85">
        <v>23.0</v>
      </c>
      <c r="K64" s="560" t="s">
        <v>2688</v>
      </c>
      <c r="L64" s="174" t="s">
        <v>2689</v>
      </c>
    </row>
    <row r="65" ht="22.5" hidden="1" customHeight="1">
      <c r="A65" s="5" t="s">
        <v>185</v>
      </c>
      <c r="B65" s="174" t="s">
        <v>33</v>
      </c>
      <c r="C65" s="174">
        <v>359.0</v>
      </c>
      <c r="D65" s="174" t="s">
        <v>258</v>
      </c>
      <c r="E65" s="174">
        <v>0.0</v>
      </c>
      <c r="F65" s="1902">
        <v>0.0</v>
      </c>
      <c r="G65" s="174">
        <v>10.0</v>
      </c>
      <c r="H65" s="174" t="s">
        <v>2693</v>
      </c>
      <c r="I65" s="47" t="s">
        <v>2694</v>
      </c>
      <c r="J65" s="85">
        <v>109.0</v>
      </c>
      <c r="K65" s="560" t="s">
        <v>2447</v>
      </c>
      <c r="L65" s="174" t="s">
        <v>2697</v>
      </c>
    </row>
    <row r="66" ht="22.5" hidden="1" customHeight="1">
      <c r="A66" s="5" t="s">
        <v>185</v>
      </c>
      <c r="B66" s="174" t="s">
        <v>19</v>
      </c>
      <c r="C66" s="174">
        <v>442.0</v>
      </c>
      <c r="D66" s="174" t="s">
        <v>567</v>
      </c>
      <c r="E66" s="174">
        <v>1.0</v>
      </c>
      <c r="F66" s="1902">
        <v>0.0</v>
      </c>
      <c r="G66" s="174">
        <v>17.0</v>
      </c>
      <c r="H66" s="174" t="s">
        <v>1397</v>
      </c>
      <c r="I66" s="47" t="s">
        <v>2702</v>
      </c>
      <c r="J66" s="85">
        <v>102.0</v>
      </c>
      <c r="K66" s="560" t="s">
        <v>2704</v>
      </c>
      <c r="L66" s="174" t="s">
        <v>2705</v>
      </c>
    </row>
    <row r="67" ht="22.5" hidden="1" customHeight="1">
      <c r="A67" s="5" t="s">
        <v>185</v>
      </c>
      <c r="B67" s="174" t="s">
        <v>77</v>
      </c>
      <c r="C67" s="174">
        <v>110.0</v>
      </c>
      <c r="D67" s="174" t="s">
        <v>258</v>
      </c>
      <c r="E67" s="174">
        <v>0.0</v>
      </c>
      <c r="F67" s="1902">
        <v>0.0</v>
      </c>
      <c r="G67" s="174">
        <v>7.0</v>
      </c>
      <c r="H67" s="174" t="s">
        <v>2707</v>
      </c>
      <c r="I67" s="47" t="s">
        <v>2709</v>
      </c>
      <c r="J67" s="85">
        <v>14.0</v>
      </c>
      <c r="K67" s="560" t="s">
        <v>2711</v>
      </c>
      <c r="L67" s="174" t="s">
        <v>298</v>
      </c>
    </row>
    <row r="68" ht="22.5" hidden="1" customHeight="1">
      <c r="A68" s="5" t="s">
        <v>185</v>
      </c>
      <c r="B68" s="174" t="s">
        <v>82</v>
      </c>
      <c r="C68" s="174">
        <v>131.0</v>
      </c>
      <c r="D68" s="174" t="s">
        <v>258</v>
      </c>
      <c r="E68" s="174">
        <v>0.0</v>
      </c>
      <c r="F68" s="1902">
        <v>0.0</v>
      </c>
      <c r="G68" s="174">
        <v>4.0</v>
      </c>
      <c r="H68" s="174" t="s">
        <v>2716</v>
      </c>
      <c r="I68" s="47">
        <v>2558.0</v>
      </c>
      <c r="J68" s="85">
        <v>28.0</v>
      </c>
      <c r="K68" s="174" t="s">
        <v>2718</v>
      </c>
      <c r="L68" s="174" t="s">
        <v>298</v>
      </c>
    </row>
    <row r="69" ht="22.5" hidden="1" customHeight="1">
      <c r="A69" s="5" t="s">
        <v>185</v>
      </c>
      <c r="B69" s="174" t="s">
        <v>39</v>
      </c>
      <c r="C69" s="174">
        <v>46.0</v>
      </c>
      <c r="D69" s="174" t="s">
        <v>258</v>
      </c>
      <c r="E69" s="174">
        <v>0.0</v>
      </c>
      <c r="F69" s="1902">
        <v>0.0</v>
      </c>
      <c r="G69" s="174">
        <v>3.0</v>
      </c>
      <c r="H69" s="174" t="s">
        <v>1037</v>
      </c>
      <c r="I69" s="300">
        <v>945647.0</v>
      </c>
      <c r="J69" s="85">
        <v>24.0</v>
      </c>
      <c r="K69" s="174" t="s">
        <v>2724</v>
      </c>
      <c r="L69" s="174" t="s">
        <v>298</v>
      </c>
    </row>
    <row r="70" ht="22.5" hidden="1" customHeight="1">
      <c r="A70" s="5" t="s">
        <v>185</v>
      </c>
      <c r="B70" s="174" t="s">
        <v>2150</v>
      </c>
      <c r="C70" s="174">
        <v>217.0</v>
      </c>
      <c r="D70" s="174" t="s">
        <v>258</v>
      </c>
      <c r="E70" s="174">
        <v>0.0</v>
      </c>
      <c r="F70" s="1902">
        <v>0.0</v>
      </c>
      <c r="G70" s="174">
        <v>5.0</v>
      </c>
      <c r="H70" s="174" t="s">
        <v>2727</v>
      </c>
      <c r="I70" s="47" t="s">
        <v>2729</v>
      </c>
      <c r="J70" s="85">
        <v>35.0</v>
      </c>
      <c r="K70" s="560" t="s">
        <v>2730</v>
      </c>
      <c r="L70" s="174" t="s">
        <v>2732</v>
      </c>
    </row>
    <row r="71" ht="22.5" hidden="1" customHeight="1">
      <c r="A71" s="5" t="s">
        <v>185</v>
      </c>
      <c r="B71" s="174" t="s">
        <v>59</v>
      </c>
      <c r="C71" s="174">
        <v>94.0</v>
      </c>
      <c r="D71" s="174" t="s">
        <v>258</v>
      </c>
      <c r="E71" s="174">
        <v>0.0</v>
      </c>
      <c r="F71" s="1902">
        <v>0.0</v>
      </c>
      <c r="G71" s="174">
        <v>3.0</v>
      </c>
      <c r="H71" s="174" t="s">
        <v>709</v>
      </c>
      <c r="I71" s="47" t="s">
        <v>2736</v>
      </c>
      <c r="J71" s="85">
        <v>41.0</v>
      </c>
      <c r="K71" s="174" t="s">
        <v>2737</v>
      </c>
      <c r="L71" s="174" t="s">
        <v>2738</v>
      </c>
    </row>
    <row r="72" ht="22.5" hidden="1" customHeight="1">
      <c r="A72" s="5" t="s">
        <v>185</v>
      </c>
      <c r="B72" s="174" t="s">
        <v>114</v>
      </c>
      <c r="C72" s="174">
        <v>160.0</v>
      </c>
      <c r="D72" s="174" t="s">
        <v>258</v>
      </c>
      <c r="E72" s="174">
        <v>0.0</v>
      </c>
      <c r="F72" s="1902">
        <v>0.0</v>
      </c>
      <c r="G72" s="174">
        <v>8.0</v>
      </c>
      <c r="H72" s="174" t="s">
        <v>2743</v>
      </c>
      <c r="I72" s="47" t="s">
        <v>2744</v>
      </c>
      <c r="J72" s="85">
        <v>25.0</v>
      </c>
      <c r="K72" s="560" t="s">
        <v>530</v>
      </c>
      <c r="L72" s="174" t="s">
        <v>298</v>
      </c>
    </row>
    <row r="73" ht="22.5" hidden="1" customHeight="1">
      <c r="A73" s="5" t="s">
        <v>185</v>
      </c>
      <c r="B73" s="174" t="s">
        <v>136</v>
      </c>
      <c r="C73" s="174">
        <v>55.0</v>
      </c>
      <c r="D73" s="174" t="s">
        <v>258</v>
      </c>
      <c r="E73" s="174">
        <v>0.0</v>
      </c>
      <c r="F73" s="1902">
        <v>0.0</v>
      </c>
      <c r="G73" s="174">
        <v>4.0</v>
      </c>
      <c r="H73" s="174" t="s">
        <v>2749</v>
      </c>
      <c r="I73" s="47" t="s">
        <v>2750</v>
      </c>
      <c r="J73" s="85">
        <v>20.0</v>
      </c>
      <c r="K73" s="174" t="s">
        <v>2751</v>
      </c>
      <c r="L73" s="174" t="s">
        <v>298</v>
      </c>
    </row>
    <row r="74" ht="22.5" hidden="1" customHeight="1">
      <c r="A74" s="5" t="s">
        <v>185</v>
      </c>
      <c r="B74" s="174" t="s">
        <v>85</v>
      </c>
      <c r="C74" s="174">
        <v>295.0</v>
      </c>
      <c r="D74" s="174" t="s">
        <v>622</v>
      </c>
      <c r="E74" s="174">
        <v>1.0</v>
      </c>
      <c r="F74" s="1902">
        <v>0.0</v>
      </c>
      <c r="G74" s="174">
        <v>8.0</v>
      </c>
      <c r="H74" s="174" t="s">
        <v>2755</v>
      </c>
      <c r="I74" s="47" t="s">
        <v>2756</v>
      </c>
      <c r="J74" s="85">
        <v>50.0</v>
      </c>
      <c r="K74" s="560" t="s">
        <v>2757</v>
      </c>
      <c r="L74" s="174" t="s">
        <v>2758</v>
      </c>
    </row>
    <row r="75" ht="22.5" hidden="1" customHeight="1">
      <c r="A75" s="5" t="s">
        <v>185</v>
      </c>
      <c r="B75" s="174" t="s">
        <v>79</v>
      </c>
      <c r="C75" s="174">
        <v>191.0</v>
      </c>
      <c r="D75" s="174" t="s">
        <v>2759</v>
      </c>
      <c r="E75" s="174">
        <v>1.0</v>
      </c>
      <c r="F75" s="1902">
        <v>0.0</v>
      </c>
      <c r="G75" s="174">
        <v>6.0</v>
      </c>
      <c r="H75" s="174" t="s">
        <v>2763</v>
      </c>
      <c r="I75" s="47">
        <v>12134.0</v>
      </c>
      <c r="J75" s="85">
        <v>31.0</v>
      </c>
      <c r="K75" s="174" t="s">
        <v>2767</v>
      </c>
      <c r="L75" s="174" t="s">
        <v>298</v>
      </c>
    </row>
    <row r="76" ht="22.5" hidden="1" customHeight="1">
      <c r="A76" s="5" t="s">
        <v>185</v>
      </c>
      <c r="B76" s="174" t="s">
        <v>45</v>
      </c>
      <c r="C76" s="174">
        <v>218.0</v>
      </c>
      <c r="D76" s="174" t="s">
        <v>258</v>
      </c>
      <c r="E76" s="174">
        <v>0.0</v>
      </c>
      <c r="F76" s="1902">
        <v>0.0</v>
      </c>
      <c r="G76" s="174">
        <v>8.0</v>
      </c>
      <c r="H76" s="174" t="s">
        <v>237</v>
      </c>
      <c r="I76" s="47" t="s">
        <v>2771</v>
      </c>
      <c r="J76" s="85">
        <v>7.0</v>
      </c>
      <c r="K76" s="174" t="s">
        <v>709</v>
      </c>
      <c r="L76" s="174" t="s">
        <v>298</v>
      </c>
    </row>
    <row r="77" ht="22.5" hidden="1" customHeight="1">
      <c r="A77" s="5" t="s">
        <v>185</v>
      </c>
      <c r="B77" s="174" t="s">
        <v>170</v>
      </c>
      <c r="C77" s="174">
        <v>115.0</v>
      </c>
      <c r="D77" s="174" t="s">
        <v>725</v>
      </c>
      <c r="E77" s="174">
        <v>1.0</v>
      </c>
      <c r="F77" s="1902">
        <v>0.0</v>
      </c>
      <c r="G77" s="174">
        <v>8.0</v>
      </c>
      <c r="H77" s="174" t="s">
        <v>2779</v>
      </c>
      <c r="I77" s="47" t="s">
        <v>2780</v>
      </c>
      <c r="J77" s="85">
        <v>8.0</v>
      </c>
      <c r="K77" s="174" t="s">
        <v>2779</v>
      </c>
      <c r="L77" s="174" t="s">
        <v>2783</v>
      </c>
    </row>
    <row r="78" ht="22.5" hidden="1" customHeight="1">
      <c r="A78" s="5" t="s">
        <v>185</v>
      </c>
      <c r="B78" s="174" t="s">
        <v>123</v>
      </c>
      <c r="C78" s="174">
        <v>70.0</v>
      </c>
      <c r="D78" s="174" t="s">
        <v>258</v>
      </c>
      <c r="E78" s="174">
        <v>0.0</v>
      </c>
      <c r="F78" s="1902">
        <v>0.0</v>
      </c>
      <c r="G78" s="174">
        <v>7.0</v>
      </c>
      <c r="H78" s="174" t="s">
        <v>2785</v>
      </c>
      <c r="I78" s="47" t="s">
        <v>2787</v>
      </c>
      <c r="J78" s="85">
        <v>7.0</v>
      </c>
      <c r="K78" s="174" t="s">
        <v>2785</v>
      </c>
      <c r="L78" s="174" t="s">
        <v>2789</v>
      </c>
    </row>
    <row r="79" ht="22.5" hidden="1" customHeight="1">
      <c r="A79" s="5" t="s">
        <v>185</v>
      </c>
      <c r="B79" s="174" t="s">
        <v>2219</v>
      </c>
      <c r="C79" s="174">
        <v>131.0</v>
      </c>
      <c r="D79" s="174" t="s">
        <v>258</v>
      </c>
      <c r="E79" s="174">
        <v>0.0</v>
      </c>
      <c r="F79" s="1902">
        <v>0.0</v>
      </c>
      <c r="G79" s="174">
        <v>4.0</v>
      </c>
      <c r="H79" s="174" t="s">
        <v>1581</v>
      </c>
      <c r="I79" s="47" t="s">
        <v>2791</v>
      </c>
      <c r="J79" s="85">
        <v>8.0</v>
      </c>
      <c r="K79" s="560" t="s">
        <v>2793</v>
      </c>
      <c r="L79" s="174" t="s">
        <v>298</v>
      </c>
    </row>
    <row r="80" ht="22.5" hidden="1" customHeight="1">
      <c r="A80" s="5" t="s">
        <v>185</v>
      </c>
      <c r="B80" s="174" t="s">
        <v>26</v>
      </c>
      <c r="C80" s="174">
        <v>645.0</v>
      </c>
      <c r="D80" s="174" t="s">
        <v>225</v>
      </c>
      <c r="E80" s="174">
        <v>1.0</v>
      </c>
      <c r="F80" s="1902">
        <v>0.0</v>
      </c>
      <c r="G80" s="174">
        <v>27.0</v>
      </c>
      <c r="H80" s="174" t="s">
        <v>1381</v>
      </c>
      <c r="I80" s="47" t="s">
        <v>2795</v>
      </c>
      <c r="J80" s="85">
        <v>64.0</v>
      </c>
      <c r="K80" s="560" t="s">
        <v>2796</v>
      </c>
      <c r="L80" s="174" t="s">
        <v>2798</v>
      </c>
    </row>
    <row r="81" ht="22.5" hidden="1" customHeight="1">
      <c r="A81" s="5" t="s">
        <v>185</v>
      </c>
      <c r="B81" s="174" t="s">
        <v>2236</v>
      </c>
      <c r="C81" s="174">
        <v>210.0</v>
      </c>
      <c r="D81" s="174" t="s">
        <v>2777</v>
      </c>
      <c r="E81" s="174">
        <v>1.0</v>
      </c>
      <c r="F81" s="1902">
        <v>0.0</v>
      </c>
      <c r="G81" s="174">
        <v>7.0</v>
      </c>
      <c r="H81" s="174" t="s">
        <v>1732</v>
      </c>
      <c r="I81" s="47" t="s">
        <v>2799</v>
      </c>
      <c r="J81" s="85">
        <v>35.0</v>
      </c>
      <c r="K81" s="560" t="s">
        <v>2801</v>
      </c>
      <c r="L81" s="174" t="s">
        <v>2656</v>
      </c>
    </row>
    <row r="82" ht="22.5" hidden="1" customHeight="1">
      <c r="A82" s="5" t="s">
        <v>185</v>
      </c>
      <c r="B82" s="174" t="s">
        <v>23</v>
      </c>
      <c r="C82" s="174">
        <v>280.0</v>
      </c>
      <c r="D82" s="174" t="s">
        <v>1090</v>
      </c>
      <c r="E82" s="174">
        <v>1.0</v>
      </c>
      <c r="F82" s="1902">
        <v>0.0</v>
      </c>
      <c r="G82" s="174">
        <v>13.0</v>
      </c>
      <c r="H82" s="174" t="s">
        <v>2804</v>
      </c>
      <c r="I82" s="47" t="s">
        <v>2805</v>
      </c>
      <c r="J82" s="85">
        <v>82.0</v>
      </c>
      <c r="K82" s="174" t="s">
        <v>2808</v>
      </c>
      <c r="L82" s="174" t="s">
        <v>298</v>
      </c>
    </row>
    <row r="83" ht="22.5" hidden="1" customHeight="1">
      <c r="A83" s="5" t="s">
        <v>185</v>
      </c>
      <c r="B83" s="174" t="s">
        <v>505</v>
      </c>
      <c r="C83" s="174">
        <v>53.0</v>
      </c>
      <c r="D83" s="174" t="s">
        <v>258</v>
      </c>
      <c r="E83" s="174">
        <v>0.0</v>
      </c>
      <c r="F83" s="1902">
        <v>0.0</v>
      </c>
      <c r="G83" s="174">
        <v>6.0</v>
      </c>
      <c r="H83" s="174" t="s">
        <v>2811</v>
      </c>
      <c r="I83" s="47" t="s">
        <v>2812</v>
      </c>
      <c r="J83" s="85">
        <v>12.0</v>
      </c>
      <c r="K83" s="174" t="s">
        <v>1553</v>
      </c>
      <c r="L83" s="174" t="s">
        <v>298</v>
      </c>
    </row>
    <row r="84" ht="22.5" hidden="1" customHeight="1">
      <c r="A84" s="233"/>
      <c r="B84" s="234"/>
      <c r="C84" s="345"/>
      <c r="D84" s="1887"/>
      <c r="E84" s="342"/>
      <c r="F84" s="28"/>
      <c r="G84" s="341"/>
      <c r="H84" s="1085"/>
      <c r="I84" s="344"/>
      <c r="J84" s="1614"/>
      <c r="K84" s="342"/>
      <c r="L84" s="834"/>
    </row>
    <row r="85" ht="22.5" hidden="1" customHeight="1">
      <c r="A85" s="233"/>
      <c r="B85" s="234"/>
      <c r="C85" s="345"/>
      <c r="D85" s="345"/>
      <c r="E85" s="1088"/>
      <c r="F85" s="1089"/>
      <c r="G85" s="345"/>
      <c r="H85" s="1090"/>
      <c r="I85" s="1091"/>
      <c r="J85" s="1615"/>
      <c r="K85" s="1088"/>
      <c r="L85" s="1087"/>
    </row>
    <row r="86">
      <c r="B86" s="79"/>
      <c r="C86" s="108"/>
      <c r="D86" s="108"/>
      <c r="E86" s="108"/>
      <c r="F86" s="108"/>
      <c r="G86" s="108"/>
      <c r="H86" s="1093"/>
      <c r="I86" s="315"/>
      <c r="J86" s="108"/>
      <c r="K86" s="108"/>
      <c r="L86" s="108"/>
    </row>
    <row r="87">
      <c r="B87" s="79"/>
      <c r="C87" s="40"/>
      <c r="D87" s="1895"/>
      <c r="E87" s="108"/>
      <c r="F87" s="108"/>
      <c r="G87" s="108"/>
      <c r="H87" s="1093"/>
      <c r="I87" s="315"/>
      <c r="J87" s="108"/>
      <c r="K87" s="108"/>
      <c r="L87" s="108"/>
    </row>
    <row r="88">
      <c r="B88" s="108"/>
      <c r="C88" s="40"/>
      <c r="D88" s="1895"/>
      <c r="E88" s="1897"/>
      <c r="F88" s="1897"/>
      <c r="G88" s="1899"/>
      <c r="H88" s="1901"/>
      <c r="I88" s="1899"/>
      <c r="J88" s="1897"/>
      <c r="K88" s="1899"/>
      <c r="L88" s="108"/>
    </row>
    <row r="89">
      <c r="B89" s="108"/>
      <c r="C89" s="1903"/>
      <c r="D89" s="1905"/>
      <c r="E89" s="1906"/>
      <c r="F89" s="1906"/>
      <c r="G89" s="1907"/>
      <c r="H89" s="1908"/>
      <c r="I89" s="1907"/>
      <c r="J89" s="1909"/>
      <c r="K89" s="1907"/>
      <c r="L89" s="108"/>
    </row>
    <row r="90">
      <c r="B90" s="108"/>
      <c r="C90" s="1903"/>
      <c r="D90" s="1905"/>
      <c r="E90" s="1906"/>
      <c r="F90" s="1906"/>
      <c r="G90" s="1907"/>
      <c r="H90" s="1908"/>
      <c r="I90" s="1907"/>
      <c r="J90" s="1909"/>
      <c r="K90" s="1907"/>
      <c r="L90" s="108"/>
    </row>
    <row r="91">
      <c r="B91" s="108"/>
      <c r="C91" s="1903"/>
      <c r="D91" s="1905"/>
      <c r="E91" s="1906"/>
      <c r="F91" s="1906"/>
      <c r="G91" s="1907"/>
      <c r="H91" s="1908"/>
      <c r="I91" s="1907"/>
      <c r="J91" s="1909"/>
      <c r="K91" s="1907"/>
      <c r="L91" s="108"/>
    </row>
    <row r="92">
      <c r="B92" s="108"/>
      <c r="C92" s="1903"/>
      <c r="D92" s="245"/>
      <c r="E92" s="245"/>
      <c r="F92" s="1913"/>
      <c r="G92" s="245"/>
      <c r="H92" s="1908"/>
      <c r="I92" s="1907"/>
      <c r="J92" s="1909"/>
      <c r="K92" s="1907"/>
      <c r="L92" s="108"/>
    </row>
    <row r="93">
      <c r="B93" s="108"/>
      <c r="C93" s="1903"/>
      <c r="F93" s="1914"/>
      <c r="H93" s="1908"/>
      <c r="I93" s="1907"/>
      <c r="J93" s="1909"/>
      <c r="K93" s="1907"/>
      <c r="L93" s="108"/>
    </row>
    <row r="94">
      <c r="B94" s="108"/>
      <c r="C94" s="1903"/>
      <c r="F94" s="1914"/>
      <c r="H94" s="1908"/>
      <c r="I94" s="1907"/>
      <c r="J94" s="1909"/>
      <c r="K94" s="1907"/>
      <c r="L94" s="108"/>
    </row>
    <row r="95">
      <c r="B95" s="108"/>
      <c r="C95" s="1903"/>
      <c r="F95" s="1914"/>
      <c r="G95" s="41"/>
      <c r="H95" s="1908"/>
      <c r="I95" s="1907"/>
      <c r="J95" s="1909"/>
      <c r="K95" s="1907"/>
      <c r="L95" s="108"/>
    </row>
    <row r="96">
      <c r="B96" s="108"/>
      <c r="C96" s="1903"/>
      <c r="F96" s="1914"/>
      <c r="G96" s="41"/>
      <c r="H96" s="1908"/>
      <c r="I96" s="1907"/>
      <c r="J96" s="1909"/>
      <c r="K96" s="1907"/>
      <c r="L96" s="108"/>
    </row>
    <row r="97">
      <c r="B97" s="108"/>
      <c r="C97" s="1903"/>
      <c r="F97" s="1914"/>
      <c r="G97" s="41"/>
      <c r="H97" s="1908"/>
      <c r="I97" s="1907"/>
      <c r="J97" s="1909"/>
      <c r="K97" s="1907"/>
      <c r="L97" s="108"/>
    </row>
    <row r="98">
      <c r="B98" s="108"/>
      <c r="C98" s="1903"/>
      <c r="F98" s="1914"/>
      <c r="G98" s="41"/>
      <c r="H98" s="1908"/>
      <c r="I98" s="1907"/>
      <c r="J98" s="1909"/>
      <c r="K98" s="1907"/>
      <c r="L98" s="108"/>
    </row>
    <row r="99">
      <c r="B99" s="108"/>
      <c r="C99" s="1903"/>
      <c r="F99" s="1914"/>
      <c r="G99" s="41"/>
      <c r="H99" s="1908"/>
      <c r="I99" s="1907"/>
      <c r="J99" s="1909"/>
      <c r="K99" s="1907"/>
      <c r="L99" s="108"/>
    </row>
    <row r="100">
      <c r="B100" s="108"/>
      <c r="C100" s="1903"/>
      <c r="F100" s="1914"/>
      <c r="G100" s="41"/>
      <c r="H100" s="1908"/>
      <c r="I100" s="1907"/>
      <c r="J100" s="1909"/>
      <c r="K100" s="1907"/>
      <c r="L100" s="108"/>
    </row>
    <row r="101">
      <c r="B101" s="108"/>
      <c r="C101" s="1903"/>
      <c r="F101" s="1914"/>
      <c r="G101" s="41"/>
      <c r="H101" s="1908"/>
      <c r="I101" s="1907"/>
      <c r="J101" s="1909"/>
      <c r="K101" s="1907"/>
      <c r="L101" s="108"/>
    </row>
    <row r="102">
      <c r="B102" s="108"/>
      <c r="C102" s="1903"/>
      <c r="F102" s="1914"/>
      <c r="G102" s="41"/>
      <c r="H102" s="1908"/>
      <c r="I102" s="1907"/>
      <c r="J102" s="1909"/>
      <c r="K102" s="1907"/>
      <c r="L102" s="108"/>
    </row>
    <row r="103">
      <c r="B103" s="108"/>
      <c r="C103" s="1903"/>
      <c r="F103" s="1914"/>
      <c r="G103" s="41"/>
      <c r="H103" s="1908"/>
      <c r="I103" s="1907"/>
      <c r="J103" s="1909"/>
      <c r="K103" s="1907"/>
      <c r="L103" s="108"/>
    </row>
    <row r="104">
      <c r="B104" s="108"/>
      <c r="C104" s="1903"/>
      <c r="F104" s="1914"/>
      <c r="G104" s="41"/>
      <c r="H104" s="1908"/>
      <c r="I104" s="1907"/>
      <c r="J104" s="1909"/>
      <c r="K104" s="1907"/>
      <c r="L104" s="108"/>
    </row>
    <row r="105">
      <c r="B105" s="108"/>
      <c r="C105" s="1903"/>
      <c r="F105" s="1914"/>
      <c r="G105" s="41"/>
      <c r="H105" s="1908"/>
      <c r="I105" s="1907"/>
      <c r="J105" s="1909"/>
      <c r="K105" s="1907"/>
      <c r="L105" s="108"/>
    </row>
    <row r="106">
      <c r="B106" s="108"/>
      <c r="C106" s="1903"/>
      <c r="F106" s="1914"/>
      <c r="G106" s="41"/>
      <c r="H106" s="1908"/>
      <c r="I106" s="1907"/>
      <c r="J106" s="1909"/>
      <c r="K106" s="1907"/>
      <c r="L106" s="108"/>
    </row>
    <row r="107">
      <c r="B107" s="108"/>
      <c r="C107" s="1903"/>
      <c r="F107" s="1914"/>
      <c r="G107" s="41"/>
      <c r="H107" s="1908"/>
      <c r="I107" s="1907"/>
      <c r="J107" s="1909"/>
      <c r="K107" s="1907"/>
      <c r="L107" s="108"/>
    </row>
    <row r="108">
      <c r="B108" s="108"/>
      <c r="C108" s="1903"/>
      <c r="F108" s="1914"/>
      <c r="G108" s="41"/>
      <c r="H108" s="1908"/>
      <c r="I108" s="1907"/>
      <c r="J108" s="1909"/>
      <c r="K108" s="1907"/>
      <c r="L108" s="108"/>
    </row>
    <row r="109">
      <c r="B109" s="108"/>
      <c r="C109" s="1903"/>
      <c r="F109" s="1914"/>
      <c r="G109" s="41"/>
      <c r="H109" s="1908"/>
      <c r="I109" s="1907"/>
      <c r="J109" s="1909"/>
      <c r="K109" s="1907"/>
      <c r="L109" s="108"/>
    </row>
    <row r="110">
      <c r="B110" s="108"/>
      <c r="C110" s="108"/>
      <c r="F110" s="1914"/>
      <c r="G110" s="41"/>
      <c r="H110" s="1096"/>
      <c r="I110" s="315"/>
      <c r="J110" s="108"/>
      <c r="K110" s="108"/>
      <c r="L110" s="108"/>
    </row>
    <row r="111">
      <c r="B111" s="108"/>
      <c r="C111" s="108"/>
      <c r="F111" s="1914"/>
      <c r="G111" s="41"/>
      <c r="H111" s="1096"/>
      <c r="I111" s="315"/>
      <c r="J111" s="108"/>
      <c r="K111" s="108"/>
      <c r="L111" s="108"/>
    </row>
    <row r="112">
      <c r="B112" s="108"/>
      <c r="C112" s="108"/>
      <c r="F112" s="1914"/>
      <c r="G112" s="41"/>
      <c r="H112" s="1096"/>
      <c r="I112" s="315"/>
      <c r="J112" s="108"/>
      <c r="K112" s="108"/>
      <c r="L112" s="108"/>
    </row>
    <row r="113">
      <c r="B113" s="108"/>
      <c r="C113" s="108"/>
      <c r="F113" s="1914"/>
      <c r="G113" s="41"/>
      <c r="H113" s="1096"/>
      <c r="I113" s="315"/>
      <c r="J113" s="108"/>
      <c r="K113" s="108"/>
      <c r="L113" s="108"/>
    </row>
    <row r="114">
      <c r="B114" s="108"/>
      <c r="C114" s="1918"/>
      <c r="F114" s="1914"/>
      <c r="G114" s="41"/>
      <c r="H114" s="1096"/>
      <c r="I114" s="315"/>
      <c r="J114" s="108"/>
      <c r="K114" s="108"/>
      <c r="L114" s="108"/>
    </row>
    <row r="115">
      <c r="B115" s="108"/>
      <c r="C115" s="1918"/>
      <c r="F115" s="1914"/>
      <c r="G115" s="41"/>
      <c r="H115" s="1096"/>
      <c r="I115" s="315"/>
      <c r="J115" s="108"/>
      <c r="K115" s="108"/>
      <c r="L115" s="108"/>
    </row>
    <row r="116">
      <c r="B116" s="108"/>
      <c r="C116" s="1918"/>
      <c r="F116" s="1920"/>
      <c r="G116" s="41"/>
      <c r="H116" s="1096"/>
      <c r="I116" s="315"/>
      <c r="J116" s="108"/>
      <c r="K116" s="108"/>
      <c r="L116" s="108"/>
    </row>
    <row r="117">
      <c r="B117" s="108"/>
      <c r="C117" s="108"/>
      <c r="D117" s="108"/>
      <c r="E117" s="108"/>
      <c r="F117" s="108"/>
      <c r="G117" s="108"/>
      <c r="H117" s="1093"/>
      <c r="I117" s="315"/>
      <c r="J117" s="108"/>
      <c r="K117" s="108"/>
      <c r="L117" s="108"/>
    </row>
    <row r="118">
      <c r="B118" s="108"/>
      <c r="C118" s="108"/>
      <c r="D118" s="108"/>
      <c r="E118" s="108"/>
      <c r="F118" s="108"/>
      <c r="G118" s="108"/>
      <c r="H118" s="1093"/>
      <c r="I118" s="315"/>
      <c r="J118" s="108"/>
      <c r="K118" s="108"/>
      <c r="L118" s="108"/>
    </row>
    <row r="119">
      <c r="B119" s="108"/>
      <c r="C119" s="108"/>
      <c r="D119" s="108"/>
      <c r="E119" s="108"/>
      <c r="F119" s="108"/>
      <c r="G119" s="108"/>
      <c r="H119" s="1093"/>
      <c r="I119" s="315"/>
      <c r="J119" s="108"/>
      <c r="K119" s="108"/>
      <c r="L119" s="108"/>
    </row>
    <row r="120">
      <c r="B120" s="108"/>
      <c r="C120" s="108"/>
      <c r="D120" s="108"/>
      <c r="E120" s="108"/>
      <c r="F120" s="108"/>
      <c r="G120" s="108"/>
      <c r="H120" s="1093"/>
      <c r="I120" s="315"/>
      <c r="J120" s="108"/>
      <c r="K120" s="108"/>
      <c r="L120" s="108"/>
    </row>
    <row r="121">
      <c r="B121" s="79"/>
      <c r="C121" s="79"/>
      <c r="D121" s="79"/>
      <c r="E121" s="79"/>
      <c r="F121" s="79"/>
      <c r="G121" s="79"/>
      <c r="H121" s="252"/>
      <c r="I121" s="314"/>
      <c r="J121" s="79"/>
      <c r="K121" s="79"/>
      <c r="L121" s="79"/>
    </row>
    <row r="122">
      <c r="B122" s="79"/>
      <c r="C122" s="79"/>
      <c r="D122" s="79"/>
      <c r="E122" s="79"/>
      <c r="F122" s="79"/>
      <c r="G122" s="79"/>
      <c r="H122" s="252"/>
      <c r="I122" s="314"/>
      <c r="J122" s="79"/>
      <c r="K122" s="79"/>
      <c r="L122" s="79"/>
    </row>
    <row r="123">
      <c r="B123" s="79"/>
      <c r="C123" s="79"/>
      <c r="D123" s="79"/>
      <c r="E123" s="79"/>
      <c r="F123" s="79"/>
      <c r="G123" s="79"/>
      <c r="H123" s="252"/>
      <c r="I123" s="314"/>
      <c r="J123" s="79"/>
      <c r="K123" s="79"/>
      <c r="L123" s="79"/>
    </row>
    <row r="124">
      <c r="B124" s="79"/>
      <c r="C124" s="79"/>
      <c r="D124" s="79"/>
      <c r="E124" s="79"/>
      <c r="F124" s="79"/>
      <c r="G124" s="79"/>
      <c r="H124" s="252"/>
      <c r="I124" s="314"/>
      <c r="J124" s="79"/>
      <c r="K124" s="79"/>
      <c r="L124" s="79"/>
    </row>
    <row r="125">
      <c r="B125" s="79"/>
      <c r="C125" s="79"/>
      <c r="D125" s="79"/>
      <c r="E125" s="79"/>
      <c r="F125" s="79"/>
      <c r="G125" s="79"/>
      <c r="H125" s="252"/>
      <c r="I125" s="314"/>
      <c r="J125" s="79"/>
      <c r="K125" s="79"/>
      <c r="L125" s="79"/>
    </row>
    <row r="126">
      <c r="B126" s="79"/>
      <c r="C126" s="79"/>
      <c r="D126" s="79"/>
      <c r="E126" s="79"/>
      <c r="F126" s="79"/>
      <c r="G126" s="79"/>
      <c r="H126" s="252"/>
      <c r="I126" s="314"/>
      <c r="J126" s="79"/>
      <c r="K126" s="79"/>
      <c r="L126" s="79"/>
    </row>
    <row r="127">
      <c r="B127" s="79"/>
      <c r="C127" s="79"/>
      <c r="D127" s="79"/>
      <c r="E127" s="79"/>
      <c r="F127" s="79"/>
      <c r="G127" s="79"/>
      <c r="H127" s="252"/>
      <c r="I127" s="314"/>
      <c r="J127" s="79"/>
      <c r="K127" s="79"/>
      <c r="L127" s="79"/>
    </row>
    <row r="128">
      <c r="B128" s="79"/>
      <c r="C128" s="79"/>
      <c r="D128" s="79"/>
      <c r="E128" s="79"/>
      <c r="F128" s="79"/>
      <c r="G128" s="79"/>
      <c r="H128" s="252"/>
      <c r="I128" s="314"/>
      <c r="J128" s="79"/>
      <c r="K128" s="79"/>
      <c r="L128" s="79"/>
    </row>
    <row r="129">
      <c r="B129" s="79"/>
      <c r="C129" s="79"/>
      <c r="D129" s="79"/>
      <c r="E129" s="79"/>
      <c r="F129" s="79"/>
      <c r="G129" s="79"/>
      <c r="H129" s="252"/>
      <c r="I129" s="314"/>
      <c r="J129" s="79"/>
      <c r="K129" s="79"/>
      <c r="L129" s="79"/>
    </row>
    <row r="130">
      <c r="B130" s="79"/>
      <c r="C130" s="79"/>
      <c r="D130" s="79"/>
      <c r="E130" s="79"/>
      <c r="F130" s="79"/>
      <c r="G130" s="79"/>
      <c r="H130" s="252"/>
      <c r="I130" s="314"/>
      <c r="J130" s="79"/>
      <c r="K130" s="79"/>
      <c r="L130" s="79"/>
    </row>
    <row r="131">
      <c r="B131" s="79"/>
      <c r="C131" s="79"/>
      <c r="D131" s="79"/>
      <c r="E131" s="79"/>
      <c r="F131" s="79"/>
      <c r="G131" s="79"/>
      <c r="H131" s="252"/>
      <c r="I131" s="314"/>
      <c r="J131" s="79"/>
      <c r="K131" s="79"/>
      <c r="L131" s="79"/>
    </row>
    <row r="132">
      <c r="B132" s="79"/>
      <c r="C132" s="79"/>
      <c r="D132" s="79"/>
      <c r="E132" s="79"/>
      <c r="F132" s="79"/>
      <c r="G132" s="79"/>
      <c r="H132" s="252"/>
      <c r="I132" s="314"/>
      <c r="J132" s="79"/>
      <c r="K132" s="79"/>
      <c r="L132" s="79"/>
    </row>
    <row r="133">
      <c r="B133" s="79"/>
      <c r="C133" s="79"/>
      <c r="D133" s="79"/>
      <c r="E133" s="79"/>
      <c r="F133" s="79"/>
      <c r="G133" s="79"/>
      <c r="H133" s="252"/>
      <c r="I133" s="314"/>
      <c r="J133" s="79"/>
      <c r="K133" s="79"/>
      <c r="L133" s="79"/>
    </row>
    <row r="134">
      <c r="B134" s="79"/>
      <c r="C134" s="79"/>
      <c r="D134" s="79"/>
      <c r="E134" s="79"/>
      <c r="F134" s="79"/>
      <c r="G134" s="79"/>
      <c r="H134" s="252"/>
      <c r="I134" s="314"/>
      <c r="J134" s="79"/>
      <c r="K134" s="79"/>
      <c r="L134" s="79"/>
    </row>
    <row r="135">
      <c r="B135" s="79"/>
      <c r="C135" s="79"/>
      <c r="D135" s="79"/>
      <c r="E135" s="79"/>
      <c r="F135" s="79"/>
      <c r="G135" s="79"/>
      <c r="H135" s="252"/>
      <c r="I135" s="314"/>
      <c r="J135" s="79"/>
      <c r="K135" s="79"/>
      <c r="L135" s="79"/>
    </row>
    <row r="136">
      <c r="B136" s="79"/>
      <c r="C136" s="79"/>
      <c r="D136" s="79"/>
      <c r="E136" s="79"/>
      <c r="F136" s="79"/>
      <c r="G136" s="79"/>
      <c r="H136" s="252"/>
      <c r="I136" s="314"/>
      <c r="J136" s="79"/>
      <c r="K136" s="79"/>
      <c r="L136" s="79"/>
    </row>
    <row r="137">
      <c r="B137" s="79"/>
      <c r="C137" s="79"/>
      <c r="D137" s="79"/>
      <c r="E137" s="79"/>
      <c r="F137" s="79"/>
      <c r="G137" s="79"/>
      <c r="H137" s="252"/>
      <c r="I137" s="314"/>
      <c r="J137" s="79"/>
      <c r="K137" s="79"/>
      <c r="L137" s="79"/>
    </row>
    <row r="138">
      <c r="B138" s="79"/>
      <c r="C138" s="79"/>
      <c r="D138" s="79"/>
      <c r="E138" s="79"/>
      <c r="F138" s="79"/>
      <c r="G138" s="79"/>
      <c r="H138" s="252"/>
      <c r="I138" s="314"/>
      <c r="J138" s="79"/>
      <c r="K138" s="79"/>
      <c r="L138" s="79"/>
    </row>
    <row r="139">
      <c r="B139" s="79"/>
      <c r="C139" s="79"/>
      <c r="D139" s="79"/>
      <c r="E139" s="79"/>
      <c r="F139" s="79"/>
      <c r="G139" s="79"/>
      <c r="H139" s="252"/>
      <c r="I139" s="314"/>
      <c r="J139" s="79"/>
      <c r="K139" s="79"/>
      <c r="L139" s="79"/>
    </row>
    <row r="140">
      <c r="B140" s="79"/>
      <c r="C140" s="79"/>
      <c r="D140" s="79"/>
      <c r="E140" s="79"/>
      <c r="F140" s="79"/>
      <c r="G140" s="79"/>
      <c r="H140" s="252"/>
      <c r="I140" s="314"/>
      <c r="J140" s="79"/>
      <c r="K140" s="79"/>
      <c r="L140" s="79"/>
    </row>
    <row r="141">
      <c r="B141" s="79"/>
      <c r="C141" s="79"/>
      <c r="D141" s="79"/>
      <c r="E141" s="79"/>
      <c r="F141" s="79"/>
      <c r="G141" s="79"/>
      <c r="H141" s="252"/>
      <c r="I141" s="314"/>
      <c r="J141" s="79"/>
      <c r="K141" s="79"/>
      <c r="L141" s="79"/>
    </row>
    <row r="142">
      <c r="B142" s="79"/>
      <c r="C142" s="79"/>
      <c r="D142" s="79"/>
      <c r="E142" s="79"/>
      <c r="F142" s="79"/>
      <c r="G142" s="79"/>
      <c r="H142" s="252"/>
      <c r="I142" s="314"/>
      <c r="J142" s="79"/>
      <c r="K142" s="79"/>
      <c r="L142" s="79"/>
    </row>
    <row r="143">
      <c r="B143" s="79"/>
      <c r="C143" s="79"/>
      <c r="D143" s="79"/>
      <c r="E143" s="79"/>
      <c r="F143" s="79"/>
      <c r="G143" s="79"/>
      <c r="H143" s="252"/>
      <c r="I143" s="314"/>
      <c r="J143" s="79"/>
      <c r="K143" s="79"/>
      <c r="L143" s="79"/>
    </row>
    <row r="144">
      <c r="B144" s="79"/>
      <c r="C144" s="79"/>
      <c r="D144" s="79"/>
      <c r="E144" s="79"/>
      <c r="F144" s="79"/>
      <c r="G144" s="79"/>
      <c r="H144" s="252"/>
      <c r="I144" s="314"/>
      <c r="J144" s="79"/>
      <c r="K144" s="79"/>
      <c r="L144" s="79"/>
    </row>
    <row r="145">
      <c r="B145" s="79"/>
      <c r="C145" s="79"/>
      <c r="D145" s="79"/>
      <c r="E145" s="79"/>
      <c r="F145" s="79"/>
      <c r="G145" s="79"/>
      <c r="H145" s="252"/>
      <c r="I145" s="314"/>
      <c r="J145" s="79"/>
      <c r="K145" s="79"/>
      <c r="L145" s="79"/>
    </row>
    <row r="146">
      <c r="B146" s="79"/>
      <c r="C146" s="79"/>
      <c r="D146" s="79"/>
      <c r="E146" s="79"/>
      <c r="F146" s="79"/>
      <c r="G146" s="79"/>
      <c r="H146" s="252"/>
      <c r="I146" s="314"/>
      <c r="J146" s="79"/>
      <c r="K146" s="79"/>
      <c r="L146" s="79"/>
    </row>
    <row r="147">
      <c r="B147" s="79"/>
      <c r="C147" s="79"/>
      <c r="D147" s="79"/>
      <c r="E147" s="79"/>
      <c r="F147" s="79"/>
      <c r="G147" s="79"/>
      <c r="H147" s="252"/>
      <c r="I147" s="314"/>
      <c r="J147" s="79"/>
      <c r="K147" s="79"/>
      <c r="L147" s="79"/>
    </row>
    <row r="148">
      <c r="B148" s="79"/>
      <c r="C148" s="79"/>
      <c r="D148" s="79"/>
      <c r="E148" s="79"/>
      <c r="F148" s="79"/>
      <c r="G148" s="79"/>
      <c r="H148" s="252"/>
      <c r="I148" s="314"/>
      <c r="J148" s="79"/>
      <c r="K148" s="79"/>
      <c r="L148" s="79"/>
    </row>
    <row r="149">
      <c r="B149" s="79"/>
      <c r="C149" s="79"/>
      <c r="D149" s="79"/>
      <c r="E149" s="79"/>
      <c r="F149" s="79"/>
      <c r="G149" s="79"/>
      <c r="H149" s="252"/>
      <c r="I149" s="314"/>
      <c r="J149" s="79"/>
      <c r="K149" s="79"/>
      <c r="L149" s="79"/>
    </row>
    <row r="150">
      <c r="B150" s="79"/>
      <c r="C150" s="79"/>
      <c r="D150" s="79"/>
      <c r="E150" s="79"/>
      <c r="F150" s="79"/>
      <c r="G150" s="79"/>
      <c r="H150" s="252"/>
      <c r="I150" s="314"/>
      <c r="J150" s="79"/>
      <c r="K150" s="79"/>
      <c r="L150" s="79"/>
    </row>
    <row r="151">
      <c r="B151" s="79"/>
      <c r="C151" s="79"/>
      <c r="D151" s="79"/>
      <c r="E151" s="79"/>
      <c r="F151" s="79"/>
      <c r="G151" s="79"/>
      <c r="H151" s="252"/>
      <c r="I151" s="314"/>
      <c r="J151" s="79"/>
      <c r="K151" s="79"/>
      <c r="L151" s="79"/>
    </row>
    <row r="152">
      <c r="B152" s="79"/>
      <c r="C152" s="79"/>
      <c r="D152" s="79"/>
      <c r="E152" s="79"/>
      <c r="F152" s="79"/>
      <c r="G152" s="79"/>
      <c r="H152" s="252"/>
      <c r="I152" s="314"/>
      <c r="J152" s="79"/>
      <c r="K152" s="79"/>
      <c r="L152" s="79"/>
    </row>
    <row r="153">
      <c r="B153" s="79"/>
      <c r="C153" s="79"/>
      <c r="D153" s="79"/>
      <c r="E153" s="79"/>
      <c r="F153" s="79"/>
      <c r="G153" s="79"/>
      <c r="H153" s="252"/>
      <c r="I153" s="314"/>
      <c r="J153" s="79"/>
      <c r="K153" s="79"/>
      <c r="L153" s="79"/>
    </row>
    <row r="154">
      <c r="B154" s="79"/>
      <c r="C154" s="79"/>
      <c r="D154" s="79"/>
      <c r="E154" s="79"/>
      <c r="F154" s="79"/>
      <c r="G154" s="79"/>
      <c r="H154" s="252"/>
      <c r="I154" s="314"/>
      <c r="J154" s="79"/>
      <c r="K154" s="79"/>
      <c r="L154" s="79"/>
    </row>
    <row r="155">
      <c r="B155" s="79"/>
      <c r="C155" s="79"/>
      <c r="D155" s="79"/>
      <c r="E155" s="79"/>
      <c r="F155" s="79"/>
      <c r="G155" s="79"/>
      <c r="H155" s="252"/>
      <c r="I155" s="314"/>
      <c r="J155" s="79"/>
      <c r="K155" s="79"/>
      <c r="L155" s="79"/>
    </row>
    <row r="156">
      <c r="B156" s="79"/>
      <c r="C156" s="79"/>
      <c r="D156" s="79"/>
      <c r="E156" s="79"/>
      <c r="F156" s="79"/>
      <c r="G156" s="79"/>
      <c r="H156" s="252"/>
      <c r="I156" s="314"/>
      <c r="J156" s="79"/>
      <c r="K156" s="79"/>
      <c r="L156" s="79"/>
    </row>
    <row r="157">
      <c r="B157" s="79"/>
      <c r="C157" s="79"/>
      <c r="D157" s="79"/>
      <c r="E157" s="79"/>
      <c r="F157" s="79"/>
      <c r="G157" s="79"/>
      <c r="H157" s="252"/>
      <c r="I157" s="314"/>
      <c r="J157" s="79"/>
      <c r="K157" s="79"/>
      <c r="L157" s="79"/>
    </row>
    <row r="158">
      <c r="B158" s="79"/>
      <c r="C158" s="79"/>
      <c r="D158" s="79"/>
      <c r="E158" s="79"/>
      <c r="F158" s="79"/>
      <c r="G158" s="79"/>
      <c r="H158" s="252"/>
      <c r="I158" s="314"/>
      <c r="J158" s="79"/>
      <c r="K158" s="79"/>
      <c r="L158" s="79"/>
    </row>
    <row r="159">
      <c r="B159" s="79"/>
      <c r="C159" s="79"/>
      <c r="D159" s="79"/>
      <c r="E159" s="79"/>
      <c r="F159" s="79"/>
      <c r="G159" s="79"/>
      <c r="H159" s="252"/>
      <c r="I159" s="314"/>
      <c r="J159" s="79"/>
      <c r="K159" s="79"/>
      <c r="L159" s="79"/>
    </row>
    <row r="160">
      <c r="B160" s="79"/>
      <c r="C160" s="79"/>
      <c r="D160" s="79"/>
      <c r="E160" s="79"/>
      <c r="F160" s="79"/>
      <c r="G160" s="79"/>
      <c r="H160" s="252"/>
      <c r="I160" s="314"/>
      <c r="J160" s="79"/>
      <c r="K160" s="79"/>
      <c r="L160" s="79"/>
    </row>
    <row r="161">
      <c r="B161" s="79"/>
      <c r="C161" s="79"/>
      <c r="D161" s="79"/>
      <c r="E161" s="79"/>
      <c r="F161" s="79"/>
      <c r="G161" s="79"/>
      <c r="H161" s="252"/>
      <c r="I161" s="314"/>
      <c r="J161" s="79"/>
      <c r="K161" s="79"/>
      <c r="L161" s="79"/>
    </row>
    <row r="162">
      <c r="B162" s="79"/>
      <c r="C162" s="79"/>
      <c r="D162" s="79"/>
      <c r="E162" s="79"/>
      <c r="F162" s="79"/>
      <c r="G162" s="79"/>
      <c r="H162" s="252"/>
      <c r="I162" s="314"/>
      <c r="J162" s="79"/>
      <c r="K162" s="79"/>
      <c r="L162" s="79"/>
    </row>
    <row r="163">
      <c r="B163" s="79"/>
      <c r="C163" s="79"/>
      <c r="D163" s="79"/>
      <c r="E163" s="79"/>
      <c r="F163" s="79"/>
      <c r="G163" s="79"/>
      <c r="H163" s="252"/>
      <c r="I163" s="314"/>
      <c r="J163" s="79"/>
      <c r="K163" s="79"/>
      <c r="L163" s="79"/>
    </row>
    <row r="164">
      <c r="B164" s="79"/>
      <c r="C164" s="79"/>
      <c r="D164" s="79"/>
      <c r="E164" s="79"/>
      <c r="F164" s="79"/>
      <c r="G164" s="79"/>
      <c r="H164" s="252"/>
      <c r="I164" s="314"/>
      <c r="J164" s="79"/>
      <c r="K164" s="79"/>
      <c r="L164" s="79"/>
    </row>
    <row r="165">
      <c r="B165" s="79"/>
      <c r="C165" s="79"/>
      <c r="D165" s="79"/>
      <c r="E165" s="79"/>
      <c r="F165" s="79"/>
      <c r="G165" s="79"/>
      <c r="H165" s="252"/>
      <c r="I165" s="314"/>
      <c r="J165" s="79"/>
      <c r="K165" s="79"/>
      <c r="L165" s="79"/>
    </row>
    <row r="166">
      <c r="B166" s="79"/>
      <c r="C166" s="79"/>
      <c r="D166" s="79"/>
      <c r="E166" s="79"/>
      <c r="F166" s="79"/>
      <c r="G166" s="79"/>
      <c r="H166" s="252"/>
      <c r="I166" s="314"/>
      <c r="J166" s="79"/>
      <c r="K166" s="79"/>
      <c r="L166" s="79"/>
    </row>
    <row r="167">
      <c r="B167" s="79"/>
      <c r="C167" s="79"/>
      <c r="D167" s="79"/>
      <c r="E167" s="79"/>
      <c r="F167" s="79"/>
      <c r="G167" s="79"/>
      <c r="H167" s="252"/>
      <c r="I167" s="314"/>
      <c r="J167" s="79"/>
      <c r="K167" s="79"/>
      <c r="L167" s="79"/>
    </row>
    <row r="168">
      <c r="B168" s="79"/>
      <c r="C168" s="79"/>
      <c r="D168" s="79"/>
      <c r="E168" s="79"/>
      <c r="F168" s="79"/>
      <c r="G168" s="79"/>
      <c r="H168" s="252"/>
      <c r="I168" s="314"/>
      <c r="J168" s="79"/>
      <c r="K168" s="79"/>
      <c r="L168" s="79"/>
    </row>
    <row r="169">
      <c r="B169" s="79"/>
      <c r="C169" s="79"/>
      <c r="D169" s="79"/>
      <c r="E169" s="79"/>
      <c r="F169" s="79"/>
      <c r="G169" s="79"/>
      <c r="H169" s="252"/>
      <c r="I169" s="314"/>
      <c r="J169" s="79"/>
      <c r="K169" s="79"/>
      <c r="L169" s="79"/>
    </row>
    <row r="170">
      <c r="B170" s="79"/>
      <c r="C170" s="79"/>
      <c r="D170" s="79"/>
      <c r="E170" s="79"/>
      <c r="F170" s="79"/>
      <c r="G170" s="79"/>
      <c r="H170" s="252"/>
      <c r="I170" s="314"/>
      <c r="J170" s="79"/>
      <c r="K170" s="79"/>
      <c r="L170" s="79"/>
    </row>
    <row r="171">
      <c r="B171" s="79"/>
      <c r="C171" s="79"/>
      <c r="D171" s="79"/>
      <c r="E171" s="79"/>
      <c r="F171" s="79"/>
      <c r="G171" s="79"/>
      <c r="H171" s="252"/>
      <c r="I171" s="314"/>
      <c r="J171" s="79"/>
      <c r="K171" s="79"/>
      <c r="L171" s="79"/>
    </row>
    <row r="172">
      <c r="B172" s="79"/>
      <c r="C172" s="79"/>
      <c r="D172" s="79"/>
      <c r="E172" s="79"/>
      <c r="F172" s="79"/>
      <c r="G172" s="79"/>
      <c r="H172" s="252"/>
      <c r="I172" s="314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252"/>
      <c r="I173" s="314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252"/>
      <c r="I174" s="314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252"/>
      <c r="I175" s="314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252"/>
      <c r="I176" s="314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252"/>
      <c r="I177" s="314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252"/>
      <c r="I178" s="314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252"/>
      <c r="I179" s="314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252"/>
      <c r="I180" s="314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252"/>
      <c r="I181" s="314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252"/>
      <c r="I182" s="314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252"/>
      <c r="I183" s="314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252"/>
      <c r="I184" s="314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252"/>
      <c r="I185" s="314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252"/>
      <c r="I186" s="314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252"/>
      <c r="I187" s="314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252"/>
      <c r="I188" s="314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252"/>
      <c r="I189" s="314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252"/>
      <c r="I190" s="314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252"/>
      <c r="I191" s="314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252"/>
      <c r="I192" s="314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252"/>
      <c r="I193" s="314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252"/>
      <c r="I194" s="314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252"/>
      <c r="I195" s="314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252"/>
      <c r="I196" s="314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252"/>
      <c r="I197" s="314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252"/>
      <c r="I198" s="314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252"/>
      <c r="I199" s="314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252"/>
      <c r="I200" s="314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252"/>
      <c r="I201" s="314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252"/>
      <c r="I202" s="314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252"/>
      <c r="I203" s="314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252"/>
      <c r="I204" s="314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252"/>
      <c r="I205" s="314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252"/>
      <c r="I206" s="314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252"/>
      <c r="I207" s="314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252"/>
      <c r="I208" s="314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252"/>
      <c r="I209" s="314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252"/>
      <c r="I210" s="314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252"/>
      <c r="I211" s="314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252"/>
      <c r="I212" s="314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252"/>
      <c r="I213" s="314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252"/>
      <c r="I214" s="314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252"/>
      <c r="I215" s="314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252"/>
      <c r="I216" s="314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252"/>
      <c r="I217" s="314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252"/>
      <c r="I218" s="314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252"/>
      <c r="I219" s="314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252"/>
      <c r="I220" s="314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252"/>
      <c r="I221" s="314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252"/>
      <c r="I222" s="314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252"/>
      <c r="I223" s="314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252"/>
      <c r="I224" s="314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252"/>
      <c r="I225" s="314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252"/>
      <c r="I226" s="314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252"/>
      <c r="I227" s="314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252"/>
      <c r="I228" s="314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252"/>
      <c r="I229" s="314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252"/>
      <c r="I230" s="314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252"/>
      <c r="I231" s="314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252"/>
      <c r="I232" s="314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252"/>
      <c r="I233" s="314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252"/>
      <c r="I234" s="314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252"/>
      <c r="I235" s="314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252"/>
      <c r="I236" s="314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252"/>
      <c r="I237" s="314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252"/>
      <c r="I238" s="314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252"/>
      <c r="I239" s="314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252"/>
      <c r="I240" s="314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252"/>
      <c r="I241" s="314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252"/>
      <c r="I242" s="314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252"/>
      <c r="I243" s="314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252"/>
      <c r="I244" s="314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252"/>
      <c r="I245" s="314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252"/>
      <c r="I246" s="314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252"/>
      <c r="I247" s="314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252"/>
      <c r="I248" s="314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252"/>
      <c r="I249" s="314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252"/>
      <c r="I250" s="314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252"/>
      <c r="I251" s="314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252"/>
      <c r="I252" s="314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252"/>
      <c r="I253" s="314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252"/>
      <c r="I254" s="314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252"/>
      <c r="I255" s="314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252"/>
      <c r="I256" s="314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252"/>
      <c r="I257" s="314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252"/>
      <c r="I258" s="314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252"/>
      <c r="I259" s="314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252"/>
      <c r="I260" s="314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252"/>
      <c r="I261" s="314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252"/>
      <c r="I262" s="314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252"/>
      <c r="I263" s="314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252"/>
      <c r="I264" s="314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252"/>
      <c r="I265" s="314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252"/>
      <c r="I266" s="314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252"/>
      <c r="I267" s="314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252"/>
      <c r="I268" s="314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252"/>
      <c r="I269" s="314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252"/>
      <c r="I270" s="314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252"/>
      <c r="I271" s="314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252"/>
      <c r="I272" s="314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252"/>
      <c r="I273" s="314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252"/>
      <c r="I274" s="314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252"/>
      <c r="I275" s="314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252"/>
      <c r="I276" s="314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252"/>
      <c r="I277" s="314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252"/>
      <c r="I278" s="314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252"/>
      <c r="I279" s="314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252"/>
      <c r="I280" s="314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252"/>
      <c r="I281" s="314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252"/>
      <c r="I282" s="314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252"/>
      <c r="I283" s="314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252"/>
      <c r="I284" s="314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252"/>
      <c r="I285" s="314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252"/>
      <c r="I286" s="314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252"/>
      <c r="I287" s="314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252"/>
      <c r="I288" s="314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252"/>
      <c r="I289" s="314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252"/>
      <c r="I290" s="314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252"/>
      <c r="I291" s="314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252"/>
      <c r="I292" s="314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252"/>
      <c r="I293" s="314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252"/>
      <c r="I294" s="314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252"/>
      <c r="I295" s="314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252"/>
      <c r="I296" s="314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252"/>
      <c r="I297" s="314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252"/>
      <c r="I298" s="314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252"/>
      <c r="I299" s="314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252"/>
      <c r="I300" s="314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252"/>
      <c r="I301" s="314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252"/>
      <c r="I302" s="314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252"/>
      <c r="I303" s="314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252"/>
      <c r="I304" s="314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252"/>
      <c r="I305" s="314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252"/>
      <c r="I306" s="314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252"/>
      <c r="I307" s="314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252"/>
      <c r="I308" s="314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252"/>
      <c r="I309" s="314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252"/>
      <c r="I310" s="314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252"/>
      <c r="I311" s="314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252"/>
      <c r="I312" s="314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252"/>
      <c r="I313" s="314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252"/>
      <c r="I314" s="314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252"/>
      <c r="I315" s="314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252"/>
      <c r="I316" s="314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252"/>
      <c r="I317" s="314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252"/>
      <c r="I318" s="314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252"/>
      <c r="I319" s="314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252"/>
      <c r="I320" s="314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252"/>
      <c r="I321" s="314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252"/>
      <c r="I322" s="314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252"/>
      <c r="I323" s="314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252"/>
      <c r="I324" s="314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252"/>
      <c r="I325" s="314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252"/>
      <c r="I326" s="314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252"/>
      <c r="I327" s="314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252"/>
      <c r="I328" s="314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252"/>
      <c r="I329" s="314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252"/>
      <c r="I330" s="314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252"/>
      <c r="I331" s="314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252"/>
      <c r="I332" s="314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252"/>
      <c r="I333" s="314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252"/>
      <c r="I334" s="314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252"/>
      <c r="I335" s="314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252"/>
      <c r="I336" s="314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252"/>
      <c r="I337" s="314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252"/>
      <c r="I338" s="314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252"/>
      <c r="I339" s="314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252"/>
      <c r="I340" s="314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252"/>
      <c r="I341" s="314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252"/>
      <c r="I342" s="314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252"/>
      <c r="I343" s="314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252"/>
      <c r="I344" s="314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252"/>
      <c r="I345" s="314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252"/>
      <c r="I346" s="314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252"/>
      <c r="I347" s="314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252"/>
      <c r="I348" s="314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252"/>
      <c r="I349" s="314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252"/>
      <c r="I350" s="314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252"/>
      <c r="I351" s="314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252"/>
      <c r="I352" s="314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252"/>
      <c r="I353" s="314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252"/>
      <c r="I354" s="314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252"/>
      <c r="I355" s="314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252"/>
      <c r="I356" s="314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252"/>
      <c r="I357" s="314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252"/>
      <c r="I358" s="314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252"/>
      <c r="I359" s="314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252"/>
      <c r="I360" s="314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252"/>
      <c r="I361" s="314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252"/>
      <c r="I362" s="314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252"/>
      <c r="I363" s="314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252"/>
      <c r="I364" s="314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252"/>
      <c r="I365" s="314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252"/>
      <c r="I366" s="314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252"/>
      <c r="I367" s="314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252"/>
      <c r="I368" s="314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252"/>
      <c r="I369" s="314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252"/>
      <c r="I370" s="314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252"/>
      <c r="I371" s="314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252"/>
      <c r="I372" s="314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252"/>
      <c r="I373" s="314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252"/>
      <c r="I374" s="314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252"/>
      <c r="I375" s="314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252"/>
      <c r="I376" s="314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252"/>
      <c r="I377" s="314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252"/>
      <c r="I378" s="314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252"/>
      <c r="I379" s="314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252"/>
      <c r="I380" s="314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252"/>
      <c r="I381" s="314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252"/>
      <c r="I382" s="314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252"/>
      <c r="I383" s="314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252"/>
      <c r="I384" s="314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252"/>
      <c r="I385" s="314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252"/>
      <c r="I386" s="314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252"/>
      <c r="I387" s="314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252"/>
      <c r="I388" s="314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252"/>
      <c r="I389" s="314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252"/>
      <c r="I390" s="314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252"/>
      <c r="I391" s="314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252"/>
      <c r="I392" s="314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252"/>
      <c r="I393" s="314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252"/>
      <c r="I394" s="314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252"/>
      <c r="I395" s="314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252"/>
      <c r="I396" s="314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252"/>
      <c r="I397" s="314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252"/>
      <c r="I398" s="314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252"/>
      <c r="I399" s="314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252"/>
      <c r="I400" s="314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252"/>
      <c r="I401" s="314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252"/>
      <c r="I402" s="314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252"/>
      <c r="I403" s="314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252"/>
      <c r="I404" s="314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252"/>
      <c r="I405" s="314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252"/>
      <c r="I406" s="314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252"/>
      <c r="I407" s="314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252"/>
      <c r="I408" s="314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252"/>
      <c r="I409" s="314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252"/>
      <c r="I410" s="314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252"/>
      <c r="I411" s="314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252"/>
      <c r="I412" s="314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252"/>
      <c r="I413" s="314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252"/>
      <c r="I414" s="314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252"/>
      <c r="I415" s="314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252"/>
      <c r="I416" s="314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252"/>
      <c r="I417" s="314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252"/>
      <c r="I418" s="314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252"/>
      <c r="I419" s="314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252"/>
      <c r="I420" s="314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252"/>
      <c r="I421" s="314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252"/>
      <c r="I422" s="314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252"/>
      <c r="I423" s="314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252"/>
      <c r="I424" s="314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252"/>
      <c r="I425" s="314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252"/>
      <c r="I426" s="314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252"/>
      <c r="I427" s="314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252"/>
      <c r="I428" s="314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252"/>
      <c r="I429" s="314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252"/>
      <c r="I430" s="314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252"/>
      <c r="I431" s="314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252"/>
      <c r="I432" s="314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252"/>
      <c r="I433" s="314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252"/>
      <c r="I434" s="314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252"/>
      <c r="I435" s="314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252"/>
      <c r="I436" s="314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252"/>
      <c r="I437" s="314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252"/>
      <c r="I438" s="314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252"/>
      <c r="I439" s="314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252"/>
      <c r="I440" s="314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252"/>
      <c r="I441" s="314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252"/>
      <c r="I442" s="314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252"/>
      <c r="I443" s="314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252"/>
      <c r="I444" s="314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252"/>
      <c r="I445" s="314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252"/>
      <c r="I446" s="314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252"/>
      <c r="I447" s="314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252"/>
      <c r="I448" s="314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252"/>
      <c r="I449" s="314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252"/>
      <c r="I450" s="314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252"/>
      <c r="I451" s="314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252"/>
      <c r="I452" s="314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252"/>
      <c r="I453" s="314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252"/>
      <c r="I454" s="314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252"/>
      <c r="I455" s="314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252"/>
      <c r="I456" s="314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252"/>
      <c r="I457" s="314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252"/>
      <c r="I458" s="314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252"/>
      <c r="I459" s="314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252"/>
      <c r="I460" s="314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252"/>
      <c r="I461" s="314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252"/>
      <c r="I462" s="314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252"/>
      <c r="I463" s="314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252"/>
      <c r="I464" s="314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252"/>
      <c r="I465" s="314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252"/>
      <c r="I466" s="314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252"/>
      <c r="I467" s="314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252"/>
      <c r="I468" s="314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252"/>
      <c r="I469" s="314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252"/>
      <c r="I470" s="314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252"/>
      <c r="I471" s="314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252"/>
      <c r="I472" s="314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252"/>
      <c r="I473" s="314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252"/>
      <c r="I474" s="314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252"/>
      <c r="I475" s="314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252"/>
      <c r="I476" s="314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252"/>
      <c r="I477" s="314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252"/>
      <c r="I478" s="314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252"/>
      <c r="I479" s="314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252"/>
      <c r="I480" s="314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252"/>
      <c r="I481" s="314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252"/>
      <c r="I482" s="314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252"/>
      <c r="I483" s="314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252"/>
      <c r="I484" s="314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252"/>
      <c r="I485" s="314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252"/>
      <c r="I486" s="314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252"/>
      <c r="I487" s="314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252"/>
      <c r="I488" s="314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252"/>
      <c r="I489" s="314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252"/>
      <c r="I490" s="314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252"/>
      <c r="I491" s="314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252"/>
      <c r="I492" s="314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252"/>
      <c r="I493" s="314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252"/>
      <c r="I494" s="314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252"/>
      <c r="I495" s="314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252"/>
      <c r="I496" s="314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252"/>
      <c r="I497" s="314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252"/>
      <c r="I498" s="314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252"/>
      <c r="I499" s="314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252"/>
      <c r="I500" s="314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252"/>
      <c r="I501" s="314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252"/>
      <c r="I502" s="314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252"/>
      <c r="I503" s="314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252"/>
      <c r="I504" s="314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252"/>
      <c r="I505" s="314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252"/>
      <c r="I506" s="314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252"/>
      <c r="I507" s="314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252"/>
      <c r="I508" s="314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252"/>
      <c r="I509" s="314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252"/>
      <c r="I510" s="314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252"/>
      <c r="I511" s="314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252"/>
      <c r="I512" s="314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252"/>
      <c r="I513" s="314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252"/>
      <c r="I514" s="314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252"/>
      <c r="I515" s="314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252"/>
      <c r="I516" s="314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252"/>
      <c r="I517" s="314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252"/>
      <c r="I518" s="314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252"/>
      <c r="I519" s="314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252"/>
      <c r="I520" s="314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252"/>
      <c r="I521" s="314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252"/>
      <c r="I522" s="314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252"/>
      <c r="I523" s="314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252"/>
      <c r="I524" s="314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252"/>
      <c r="I525" s="314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252"/>
      <c r="I526" s="314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252"/>
      <c r="I527" s="314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252"/>
      <c r="I528" s="314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252"/>
      <c r="I529" s="314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252"/>
      <c r="I530" s="314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252"/>
      <c r="I531" s="314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252"/>
      <c r="I532" s="314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252"/>
      <c r="I533" s="314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252"/>
      <c r="I534" s="314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252"/>
      <c r="I535" s="314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252"/>
      <c r="I536" s="314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252"/>
      <c r="I537" s="314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252"/>
      <c r="I538" s="314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252"/>
      <c r="I539" s="314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252"/>
      <c r="I540" s="314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252"/>
      <c r="I541" s="314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252"/>
      <c r="I542" s="314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252"/>
      <c r="I543" s="314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252"/>
      <c r="I544" s="314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252"/>
      <c r="I545" s="314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252"/>
      <c r="I546" s="314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252"/>
      <c r="I547" s="314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252"/>
      <c r="I548" s="314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252"/>
      <c r="I549" s="314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252"/>
      <c r="I550" s="314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252"/>
      <c r="I551" s="314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252"/>
      <c r="I552" s="314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252"/>
      <c r="I553" s="314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252"/>
      <c r="I554" s="314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252"/>
      <c r="I555" s="314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252"/>
      <c r="I556" s="314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252"/>
      <c r="I557" s="314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252"/>
      <c r="I558" s="314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252"/>
      <c r="I559" s="314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252"/>
      <c r="I560" s="314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252"/>
      <c r="I561" s="314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252"/>
      <c r="I562" s="314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252"/>
      <c r="I563" s="314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252"/>
      <c r="I564" s="314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252"/>
      <c r="I565" s="314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252"/>
      <c r="I566" s="314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252"/>
      <c r="I567" s="314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252"/>
      <c r="I568" s="314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252"/>
      <c r="I569" s="314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252"/>
      <c r="I570" s="314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252"/>
      <c r="I571" s="314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252"/>
      <c r="I572" s="314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252"/>
      <c r="I573" s="314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252"/>
      <c r="I574" s="314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252"/>
      <c r="I575" s="314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252"/>
      <c r="I576" s="314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252"/>
      <c r="I577" s="314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252"/>
      <c r="I578" s="314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252"/>
      <c r="I579" s="314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252"/>
      <c r="I580" s="314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252"/>
      <c r="I581" s="314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252"/>
      <c r="I582" s="314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252"/>
      <c r="I583" s="314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252"/>
      <c r="I584" s="314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252"/>
      <c r="I585" s="314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252"/>
      <c r="I586" s="314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252"/>
      <c r="I587" s="314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252"/>
      <c r="I588" s="314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252"/>
      <c r="I589" s="314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252"/>
      <c r="I590" s="314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252"/>
      <c r="I591" s="314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252"/>
      <c r="I592" s="314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252"/>
      <c r="I593" s="314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252"/>
      <c r="I594" s="314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252"/>
      <c r="I595" s="314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252"/>
      <c r="I596" s="314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252"/>
      <c r="I597" s="314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252"/>
      <c r="I598" s="314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252"/>
      <c r="I599" s="314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252"/>
      <c r="I600" s="314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252"/>
      <c r="I601" s="314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252"/>
      <c r="I602" s="314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252"/>
      <c r="I603" s="314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252"/>
      <c r="I604" s="314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252"/>
      <c r="I605" s="314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252"/>
      <c r="I606" s="314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252"/>
      <c r="I607" s="314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252"/>
      <c r="I608" s="314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252"/>
      <c r="I609" s="314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252"/>
      <c r="I610" s="314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252"/>
      <c r="I611" s="314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252"/>
      <c r="I612" s="314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252"/>
      <c r="I613" s="314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252"/>
      <c r="I614" s="314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252"/>
      <c r="I615" s="314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252"/>
      <c r="I616" s="314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252"/>
      <c r="I617" s="314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252"/>
      <c r="I618" s="314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252"/>
      <c r="I619" s="314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252"/>
      <c r="I620" s="314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252"/>
      <c r="I621" s="314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252"/>
      <c r="I622" s="314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252"/>
      <c r="I623" s="314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252"/>
      <c r="I624" s="314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252"/>
      <c r="I625" s="314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252"/>
      <c r="I626" s="314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252"/>
      <c r="I627" s="314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252"/>
      <c r="I628" s="314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252"/>
      <c r="I629" s="314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252"/>
      <c r="I630" s="314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252"/>
      <c r="I631" s="314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252"/>
      <c r="I632" s="314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252"/>
      <c r="I633" s="314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252"/>
      <c r="I634" s="314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252"/>
      <c r="I635" s="314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252"/>
      <c r="I636" s="314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252"/>
      <c r="I637" s="314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252"/>
      <c r="I638" s="314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252"/>
      <c r="I639" s="314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252"/>
      <c r="I640" s="314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252"/>
      <c r="I641" s="314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252"/>
      <c r="I642" s="314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252"/>
      <c r="I643" s="314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252"/>
      <c r="I644" s="314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252"/>
      <c r="I645" s="314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252"/>
      <c r="I646" s="314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252"/>
      <c r="I647" s="314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252"/>
      <c r="I648" s="314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252"/>
      <c r="I649" s="314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252"/>
      <c r="I650" s="314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252"/>
      <c r="I651" s="314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252"/>
      <c r="I652" s="314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252"/>
      <c r="I653" s="314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252"/>
      <c r="I654" s="314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252"/>
      <c r="I655" s="314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252"/>
      <c r="I656" s="314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252"/>
      <c r="I657" s="314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252"/>
      <c r="I658" s="314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252"/>
      <c r="I659" s="314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252"/>
      <c r="I660" s="314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252"/>
      <c r="I661" s="314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252"/>
      <c r="I662" s="314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252"/>
      <c r="I663" s="314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252"/>
      <c r="I664" s="314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252"/>
      <c r="I665" s="314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252"/>
      <c r="I666" s="314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252"/>
      <c r="I667" s="314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252"/>
      <c r="I668" s="314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252"/>
      <c r="I669" s="314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252"/>
      <c r="I670" s="314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252"/>
      <c r="I671" s="314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252"/>
      <c r="I672" s="314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252"/>
      <c r="I673" s="314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252"/>
      <c r="I674" s="314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252"/>
      <c r="I675" s="314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252"/>
      <c r="I676" s="314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252"/>
      <c r="I677" s="314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252"/>
      <c r="I678" s="314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252"/>
      <c r="I679" s="314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252"/>
      <c r="I680" s="314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252"/>
      <c r="I681" s="314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252"/>
      <c r="I682" s="314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252"/>
      <c r="I683" s="314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252"/>
      <c r="I684" s="314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252"/>
      <c r="I685" s="314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252"/>
      <c r="I686" s="314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252"/>
      <c r="I687" s="314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252"/>
      <c r="I688" s="314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252"/>
      <c r="I689" s="314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252"/>
      <c r="I690" s="314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252"/>
      <c r="I691" s="314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252"/>
      <c r="I692" s="314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252"/>
      <c r="I693" s="314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252"/>
      <c r="I694" s="314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252"/>
      <c r="I695" s="314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252"/>
      <c r="I696" s="314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252"/>
      <c r="I697" s="314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252"/>
      <c r="I698" s="314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252"/>
      <c r="I699" s="314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252"/>
      <c r="I700" s="314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252"/>
      <c r="I701" s="314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252"/>
      <c r="I702" s="314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252"/>
      <c r="I703" s="314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252"/>
      <c r="I704" s="314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252"/>
      <c r="I705" s="314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252"/>
      <c r="I706" s="314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252"/>
      <c r="I707" s="314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252"/>
      <c r="I708" s="314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252"/>
      <c r="I709" s="314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252"/>
      <c r="I710" s="314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252"/>
      <c r="I711" s="314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252"/>
      <c r="I712" s="314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252"/>
      <c r="I713" s="314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252"/>
      <c r="I714" s="314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252"/>
      <c r="I715" s="314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252"/>
      <c r="I716" s="314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252"/>
      <c r="I717" s="314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252"/>
      <c r="I718" s="314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252"/>
      <c r="I719" s="314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252"/>
      <c r="I720" s="314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252"/>
      <c r="I721" s="314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252"/>
      <c r="I722" s="314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252"/>
      <c r="I723" s="314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252"/>
      <c r="I724" s="314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252"/>
      <c r="I725" s="314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252"/>
      <c r="I726" s="314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252"/>
      <c r="I727" s="314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252"/>
      <c r="I728" s="314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252"/>
      <c r="I729" s="314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252"/>
      <c r="I730" s="314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252"/>
      <c r="I731" s="314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252"/>
      <c r="I732" s="314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252"/>
      <c r="I733" s="314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252"/>
      <c r="I734" s="314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252"/>
      <c r="I735" s="314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252"/>
      <c r="I736" s="314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252"/>
      <c r="I737" s="314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252"/>
      <c r="I738" s="314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252"/>
      <c r="I739" s="314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252"/>
      <c r="I740" s="314"/>
      <c r="J740" s="79"/>
      <c r="K740" s="79"/>
      <c r="L740" s="79"/>
    </row>
  </sheetData>
  <dataValidations>
    <dataValidation allowBlank="1" showDropDown="1" sqref="L2:L8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3.88"/>
    <col customWidth="1" min="4" max="4" width="18.25"/>
    <col customWidth="1" min="7" max="7" width="22.25"/>
    <col customWidth="1" min="8" max="8" width="15.38"/>
    <col customWidth="1" min="9" max="9" width="19.13"/>
  </cols>
  <sheetData>
    <row r="2" ht="22.5" customHeight="1">
      <c r="A2" s="3" t="s">
        <v>0</v>
      </c>
      <c r="B2" s="1640" t="s">
        <v>1</v>
      </c>
      <c r="C2" s="1640" t="s">
        <v>2</v>
      </c>
      <c r="D2" s="1640" t="s">
        <v>1170</v>
      </c>
      <c r="E2" s="1640" t="s">
        <v>2047</v>
      </c>
      <c r="F2" s="1641" t="s">
        <v>12</v>
      </c>
      <c r="G2" s="1642" t="s">
        <v>6</v>
      </c>
      <c r="H2" s="1642" t="s">
        <v>5</v>
      </c>
      <c r="I2" s="1641" t="s">
        <v>7</v>
      </c>
      <c r="J2" s="1640" t="s">
        <v>8</v>
      </c>
      <c r="K2" s="1640" t="s">
        <v>2343</v>
      </c>
      <c r="L2" s="1640" t="s">
        <v>10</v>
      </c>
    </row>
    <row r="3" ht="22.5" customHeight="1">
      <c r="A3" s="5" t="s">
        <v>383</v>
      </c>
      <c r="B3" s="88" t="s">
        <v>492</v>
      </c>
      <c r="C3" s="76">
        <v>61.0</v>
      </c>
      <c r="D3" s="76">
        <v>2.0</v>
      </c>
      <c r="E3" s="1663">
        <v>0.03278688524590164</v>
      </c>
      <c r="F3" s="28">
        <v>0.0</v>
      </c>
      <c r="G3" s="1647">
        <v>5.0</v>
      </c>
      <c r="H3" s="73">
        <v>0.08196721311475409</v>
      </c>
      <c r="I3" s="28">
        <v>0.0</v>
      </c>
      <c r="J3" s="77">
        <v>6.0</v>
      </c>
      <c r="K3" s="325">
        <v>0.10344827586206896</v>
      </c>
      <c r="L3" s="1665" t="s">
        <v>2406</v>
      </c>
      <c r="M3" s="526"/>
    </row>
    <row r="4" ht="22.5" customHeight="1">
      <c r="A4" s="5" t="s">
        <v>383</v>
      </c>
      <c r="B4" s="88" t="s">
        <v>488</v>
      </c>
      <c r="C4" s="76">
        <v>398.0</v>
      </c>
      <c r="D4" s="76">
        <v>2.0</v>
      </c>
      <c r="E4" s="334">
        <v>0.005025125628140704</v>
      </c>
      <c r="F4" s="28">
        <v>0.0</v>
      </c>
      <c r="G4" s="1647">
        <v>15.0</v>
      </c>
      <c r="H4" s="73">
        <v>0.03768844221105527</v>
      </c>
      <c r="I4" s="28">
        <v>0.0</v>
      </c>
      <c r="J4" s="77">
        <v>4.0</v>
      </c>
      <c r="K4" s="73">
        <v>0.010309278350515464</v>
      </c>
      <c r="L4" s="1667" t="s">
        <v>2327</v>
      </c>
      <c r="M4" s="526"/>
    </row>
    <row r="5" ht="22.5" customHeight="1">
      <c r="A5" s="5" t="s">
        <v>383</v>
      </c>
      <c r="B5" s="88" t="s">
        <v>500</v>
      </c>
      <c r="C5" s="76">
        <v>146.0</v>
      </c>
      <c r="D5" s="76">
        <v>0.0</v>
      </c>
      <c r="E5" s="73">
        <v>0.0</v>
      </c>
      <c r="F5" s="28">
        <v>0.0</v>
      </c>
      <c r="G5" s="1647">
        <v>3.0</v>
      </c>
      <c r="H5" s="73">
        <v>0.02054794520547945</v>
      </c>
      <c r="I5" s="28">
        <v>0.0</v>
      </c>
      <c r="J5" s="77">
        <v>4.0</v>
      </c>
      <c r="K5" s="331">
        <v>0.027777777777777776</v>
      </c>
      <c r="L5" s="1667" t="s">
        <v>2412</v>
      </c>
      <c r="M5" s="526"/>
    </row>
    <row r="6" ht="22.5" customHeight="1">
      <c r="A6" s="5" t="s">
        <v>383</v>
      </c>
      <c r="B6" s="88" t="s">
        <v>493</v>
      </c>
      <c r="C6" s="76">
        <v>166.0</v>
      </c>
      <c r="D6" s="76">
        <v>1.0</v>
      </c>
      <c r="E6" s="1672">
        <v>0.006024096385542169</v>
      </c>
      <c r="F6" s="28">
        <v>0.0</v>
      </c>
      <c r="G6" s="1647">
        <v>4.0</v>
      </c>
      <c r="H6" s="73">
        <v>0.024096385542168676</v>
      </c>
      <c r="I6" s="28">
        <v>0.0</v>
      </c>
      <c r="J6" s="77">
        <v>6.0</v>
      </c>
      <c r="K6" s="1673">
        <v>0.037037037037037035</v>
      </c>
      <c r="L6" s="1667" t="s">
        <v>2416</v>
      </c>
      <c r="M6" s="526"/>
    </row>
    <row r="7" ht="22.5" customHeight="1">
      <c r="A7" s="5" t="s">
        <v>383</v>
      </c>
      <c r="B7" s="88" t="s">
        <v>490</v>
      </c>
      <c r="C7" s="76">
        <v>235.0</v>
      </c>
      <c r="D7" s="76">
        <v>0.0</v>
      </c>
      <c r="E7" s="73">
        <v>0.0</v>
      </c>
      <c r="F7" s="28">
        <v>0.0</v>
      </c>
      <c r="G7" s="1647">
        <v>8.0</v>
      </c>
      <c r="H7" s="73">
        <v>0.03404255319148936</v>
      </c>
      <c r="I7" s="28">
        <v>0.0</v>
      </c>
      <c r="J7" s="77">
        <v>17.0</v>
      </c>
      <c r="K7" s="1675">
        <v>0.07423580786026202</v>
      </c>
      <c r="L7" s="1665" t="s">
        <v>2421</v>
      </c>
      <c r="M7" s="526"/>
    </row>
    <row r="8" ht="22.5" customHeight="1">
      <c r="A8" s="5" t="s">
        <v>383</v>
      </c>
      <c r="B8" s="88" t="s">
        <v>494</v>
      </c>
      <c r="C8" s="76">
        <v>145.0</v>
      </c>
      <c r="D8" s="76">
        <v>13.0</v>
      </c>
      <c r="E8" s="1594">
        <v>0.0896551724137931</v>
      </c>
      <c r="F8" s="28">
        <v>0.0</v>
      </c>
      <c r="G8" s="1647">
        <v>1.0</v>
      </c>
      <c r="H8" s="73">
        <v>0.006896551724137931</v>
      </c>
      <c r="I8" s="28">
        <v>0.0</v>
      </c>
      <c r="J8" s="77">
        <v>4.0</v>
      </c>
      <c r="K8" s="1679">
        <v>0.03076923076923077</v>
      </c>
      <c r="L8" s="1665" t="s">
        <v>2426</v>
      </c>
      <c r="M8" s="526"/>
    </row>
    <row r="9" ht="22.5" customHeight="1">
      <c r="A9" s="5" t="s">
        <v>383</v>
      </c>
      <c r="B9" s="88" t="s">
        <v>502</v>
      </c>
      <c r="C9" s="76">
        <v>86.0</v>
      </c>
      <c r="D9" s="76">
        <v>1.0</v>
      </c>
      <c r="E9" s="1681">
        <v>0.011627906976744186</v>
      </c>
      <c r="F9" s="28">
        <v>0.0</v>
      </c>
      <c r="G9" s="1647">
        <v>5.0</v>
      </c>
      <c r="H9" s="73">
        <v>0.05813953488372093</v>
      </c>
      <c r="I9" s="28">
        <v>0.0</v>
      </c>
      <c r="J9" s="77">
        <v>3.0</v>
      </c>
      <c r="K9" s="1683">
        <v>0.03529411764705882</v>
      </c>
      <c r="L9" s="1667" t="s">
        <v>1879</v>
      </c>
      <c r="M9" s="526"/>
    </row>
    <row r="10" ht="22.5" customHeight="1">
      <c r="A10" s="5" t="s">
        <v>383</v>
      </c>
      <c r="B10" s="88" t="s">
        <v>508</v>
      </c>
      <c r="C10" s="76">
        <v>37.0</v>
      </c>
      <c r="D10" s="76">
        <v>0.0</v>
      </c>
      <c r="E10" s="73">
        <v>0.0</v>
      </c>
      <c r="F10" s="28">
        <v>0.0</v>
      </c>
      <c r="G10" s="1647">
        <v>1.0</v>
      </c>
      <c r="H10" s="73">
        <v>0.02702702702702703</v>
      </c>
      <c r="I10" s="28">
        <v>0.0</v>
      </c>
      <c r="J10" s="77">
        <v>2.0</v>
      </c>
      <c r="K10" s="1685">
        <v>0.05555555555555555</v>
      </c>
      <c r="L10" s="1667" t="s">
        <v>2433</v>
      </c>
      <c r="M10" s="526"/>
    </row>
    <row r="11" ht="22.5" customHeight="1">
      <c r="A11" s="5" t="s">
        <v>383</v>
      </c>
      <c r="B11" s="88" t="s">
        <v>504</v>
      </c>
      <c r="C11" s="76">
        <v>59.0</v>
      </c>
      <c r="D11" s="76">
        <v>1.0</v>
      </c>
      <c r="E11" s="1686">
        <v>0.01694915254237288</v>
      </c>
      <c r="F11" s="28">
        <v>0.0</v>
      </c>
      <c r="G11" s="1647">
        <v>1.0</v>
      </c>
      <c r="H11" s="73">
        <v>0.01694915254237288</v>
      </c>
      <c r="I11" s="28">
        <v>0.0</v>
      </c>
      <c r="J11" s="77">
        <v>2.0</v>
      </c>
      <c r="K11" s="1683">
        <v>0.03508771929824561</v>
      </c>
      <c r="L11" s="1665" t="s">
        <v>2435</v>
      </c>
      <c r="M11" s="526"/>
    </row>
    <row r="12" ht="22.5" customHeight="1">
      <c r="A12" s="5" t="s">
        <v>383</v>
      </c>
      <c r="B12" s="88" t="s">
        <v>498</v>
      </c>
      <c r="C12" s="76">
        <v>131.0</v>
      </c>
      <c r="D12" s="76">
        <v>4.0</v>
      </c>
      <c r="E12" s="1603">
        <v>0.030534351145038167</v>
      </c>
      <c r="F12" s="28">
        <v>0.0</v>
      </c>
      <c r="G12" s="1647">
        <v>3.0</v>
      </c>
      <c r="H12" s="73">
        <v>0.022900763358778626</v>
      </c>
      <c r="I12" s="28">
        <v>0.0</v>
      </c>
      <c r="J12" s="77">
        <v>4.0</v>
      </c>
      <c r="K12" s="1694">
        <v>0.03225806451612903</v>
      </c>
      <c r="L12" s="1667" t="s">
        <v>1879</v>
      </c>
      <c r="M12" s="526"/>
    </row>
    <row r="13" ht="22.5" customHeight="1">
      <c r="A13" s="5" t="s">
        <v>383</v>
      </c>
      <c r="B13" s="88" t="s">
        <v>506</v>
      </c>
      <c r="C13" s="76">
        <v>65.0</v>
      </c>
      <c r="D13" s="76">
        <v>0.0</v>
      </c>
      <c r="E13" s="73">
        <v>0.0</v>
      </c>
      <c r="F13" s="28">
        <v>0.0</v>
      </c>
      <c r="G13" s="1647">
        <v>0.0</v>
      </c>
      <c r="H13" s="73">
        <v>0.0</v>
      </c>
      <c r="I13" s="28">
        <v>0.0</v>
      </c>
      <c r="J13" s="77">
        <v>2.0</v>
      </c>
      <c r="K13" s="1679">
        <v>0.03125</v>
      </c>
      <c r="L13" s="1667" t="s">
        <v>2438</v>
      </c>
      <c r="M13" s="526"/>
    </row>
    <row r="14" ht="22.5" customHeight="1">
      <c r="A14" s="5" t="s">
        <v>383</v>
      </c>
      <c r="B14" s="88" t="s">
        <v>501</v>
      </c>
      <c r="C14" s="76">
        <v>174.0</v>
      </c>
      <c r="D14" s="76">
        <v>1.0</v>
      </c>
      <c r="E14" s="1697">
        <v>0.005747126436781609</v>
      </c>
      <c r="F14" s="28">
        <v>0.0</v>
      </c>
      <c r="G14" s="1647">
        <v>11.0</v>
      </c>
      <c r="H14" s="73">
        <v>0.06321839080459771</v>
      </c>
      <c r="I14" s="28">
        <v>0.0</v>
      </c>
      <c r="J14" s="77">
        <v>7.0</v>
      </c>
      <c r="K14" s="1598">
        <v>0.041176470588235294</v>
      </c>
      <c r="L14" s="1667" t="s">
        <v>2442</v>
      </c>
      <c r="M14" s="526"/>
    </row>
    <row r="15" ht="22.5" customHeight="1">
      <c r="A15" s="5" t="s">
        <v>383</v>
      </c>
      <c r="B15" s="88" t="s">
        <v>496</v>
      </c>
      <c r="C15" s="76">
        <v>121.0</v>
      </c>
      <c r="D15" s="76">
        <v>1.0</v>
      </c>
      <c r="E15" s="1606">
        <v>0.008264462809917356</v>
      </c>
      <c r="F15" s="28">
        <v>0.0</v>
      </c>
      <c r="G15" s="1647">
        <v>5.0</v>
      </c>
      <c r="H15" s="73">
        <v>0.04132231404958678</v>
      </c>
      <c r="I15" s="28">
        <v>0.0</v>
      </c>
      <c r="J15" s="77">
        <v>4.0</v>
      </c>
      <c r="K15" s="1584">
        <v>0.03389830508474576</v>
      </c>
      <c r="L15" s="1667" t="s">
        <v>2340</v>
      </c>
      <c r="M15" s="526"/>
    </row>
    <row r="16" ht="22.5" customHeight="1">
      <c r="A16" s="5" t="s">
        <v>383</v>
      </c>
      <c r="B16" s="88" t="s">
        <v>499</v>
      </c>
      <c r="C16" s="76">
        <v>104.0</v>
      </c>
      <c r="D16" s="76">
        <v>0.0</v>
      </c>
      <c r="E16" s="73">
        <v>0.0</v>
      </c>
      <c r="F16" s="28">
        <v>0.0</v>
      </c>
      <c r="G16" s="1647">
        <v>4.0</v>
      </c>
      <c r="H16" s="73">
        <v>0.038461538461538464</v>
      </c>
      <c r="I16" s="28">
        <v>0.0</v>
      </c>
      <c r="J16" s="77">
        <v>2.0</v>
      </c>
      <c r="K16" s="324">
        <v>0.0196078431372549</v>
      </c>
      <c r="L16" s="1667" t="s">
        <v>2184</v>
      </c>
      <c r="M16" s="526"/>
    </row>
    <row r="17" ht="22.5" customHeight="1">
      <c r="A17" s="5" t="s">
        <v>383</v>
      </c>
      <c r="B17" s="88" t="s">
        <v>507</v>
      </c>
      <c r="C17" s="76">
        <v>84.0</v>
      </c>
      <c r="D17" s="76">
        <v>2.0</v>
      </c>
      <c r="E17" s="1707">
        <v>0.023809523809523808</v>
      </c>
      <c r="F17" s="28">
        <v>0.0</v>
      </c>
      <c r="G17" s="1647">
        <v>2.0</v>
      </c>
      <c r="H17" s="73">
        <v>0.023809523809523808</v>
      </c>
      <c r="I17" s="28">
        <v>0.0</v>
      </c>
      <c r="J17" s="77">
        <v>1.0</v>
      </c>
      <c r="K17" s="1710">
        <v>0.012345679012345678</v>
      </c>
      <c r="L17" s="1667" t="s">
        <v>2453</v>
      </c>
      <c r="M17" s="526"/>
    </row>
    <row r="18" ht="22.5" customHeight="1">
      <c r="A18" s="5" t="s">
        <v>383</v>
      </c>
      <c r="B18" s="88" t="s">
        <v>503</v>
      </c>
      <c r="C18" s="76">
        <v>43.0</v>
      </c>
      <c r="D18" s="76">
        <v>0.0</v>
      </c>
      <c r="E18" s="73">
        <v>0.0</v>
      </c>
      <c r="F18" s="28">
        <v>0.0</v>
      </c>
      <c r="G18" s="1647">
        <v>2.0</v>
      </c>
      <c r="H18" s="73">
        <v>0.046511627906976744</v>
      </c>
      <c r="I18" s="28">
        <v>0.0</v>
      </c>
      <c r="J18" s="77">
        <v>4.0</v>
      </c>
      <c r="K18" s="1677">
        <v>0.09523809523809523</v>
      </c>
      <c r="L18" s="1667" t="s">
        <v>2432</v>
      </c>
      <c r="M18" s="526"/>
    </row>
    <row r="19" ht="22.5" customHeight="1">
      <c r="A19" s="5" t="s">
        <v>383</v>
      </c>
      <c r="B19" s="88" t="s">
        <v>505</v>
      </c>
      <c r="C19" s="76">
        <v>57.0</v>
      </c>
      <c r="D19" s="76">
        <v>0.0</v>
      </c>
      <c r="E19" s="73">
        <v>0.0</v>
      </c>
      <c r="F19" s="28">
        <v>0.0</v>
      </c>
      <c r="G19" s="1647">
        <v>1.0</v>
      </c>
      <c r="H19" s="73">
        <v>0.017543859649122806</v>
      </c>
      <c r="I19" s="28">
        <v>0.0</v>
      </c>
      <c r="J19" s="77">
        <v>2.0</v>
      </c>
      <c r="K19" s="1683">
        <v>0.03571428571428571</v>
      </c>
      <c r="L19" s="1667" t="s">
        <v>1879</v>
      </c>
      <c r="M19" s="526"/>
    </row>
    <row r="20" ht="22.5" customHeight="1">
      <c r="A20" s="5" t="s">
        <v>383</v>
      </c>
      <c r="B20" s="88" t="s">
        <v>489</v>
      </c>
      <c r="C20" s="76">
        <v>424.0</v>
      </c>
      <c r="D20" s="76">
        <v>3.0</v>
      </c>
      <c r="E20" s="1714">
        <v>0.007075471698113208</v>
      </c>
      <c r="F20" s="28">
        <v>0.0</v>
      </c>
      <c r="G20" s="1647">
        <v>15.0</v>
      </c>
      <c r="H20" s="73">
        <v>0.03537735849056604</v>
      </c>
      <c r="I20" s="28">
        <v>0.0</v>
      </c>
      <c r="J20" s="77">
        <v>8.0</v>
      </c>
      <c r="K20" s="1716">
        <v>0.019184652278177457</v>
      </c>
      <c r="L20" s="1667" t="s">
        <v>2388</v>
      </c>
      <c r="M20" s="526"/>
    </row>
    <row r="21" ht="22.5" customHeight="1">
      <c r="A21" s="5" t="s">
        <v>383</v>
      </c>
      <c r="B21" s="88" t="s">
        <v>495</v>
      </c>
      <c r="C21" s="76">
        <v>126.0</v>
      </c>
      <c r="D21" s="76">
        <v>0.0</v>
      </c>
      <c r="E21" s="73">
        <v>0.0</v>
      </c>
      <c r="F21" s="28">
        <v>0.0</v>
      </c>
      <c r="G21" s="1647">
        <v>4.0</v>
      </c>
      <c r="H21" s="73">
        <v>0.031746031746031744</v>
      </c>
      <c r="I21" s="28">
        <v>0.0</v>
      </c>
      <c r="J21" s="77">
        <v>3.0</v>
      </c>
      <c r="K21" s="1717">
        <v>0.02459016393442623</v>
      </c>
      <c r="L21" s="1667" t="s">
        <v>2472</v>
      </c>
      <c r="M21" s="526"/>
    </row>
    <row r="22" ht="22.5" customHeight="1">
      <c r="A22" s="5" t="s">
        <v>383</v>
      </c>
      <c r="B22" s="88" t="s">
        <v>491</v>
      </c>
      <c r="C22" s="76">
        <v>225.0</v>
      </c>
      <c r="D22" s="76">
        <v>3.0</v>
      </c>
      <c r="E22" s="1669">
        <v>0.013333333333333334</v>
      </c>
      <c r="F22" s="28">
        <v>0.0</v>
      </c>
      <c r="G22" s="1647">
        <v>10.0</v>
      </c>
      <c r="H22" s="73">
        <v>0.044444444444444446</v>
      </c>
      <c r="I22" s="28">
        <v>0.0</v>
      </c>
      <c r="J22" s="77">
        <v>7.0</v>
      </c>
      <c r="K22" s="1670">
        <v>0.03211009174311927</v>
      </c>
      <c r="L22" s="1667" t="s">
        <v>1879</v>
      </c>
      <c r="M22" s="526"/>
    </row>
    <row r="23" ht="22.5" customHeight="1">
      <c r="A23" s="5" t="s">
        <v>11</v>
      </c>
      <c r="B23" s="1718" t="s">
        <v>104</v>
      </c>
      <c r="C23" s="1720">
        <v>143.0</v>
      </c>
      <c r="D23" s="1723">
        <v>5.0</v>
      </c>
      <c r="E23" s="1722">
        <v>0.0338</v>
      </c>
      <c r="F23" s="1724" t="s">
        <v>2483</v>
      </c>
      <c r="G23" s="1703">
        <v>0.0</v>
      </c>
      <c r="H23" s="1728">
        <v>0.0</v>
      </c>
      <c r="I23" s="1727" t="s">
        <v>17</v>
      </c>
      <c r="J23" s="1720" t="s">
        <v>17</v>
      </c>
      <c r="K23" s="1720" t="s">
        <v>17</v>
      </c>
      <c r="L23" s="1732" t="s">
        <v>2353</v>
      </c>
      <c r="M23" s="526"/>
    </row>
    <row r="24" ht="22.5" customHeight="1">
      <c r="A24" s="5" t="s">
        <v>11</v>
      </c>
      <c r="B24" s="1718" t="s">
        <v>497</v>
      </c>
      <c r="C24" s="1720">
        <v>603.0</v>
      </c>
      <c r="D24" s="1703">
        <v>1.0</v>
      </c>
      <c r="E24" s="1733">
        <v>0.0017</v>
      </c>
      <c r="F24" s="1724" t="s">
        <v>173</v>
      </c>
      <c r="G24" s="1735">
        <v>13.0</v>
      </c>
      <c r="H24" s="1737">
        <v>0.0216</v>
      </c>
      <c r="I24" s="1727" t="s">
        <v>2491</v>
      </c>
      <c r="J24" s="1740">
        <v>70.0</v>
      </c>
      <c r="K24" s="1741">
        <v>0.1254</v>
      </c>
      <c r="L24" s="1742" t="s">
        <v>2493</v>
      </c>
      <c r="M24" s="526"/>
    </row>
    <row r="25" ht="22.5" customHeight="1">
      <c r="A25" s="5" t="s">
        <v>11</v>
      </c>
      <c r="B25" s="1718" t="s">
        <v>39</v>
      </c>
      <c r="C25" s="1719">
        <v>849.0</v>
      </c>
      <c r="D25" s="1708">
        <v>1.0</v>
      </c>
      <c r="E25" s="1728">
        <v>0.0012</v>
      </c>
      <c r="F25" s="1724" t="s">
        <v>277</v>
      </c>
      <c r="G25" s="1746">
        <v>10.0</v>
      </c>
      <c r="H25" s="1748">
        <v>0.0118</v>
      </c>
      <c r="I25" s="1727" t="s">
        <v>2497</v>
      </c>
      <c r="J25" s="1723">
        <v>78.0</v>
      </c>
      <c r="K25" s="1750">
        <v>0.105</v>
      </c>
      <c r="L25" s="1751" t="s">
        <v>2500</v>
      </c>
      <c r="M25" s="526"/>
    </row>
    <row r="26" ht="22.5" customHeight="1">
      <c r="A26" s="5" t="s">
        <v>11</v>
      </c>
      <c r="B26" s="1718" t="s">
        <v>170</v>
      </c>
      <c r="C26" s="1720">
        <v>280.0</v>
      </c>
      <c r="D26" s="1720" t="s">
        <v>17</v>
      </c>
      <c r="E26" s="1720" t="s">
        <v>17</v>
      </c>
      <c r="F26" s="1724" t="s">
        <v>17</v>
      </c>
      <c r="G26" s="1753">
        <v>6.0</v>
      </c>
      <c r="H26" s="1755">
        <v>0.0214</v>
      </c>
      <c r="I26" s="1727" t="s">
        <v>2502</v>
      </c>
      <c r="J26" s="1756">
        <v>23.0</v>
      </c>
      <c r="K26" s="1758">
        <v>0.092</v>
      </c>
      <c r="L26" s="1759" t="s">
        <v>2184</v>
      </c>
      <c r="M26" s="526"/>
    </row>
    <row r="27" ht="22.5" customHeight="1">
      <c r="A27" s="5" t="s">
        <v>11</v>
      </c>
      <c r="B27" s="1718" t="s">
        <v>15</v>
      </c>
      <c r="C27" s="1719">
        <v>364.0</v>
      </c>
      <c r="D27" s="1719" t="s">
        <v>17</v>
      </c>
      <c r="E27" s="1720" t="s">
        <v>17</v>
      </c>
      <c r="F27" s="1724" t="s">
        <v>17</v>
      </c>
      <c r="G27" s="1763">
        <v>4.0</v>
      </c>
      <c r="H27" s="1764">
        <v>0.011</v>
      </c>
      <c r="I27" s="1727" t="s">
        <v>2508</v>
      </c>
      <c r="J27" s="1766">
        <v>21.0</v>
      </c>
      <c r="K27" s="1755">
        <v>0.0665</v>
      </c>
      <c r="L27" s="1767" t="s">
        <v>2510</v>
      </c>
      <c r="M27" s="526"/>
    </row>
    <row r="28" ht="22.5" customHeight="1">
      <c r="A28" s="5" t="s">
        <v>11</v>
      </c>
      <c r="B28" s="1718" t="s">
        <v>50</v>
      </c>
      <c r="C28" s="1719">
        <v>436.0</v>
      </c>
      <c r="D28" s="1708">
        <v>1.0</v>
      </c>
      <c r="E28" s="1748">
        <v>0.0023</v>
      </c>
      <c r="F28" s="1724" t="s">
        <v>2514</v>
      </c>
      <c r="G28" s="1771">
        <v>14.0</v>
      </c>
      <c r="H28" s="1772">
        <v>0.0321</v>
      </c>
      <c r="I28" s="1727" t="s">
        <v>2517</v>
      </c>
      <c r="J28" s="1756">
        <v>23.0</v>
      </c>
      <c r="K28" s="1761">
        <v>0.0641</v>
      </c>
      <c r="L28" s="1775" t="s">
        <v>2521</v>
      </c>
      <c r="M28" s="526"/>
    </row>
    <row r="29" ht="22.5" customHeight="1">
      <c r="A29" s="5" t="s">
        <v>11</v>
      </c>
      <c r="B29" s="1718" t="s">
        <v>82</v>
      </c>
      <c r="C29" s="1720">
        <v>453.0</v>
      </c>
      <c r="D29" s="1720" t="s">
        <v>17</v>
      </c>
      <c r="E29" s="1720" t="s">
        <v>17</v>
      </c>
      <c r="F29" s="1724" t="s">
        <v>17</v>
      </c>
      <c r="G29" s="1777">
        <v>8.0</v>
      </c>
      <c r="H29" s="1747">
        <v>0.0177</v>
      </c>
      <c r="I29" s="1727" t="s">
        <v>2525</v>
      </c>
      <c r="J29" s="1756">
        <v>23.0</v>
      </c>
      <c r="K29" s="1780">
        <v>0.0536</v>
      </c>
      <c r="L29" s="1742" t="s">
        <v>2528</v>
      </c>
      <c r="M29" s="526"/>
    </row>
    <row r="30" ht="22.5" customHeight="1">
      <c r="A30" s="5" t="s">
        <v>11</v>
      </c>
      <c r="B30" s="1718" t="s">
        <v>94</v>
      </c>
      <c r="C30" s="1719">
        <v>426.0</v>
      </c>
      <c r="D30" s="1708">
        <v>1.0</v>
      </c>
      <c r="E30" s="1781">
        <v>0.0023</v>
      </c>
      <c r="F30" s="1724" t="s">
        <v>41</v>
      </c>
      <c r="G30" s="1784">
        <v>2.0</v>
      </c>
      <c r="H30" s="1785">
        <v>0.0047</v>
      </c>
      <c r="I30" s="1727" t="s">
        <v>2534</v>
      </c>
      <c r="J30" s="1787">
        <v>20.0</v>
      </c>
      <c r="K30" s="1780">
        <v>0.0525</v>
      </c>
      <c r="L30" s="1742" t="s">
        <v>2539</v>
      </c>
      <c r="M30" s="526"/>
    </row>
    <row r="31" ht="22.5" customHeight="1">
      <c r="A31" s="5" t="s">
        <v>11</v>
      </c>
      <c r="B31" s="1718" t="s">
        <v>159</v>
      </c>
      <c r="C31" s="1720">
        <v>346.0</v>
      </c>
      <c r="D31" s="1720" t="s">
        <v>17</v>
      </c>
      <c r="E31" s="1720" t="s">
        <v>17</v>
      </c>
      <c r="F31" s="1724" t="s">
        <v>17</v>
      </c>
      <c r="G31" s="1790">
        <v>3.0</v>
      </c>
      <c r="H31" s="1726">
        <v>0.0087</v>
      </c>
      <c r="I31" s="1727" t="s">
        <v>2545</v>
      </c>
      <c r="J31" s="1791">
        <v>13.0</v>
      </c>
      <c r="K31" s="1792">
        <v>0.0414</v>
      </c>
      <c r="L31" s="1759" t="s">
        <v>2546</v>
      </c>
      <c r="M31" s="526"/>
    </row>
    <row r="32" ht="22.5" customHeight="1">
      <c r="A32" s="5" t="s">
        <v>11</v>
      </c>
      <c r="B32" s="1718" t="s">
        <v>85</v>
      </c>
      <c r="C32" s="1719">
        <v>522.0</v>
      </c>
      <c r="D32" s="1719" t="s">
        <v>17</v>
      </c>
      <c r="E32" s="1720" t="s">
        <v>17</v>
      </c>
      <c r="F32" s="1724" t="s">
        <v>17</v>
      </c>
      <c r="G32" s="1735">
        <v>13.0</v>
      </c>
      <c r="H32" s="1800">
        <v>0.0249</v>
      </c>
      <c r="I32" s="1727" t="s">
        <v>2549</v>
      </c>
      <c r="J32" s="1787">
        <v>20.0</v>
      </c>
      <c r="K32" s="1792">
        <v>0.0407</v>
      </c>
      <c r="L32" s="1774" t="s">
        <v>1879</v>
      </c>
      <c r="M32" s="526"/>
    </row>
    <row r="33" ht="22.5" customHeight="1">
      <c r="A33" s="5" t="s">
        <v>11</v>
      </c>
      <c r="B33" s="1718" t="s">
        <v>114</v>
      </c>
      <c r="C33" s="1720">
        <v>426.0</v>
      </c>
      <c r="D33" s="1703">
        <v>1.0</v>
      </c>
      <c r="E33" s="1781">
        <v>0.0023</v>
      </c>
      <c r="F33" s="1724" t="s">
        <v>2552</v>
      </c>
      <c r="G33" s="1806">
        <v>5.0</v>
      </c>
      <c r="H33" s="1748">
        <v>0.0117</v>
      </c>
      <c r="I33" s="1727" t="s">
        <v>2554</v>
      </c>
      <c r="J33" s="1807">
        <v>14.0</v>
      </c>
      <c r="K33" s="1808">
        <v>0.0361</v>
      </c>
      <c r="L33" s="1742" t="s">
        <v>2265</v>
      </c>
      <c r="M33" s="526"/>
    </row>
    <row r="34" ht="22.5" customHeight="1">
      <c r="A34" s="5" t="s">
        <v>11</v>
      </c>
      <c r="B34" s="1718" t="s">
        <v>27</v>
      </c>
      <c r="C34" s="1720">
        <v>657.0</v>
      </c>
      <c r="D34" s="1720" t="s">
        <v>17</v>
      </c>
      <c r="E34" s="1720" t="s">
        <v>17</v>
      </c>
      <c r="F34" s="1724" t="s">
        <v>17</v>
      </c>
      <c r="G34" s="1813">
        <v>11.0</v>
      </c>
      <c r="H34" s="1814">
        <v>0.0167</v>
      </c>
      <c r="I34" s="1727" t="s">
        <v>2557</v>
      </c>
      <c r="J34" s="1787">
        <v>20.0</v>
      </c>
      <c r="K34" s="1808">
        <v>0.0339</v>
      </c>
      <c r="L34" s="1774" t="s">
        <v>1879</v>
      </c>
      <c r="M34" s="526"/>
    </row>
    <row r="35" ht="22.5" customHeight="1">
      <c r="A35" s="5" t="s">
        <v>11</v>
      </c>
      <c r="B35" s="1718" t="s">
        <v>119</v>
      </c>
      <c r="C35" s="1720">
        <v>286.0</v>
      </c>
      <c r="D35" s="1720" t="s">
        <v>17</v>
      </c>
      <c r="E35" s="1720" t="s">
        <v>17</v>
      </c>
      <c r="F35" s="1724" t="s">
        <v>17</v>
      </c>
      <c r="G35" s="1790">
        <v>3.0</v>
      </c>
      <c r="H35" s="1820">
        <v>0.0105</v>
      </c>
      <c r="I35" s="1727" t="s">
        <v>2560</v>
      </c>
      <c r="J35" s="1796">
        <v>9.0</v>
      </c>
      <c r="K35" s="1808">
        <v>0.0335</v>
      </c>
      <c r="L35" s="1774" t="s">
        <v>1879</v>
      </c>
      <c r="M35" s="526"/>
    </row>
    <row r="36" ht="22.5" customHeight="1">
      <c r="A36" s="5" t="s">
        <v>11</v>
      </c>
      <c r="B36" s="1718" t="s">
        <v>153</v>
      </c>
      <c r="C36" s="1720">
        <v>364.0</v>
      </c>
      <c r="D36" s="1720" t="s">
        <v>17</v>
      </c>
      <c r="E36" s="1720" t="s">
        <v>17</v>
      </c>
      <c r="F36" s="1724" t="s">
        <v>17</v>
      </c>
      <c r="G36" s="1763">
        <v>4.0</v>
      </c>
      <c r="H36" s="1764">
        <v>0.011</v>
      </c>
      <c r="I36" s="1727" t="s">
        <v>2564</v>
      </c>
      <c r="J36" s="1749">
        <v>10.0</v>
      </c>
      <c r="K36" s="1781">
        <v>0.0295</v>
      </c>
      <c r="L36" s="1774" t="s">
        <v>1879</v>
      </c>
      <c r="M36" s="526"/>
    </row>
    <row r="37" ht="22.5" customHeight="1">
      <c r="A37" s="5" t="s">
        <v>11</v>
      </c>
      <c r="B37" s="1718" t="s">
        <v>26</v>
      </c>
      <c r="C37" s="1719">
        <v>950.0</v>
      </c>
      <c r="D37" s="1719" t="s">
        <v>17</v>
      </c>
      <c r="E37" s="1720" t="s">
        <v>17</v>
      </c>
      <c r="F37" s="1724" t="s">
        <v>17</v>
      </c>
      <c r="G37" s="1735">
        <v>13.0</v>
      </c>
      <c r="H37" s="1808">
        <v>0.0137</v>
      </c>
      <c r="I37" s="1727" t="s">
        <v>2567</v>
      </c>
      <c r="J37" s="1828">
        <v>26.0</v>
      </c>
      <c r="K37" s="1781">
        <v>0.0291</v>
      </c>
      <c r="L37" s="1742" t="s">
        <v>2568</v>
      </c>
      <c r="M37" s="526"/>
    </row>
    <row r="38" ht="22.5" customHeight="1">
      <c r="A38" s="5" t="s">
        <v>11</v>
      </c>
      <c r="B38" s="1718" t="s">
        <v>33</v>
      </c>
      <c r="C38" s="1719">
        <v>825.0</v>
      </c>
      <c r="D38" s="1719" t="s">
        <v>17</v>
      </c>
      <c r="E38" s="1720" t="s">
        <v>17</v>
      </c>
      <c r="F38" s="1724" t="s">
        <v>17</v>
      </c>
      <c r="G38" s="1746">
        <v>10.0</v>
      </c>
      <c r="H38" s="1833">
        <v>0.0121</v>
      </c>
      <c r="I38" s="1727" t="s">
        <v>2572</v>
      </c>
      <c r="J38" s="1766">
        <v>21.0</v>
      </c>
      <c r="K38" s="1781">
        <v>0.0283</v>
      </c>
      <c r="L38" s="1774" t="s">
        <v>1879</v>
      </c>
      <c r="M38" s="526"/>
    </row>
    <row r="39" ht="22.5" customHeight="1">
      <c r="A39" s="5" t="s">
        <v>11</v>
      </c>
      <c r="B39" s="1718" t="s">
        <v>145</v>
      </c>
      <c r="C39" s="1719">
        <v>331.0</v>
      </c>
      <c r="D39" s="1834">
        <v>2.0</v>
      </c>
      <c r="E39" s="1814">
        <v>0.006</v>
      </c>
      <c r="F39" s="1724" t="s">
        <v>2575</v>
      </c>
      <c r="G39" s="1790">
        <v>3.0</v>
      </c>
      <c r="H39" s="1835">
        <v>0.0091</v>
      </c>
      <c r="I39" s="1727" t="s">
        <v>2576</v>
      </c>
      <c r="J39" s="1837">
        <v>8.0</v>
      </c>
      <c r="K39" s="1781">
        <v>0.0281</v>
      </c>
      <c r="L39" s="1839" t="s">
        <v>2394</v>
      </c>
      <c r="M39" s="526"/>
    </row>
    <row r="40" ht="22.5" customHeight="1">
      <c r="A40" s="5" t="s">
        <v>11</v>
      </c>
      <c r="B40" s="1718" t="s">
        <v>2055</v>
      </c>
      <c r="C40" s="1719">
        <v>429.0</v>
      </c>
      <c r="D40" s="1719" t="s">
        <v>17</v>
      </c>
      <c r="E40" s="1720" t="s">
        <v>17</v>
      </c>
      <c r="F40" s="1724" t="s">
        <v>17</v>
      </c>
      <c r="G40" s="1763">
        <v>4.0</v>
      </c>
      <c r="H40" s="1769">
        <v>0.0093</v>
      </c>
      <c r="I40" s="1727" t="s">
        <v>2579</v>
      </c>
      <c r="J40" s="1749">
        <v>10.0</v>
      </c>
      <c r="K40" s="1781">
        <v>0.0279</v>
      </c>
      <c r="L40" s="1842" t="s">
        <v>2231</v>
      </c>
      <c r="M40" s="526"/>
    </row>
    <row r="41" ht="22.5" customHeight="1">
      <c r="A41" s="5" t="s">
        <v>11</v>
      </c>
      <c r="B41" s="1718" t="s">
        <v>46</v>
      </c>
      <c r="C41" s="1719">
        <v>116.0</v>
      </c>
      <c r="D41" s="1719" t="s">
        <v>17</v>
      </c>
      <c r="E41" s="1720" t="s">
        <v>17</v>
      </c>
      <c r="F41" s="1724" t="s">
        <v>17</v>
      </c>
      <c r="G41" s="1753">
        <v>6.0</v>
      </c>
      <c r="H41" s="1722">
        <v>0.0517</v>
      </c>
      <c r="I41" s="1727" t="s">
        <v>2583</v>
      </c>
      <c r="J41" s="1849">
        <v>3.0</v>
      </c>
      <c r="K41" s="1833">
        <v>0.0278</v>
      </c>
      <c r="L41" s="1774" t="s">
        <v>1879</v>
      </c>
      <c r="M41" s="526"/>
    </row>
    <row r="42" ht="22.5" customHeight="1">
      <c r="A42" s="5" t="s">
        <v>11</v>
      </c>
      <c r="B42" s="1718" t="s">
        <v>23</v>
      </c>
      <c r="C42" s="1719">
        <v>869.0</v>
      </c>
      <c r="D42" s="1719" t="s">
        <v>17</v>
      </c>
      <c r="E42" s="1720" t="s">
        <v>17</v>
      </c>
      <c r="F42" s="1724" t="s">
        <v>17</v>
      </c>
      <c r="G42" s="1746">
        <v>10.0</v>
      </c>
      <c r="H42" s="1744">
        <v>0.0115</v>
      </c>
      <c r="I42" s="1727" t="s">
        <v>2586</v>
      </c>
      <c r="J42" s="1854">
        <v>22.0</v>
      </c>
      <c r="K42" s="1748">
        <v>0.0268</v>
      </c>
      <c r="L42" s="1774" t="s">
        <v>1879</v>
      </c>
      <c r="M42" s="526"/>
    </row>
    <row r="43" ht="22.5" customHeight="1">
      <c r="A43" s="5" t="s">
        <v>11</v>
      </c>
      <c r="B43" s="1718" t="s">
        <v>123</v>
      </c>
      <c r="C43" s="1719">
        <v>459.0</v>
      </c>
      <c r="D43" s="1719" t="s">
        <v>17</v>
      </c>
      <c r="E43" s="1720" t="s">
        <v>17</v>
      </c>
      <c r="F43" s="1724" t="s">
        <v>17</v>
      </c>
      <c r="G43" s="1813">
        <v>11.0</v>
      </c>
      <c r="H43" s="1857">
        <v>0.024</v>
      </c>
      <c r="I43" s="1727" t="s">
        <v>2591</v>
      </c>
      <c r="J43" s="1749">
        <v>10.0</v>
      </c>
      <c r="K43" s="1858">
        <v>0.0238</v>
      </c>
      <c r="L43" s="1818" t="s">
        <v>2592</v>
      </c>
      <c r="M43" s="526"/>
    </row>
    <row r="44" ht="22.5" customHeight="1">
      <c r="A44" s="5" t="s">
        <v>11</v>
      </c>
      <c r="B44" s="1718" t="s">
        <v>126</v>
      </c>
      <c r="C44" s="1719">
        <v>247.0</v>
      </c>
      <c r="D44" s="1719" t="s">
        <v>17</v>
      </c>
      <c r="E44" s="1720" t="s">
        <v>17</v>
      </c>
      <c r="F44" s="1724" t="s">
        <v>17</v>
      </c>
      <c r="G44" s="1763">
        <v>4.0</v>
      </c>
      <c r="H44" s="1739">
        <v>0.0162</v>
      </c>
      <c r="I44" s="1727" t="s">
        <v>2595</v>
      </c>
      <c r="J44" s="1863">
        <v>5.0</v>
      </c>
      <c r="K44" s="1769">
        <v>0.0227</v>
      </c>
      <c r="L44" s="1774" t="s">
        <v>1879</v>
      </c>
      <c r="M44" s="526"/>
    </row>
    <row r="45" ht="22.5" customHeight="1">
      <c r="A45" s="5" t="s">
        <v>11</v>
      </c>
      <c r="B45" s="1718" t="s">
        <v>59</v>
      </c>
      <c r="C45" s="1720">
        <v>791.0</v>
      </c>
      <c r="D45" s="1866">
        <v>2.0</v>
      </c>
      <c r="E45" s="1781">
        <v>0.0025</v>
      </c>
      <c r="F45" s="1724" t="s">
        <v>2597</v>
      </c>
      <c r="G45" s="1868">
        <v>12.0</v>
      </c>
      <c r="H45" s="1792">
        <v>0.0152</v>
      </c>
      <c r="I45" s="1727" t="s">
        <v>2600</v>
      </c>
      <c r="J45" s="1870">
        <v>17.0</v>
      </c>
      <c r="K45" s="1769">
        <v>0.0226</v>
      </c>
      <c r="L45" s="1732" t="s">
        <v>2389</v>
      </c>
      <c r="M45" s="526"/>
    </row>
    <row r="46" ht="22.5" customHeight="1">
      <c r="A46" s="5" t="s">
        <v>11</v>
      </c>
      <c r="B46" s="1718" t="s">
        <v>45</v>
      </c>
      <c r="C46" s="1719">
        <v>758.0</v>
      </c>
      <c r="D46" s="1719" t="s">
        <v>17</v>
      </c>
      <c r="E46" s="1720" t="s">
        <v>17</v>
      </c>
      <c r="F46" s="1724" t="s">
        <v>17</v>
      </c>
      <c r="G46" s="1813">
        <v>11.0</v>
      </c>
      <c r="H46" s="1792">
        <v>0.0145</v>
      </c>
      <c r="I46" s="1727" t="s">
        <v>2603</v>
      </c>
      <c r="J46" s="1807">
        <v>14.0</v>
      </c>
      <c r="K46" s="1794">
        <v>0.0197</v>
      </c>
      <c r="L46" s="1774" t="s">
        <v>1879</v>
      </c>
      <c r="M46" s="526"/>
    </row>
    <row r="47" ht="22.5" customHeight="1">
      <c r="A47" s="5" t="s">
        <v>11</v>
      </c>
      <c r="B47" s="1718" t="s">
        <v>90</v>
      </c>
      <c r="C47" s="1720">
        <v>411.0</v>
      </c>
      <c r="D47" s="1720" t="s">
        <v>17</v>
      </c>
      <c r="E47" s="1720" t="s">
        <v>17</v>
      </c>
      <c r="F47" s="1724" t="s">
        <v>17</v>
      </c>
      <c r="G47" s="1806">
        <v>5.0</v>
      </c>
      <c r="H47" s="1781">
        <v>0.0122</v>
      </c>
      <c r="I47" s="1727" t="s">
        <v>2607</v>
      </c>
      <c r="J47" s="1874">
        <v>6.0</v>
      </c>
      <c r="K47" s="1803">
        <v>0.0157</v>
      </c>
      <c r="L47" s="1774" t="s">
        <v>1879</v>
      </c>
      <c r="M47" s="526"/>
    </row>
    <row r="48" ht="22.5" customHeight="1">
      <c r="A48" s="5" t="s">
        <v>11</v>
      </c>
      <c r="B48" s="1718" t="s">
        <v>13</v>
      </c>
      <c r="C48" s="1719">
        <v>1220.0</v>
      </c>
      <c r="D48" s="1719" t="s">
        <v>17</v>
      </c>
      <c r="E48" s="1720" t="s">
        <v>17</v>
      </c>
      <c r="F48" s="1724" t="s">
        <v>17</v>
      </c>
      <c r="G48" s="1734">
        <v>27.0</v>
      </c>
      <c r="H48" s="1877">
        <v>0.0221</v>
      </c>
      <c r="I48" s="1727" t="s">
        <v>2611</v>
      </c>
      <c r="J48" s="1879">
        <v>16.0</v>
      </c>
      <c r="K48" s="1881">
        <v>0.0139</v>
      </c>
      <c r="L48" s="1742" t="s">
        <v>2438</v>
      </c>
      <c r="M48" s="526"/>
    </row>
    <row r="49" ht="22.5" customHeight="1">
      <c r="A49" s="5" t="s">
        <v>11</v>
      </c>
      <c r="B49" s="1718" t="s">
        <v>19</v>
      </c>
      <c r="C49" s="1720">
        <v>1162.0</v>
      </c>
      <c r="D49" s="1866">
        <v>2.0</v>
      </c>
      <c r="E49" s="1884">
        <v>0.0017</v>
      </c>
      <c r="F49" s="1724" t="s">
        <v>2613</v>
      </c>
      <c r="G49" s="1777">
        <v>8.0</v>
      </c>
      <c r="H49" s="1886">
        <v>0.0069</v>
      </c>
      <c r="I49" s="1727" t="s">
        <v>2616</v>
      </c>
      <c r="J49" s="1888">
        <v>15.0</v>
      </c>
      <c r="K49" s="1733">
        <v>0.0137</v>
      </c>
      <c r="L49" s="1890" t="s">
        <v>2618</v>
      </c>
      <c r="M49" s="526"/>
    </row>
    <row r="50" ht="22.5" customHeight="1">
      <c r="A50" s="5" t="s">
        <v>11</v>
      </c>
      <c r="B50" s="1718" t="s">
        <v>1989</v>
      </c>
      <c r="C50" s="1719">
        <v>553.0</v>
      </c>
      <c r="D50" s="1719" t="s">
        <v>17</v>
      </c>
      <c r="E50" s="1720" t="s">
        <v>17</v>
      </c>
      <c r="F50" s="1724" t="s">
        <v>17</v>
      </c>
      <c r="G50" s="1763">
        <v>4.0</v>
      </c>
      <c r="H50" s="1891">
        <v>0.0072</v>
      </c>
      <c r="I50" s="1727" t="s">
        <v>2622</v>
      </c>
      <c r="J50" s="1892">
        <v>7.0</v>
      </c>
      <c r="K50" s="1733">
        <v>0.0132</v>
      </c>
      <c r="L50" s="1774" t="s">
        <v>1879</v>
      </c>
      <c r="M50" s="526"/>
    </row>
    <row r="51" ht="22.5" customHeight="1">
      <c r="A51" s="5" t="s">
        <v>11</v>
      </c>
      <c r="B51" s="1718" t="s">
        <v>115</v>
      </c>
      <c r="C51" s="1720">
        <v>453.0</v>
      </c>
      <c r="D51" s="1720" t="s">
        <v>17</v>
      </c>
      <c r="E51" s="1720" t="s">
        <v>17</v>
      </c>
      <c r="F51" s="1724" t="s">
        <v>17</v>
      </c>
      <c r="G51" s="1763">
        <v>4.0</v>
      </c>
      <c r="H51" s="1726">
        <v>0.0088</v>
      </c>
      <c r="I51" s="1727" t="s">
        <v>2624</v>
      </c>
      <c r="J51" s="1863">
        <v>5.0</v>
      </c>
      <c r="K51" s="1785">
        <v>0.0126</v>
      </c>
      <c r="L51" s="1732" t="s">
        <v>2368</v>
      </c>
      <c r="M51" s="526"/>
    </row>
    <row r="52" ht="22.5" customHeight="1">
      <c r="A52" s="5" t="s">
        <v>11</v>
      </c>
      <c r="B52" s="1718" t="s">
        <v>64</v>
      </c>
      <c r="C52" s="1720">
        <v>367.0</v>
      </c>
      <c r="D52" s="1720" t="s">
        <v>17</v>
      </c>
      <c r="E52" s="1720" t="s">
        <v>17</v>
      </c>
      <c r="F52" s="1724" t="s">
        <v>17</v>
      </c>
      <c r="G52" s="1790">
        <v>3.0</v>
      </c>
      <c r="H52" s="1794">
        <v>0.0082</v>
      </c>
      <c r="I52" s="1727" t="s">
        <v>2626</v>
      </c>
      <c r="J52" s="1910">
        <v>4.0</v>
      </c>
      <c r="K52" s="1912">
        <v>0.0122</v>
      </c>
      <c r="L52" s="1774" t="s">
        <v>1879</v>
      </c>
      <c r="M52" s="526"/>
    </row>
    <row r="53" ht="22.5" customHeight="1">
      <c r="A53" s="5" t="s">
        <v>11</v>
      </c>
      <c r="B53" s="1718" t="s">
        <v>136</v>
      </c>
      <c r="C53" s="1719">
        <v>493.0</v>
      </c>
      <c r="D53" s="1719" t="s">
        <v>17</v>
      </c>
      <c r="E53" s="1720" t="s">
        <v>17</v>
      </c>
      <c r="F53" s="1724" t="s">
        <v>17</v>
      </c>
      <c r="G53" s="1763">
        <v>4.0</v>
      </c>
      <c r="H53" s="1794">
        <v>0.0081</v>
      </c>
      <c r="I53" s="1727" t="s">
        <v>2629</v>
      </c>
      <c r="J53" s="1863">
        <v>5.0</v>
      </c>
      <c r="K53" s="1865">
        <v>0.0107</v>
      </c>
      <c r="L53" s="1774" t="s">
        <v>1879</v>
      </c>
      <c r="M53" s="526"/>
    </row>
    <row r="54" ht="22.5" customHeight="1">
      <c r="A54" s="5" t="s">
        <v>11</v>
      </c>
      <c r="B54" s="1718" t="s">
        <v>156</v>
      </c>
      <c r="C54" s="1719">
        <v>455.0</v>
      </c>
      <c r="D54" s="1719" t="s">
        <v>17</v>
      </c>
      <c r="E54" s="1720" t="s">
        <v>17</v>
      </c>
      <c r="F54" s="1724" t="s">
        <v>17</v>
      </c>
      <c r="G54" s="1919">
        <v>7.0</v>
      </c>
      <c r="H54" s="1739">
        <v>0.0154</v>
      </c>
      <c r="I54" s="1727" t="s">
        <v>2633</v>
      </c>
      <c r="J54" s="1910">
        <v>4.0</v>
      </c>
      <c r="K54" s="1923">
        <v>0.0098</v>
      </c>
      <c r="L54" s="1759" t="s">
        <v>2635</v>
      </c>
      <c r="M54" s="526"/>
    </row>
    <row r="55" ht="22.5" customHeight="1">
      <c r="A55" s="5" t="s">
        <v>11</v>
      </c>
      <c r="B55" s="1718" t="s">
        <v>109</v>
      </c>
      <c r="C55" s="1719">
        <v>432.0</v>
      </c>
      <c r="D55" s="1719" t="s">
        <v>17</v>
      </c>
      <c r="E55" s="1720" t="s">
        <v>17</v>
      </c>
      <c r="F55" s="1724" t="s">
        <v>17</v>
      </c>
      <c r="G55" s="1753">
        <v>6.0</v>
      </c>
      <c r="H55" s="1808">
        <v>0.0139</v>
      </c>
      <c r="I55" s="1727" t="s">
        <v>2639</v>
      </c>
      <c r="J55" s="1849">
        <v>3.0</v>
      </c>
      <c r="K55" s="1925">
        <v>0.0079</v>
      </c>
      <c r="L55" s="1921" t="s">
        <v>2641</v>
      </c>
      <c r="M55" s="526"/>
    </row>
    <row r="56" ht="22.5" customHeight="1">
      <c r="A56" s="5" t="s">
        <v>11</v>
      </c>
      <c r="B56" s="1718" t="s">
        <v>96</v>
      </c>
      <c r="C56" s="1720">
        <v>444.0</v>
      </c>
      <c r="D56" s="1720" t="s">
        <v>17</v>
      </c>
      <c r="E56" s="1720" t="s">
        <v>17</v>
      </c>
      <c r="F56" s="1724" t="s">
        <v>17</v>
      </c>
      <c r="G56" s="1926">
        <v>9.0</v>
      </c>
      <c r="H56" s="1761">
        <v>0.0203</v>
      </c>
      <c r="I56" s="1727" t="s">
        <v>182</v>
      </c>
      <c r="J56" s="1928">
        <v>2.0</v>
      </c>
      <c r="K56" s="1929">
        <v>0.0049</v>
      </c>
      <c r="L56" s="1742" t="s">
        <v>2265</v>
      </c>
      <c r="M56" s="526"/>
    </row>
    <row r="57" ht="22.5" customHeight="1">
      <c r="A57" s="5" t="s">
        <v>11</v>
      </c>
      <c r="B57" s="1718" t="s">
        <v>58</v>
      </c>
      <c r="C57" s="1720">
        <v>541.0</v>
      </c>
      <c r="D57" s="1720" t="s">
        <v>17</v>
      </c>
      <c r="E57" s="1720" t="s">
        <v>17</v>
      </c>
      <c r="F57" s="1724" t="s">
        <v>17</v>
      </c>
      <c r="G57" s="1926">
        <v>9.0</v>
      </c>
      <c r="H57" s="1814">
        <v>0.0166</v>
      </c>
      <c r="I57" s="1727" t="s">
        <v>2652</v>
      </c>
      <c r="J57" s="1928">
        <v>2.0</v>
      </c>
      <c r="K57" s="1728">
        <v>0.004</v>
      </c>
      <c r="L57" s="1742" t="s">
        <v>2088</v>
      </c>
      <c r="M57" s="526"/>
    </row>
    <row r="58" ht="22.5" customHeight="1">
      <c r="A58" s="5" t="s">
        <v>11</v>
      </c>
      <c r="B58" s="1718" t="s">
        <v>49</v>
      </c>
      <c r="C58" s="1719">
        <v>614.0</v>
      </c>
      <c r="D58" s="1834">
        <v>2.0</v>
      </c>
      <c r="E58" s="1808">
        <v>0.0032</v>
      </c>
      <c r="F58" s="1724" t="s">
        <v>2653</v>
      </c>
      <c r="G58" s="1777">
        <v>8.0</v>
      </c>
      <c r="H58" s="1781">
        <v>0.013</v>
      </c>
      <c r="I58" s="1727" t="s">
        <v>2655</v>
      </c>
      <c r="J58" s="1928">
        <v>2.0</v>
      </c>
      <c r="K58" s="1728">
        <v>0.0036</v>
      </c>
      <c r="L58" s="1774" t="s">
        <v>1879</v>
      </c>
      <c r="M58" s="526"/>
    </row>
    <row r="59" ht="22.5" customHeight="1">
      <c r="A59" s="5" t="s">
        <v>11</v>
      </c>
      <c r="B59" s="1718" t="s">
        <v>72</v>
      </c>
      <c r="C59" s="1719">
        <v>343.0</v>
      </c>
      <c r="D59" s="1719" t="s">
        <v>17</v>
      </c>
      <c r="E59" s="1720" t="s">
        <v>17</v>
      </c>
      <c r="F59" s="1724" t="s">
        <v>17</v>
      </c>
      <c r="G59" s="1703">
        <v>0.0</v>
      </c>
      <c r="H59" s="1728">
        <v>0.0</v>
      </c>
      <c r="I59" s="1727" t="s">
        <v>17</v>
      </c>
      <c r="J59" s="1811"/>
      <c r="K59" s="1812"/>
      <c r="L59" s="1774" t="s">
        <v>1879</v>
      </c>
      <c r="M59" s="526"/>
    </row>
    <row r="60" ht="22.5" customHeight="1">
      <c r="A60" s="5" t="s">
        <v>11</v>
      </c>
      <c r="B60" s="1718" t="s">
        <v>2069</v>
      </c>
      <c r="C60" s="1719">
        <v>200.0</v>
      </c>
      <c r="D60" s="1719" t="s">
        <v>17</v>
      </c>
      <c r="E60" s="1720" t="s">
        <v>17</v>
      </c>
      <c r="F60" s="1724" t="s">
        <v>17</v>
      </c>
      <c r="G60" s="1788">
        <v>1.0</v>
      </c>
      <c r="H60" s="1733">
        <v>0.005</v>
      </c>
      <c r="I60" s="1727" t="s">
        <v>2663</v>
      </c>
      <c r="J60" s="1811"/>
      <c r="K60" s="1812"/>
      <c r="L60" s="1774" t="s">
        <v>1879</v>
      </c>
      <c r="M60" s="526"/>
    </row>
    <row r="61" ht="22.5" customHeight="1">
      <c r="A61" s="5" t="s">
        <v>11</v>
      </c>
      <c r="B61" s="1718" t="s">
        <v>77</v>
      </c>
      <c r="C61" s="1719">
        <v>444.0</v>
      </c>
      <c r="D61" s="1708">
        <v>1.0</v>
      </c>
      <c r="E61" s="1915">
        <v>0.0022</v>
      </c>
      <c r="F61" s="1724" t="s">
        <v>173</v>
      </c>
      <c r="G61" s="1926">
        <v>9.0</v>
      </c>
      <c r="H61" s="1761">
        <v>0.0203</v>
      </c>
      <c r="I61" s="1727" t="s">
        <v>2666</v>
      </c>
      <c r="J61" s="1811"/>
      <c r="K61" s="1812"/>
      <c r="L61" s="1742" t="s">
        <v>2668</v>
      </c>
      <c r="M61" s="526"/>
    </row>
    <row r="62" ht="22.5" customHeight="1">
      <c r="A62" s="5" t="s">
        <v>185</v>
      </c>
      <c r="B62" s="47" t="s">
        <v>15</v>
      </c>
      <c r="C62" s="47">
        <v>42.0</v>
      </c>
      <c r="D62" s="47" t="s">
        <v>258</v>
      </c>
      <c r="E62" s="47">
        <v>0.0</v>
      </c>
      <c r="F62" s="1902">
        <v>0.0</v>
      </c>
      <c r="G62" s="47" t="s">
        <v>841</v>
      </c>
      <c r="H62" s="47">
        <v>2.0</v>
      </c>
      <c r="I62" s="1701">
        <v>0.0</v>
      </c>
      <c r="J62" s="85">
        <v>10.0</v>
      </c>
      <c r="K62" s="47" t="s">
        <v>2672</v>
      </c>
      <c r="L62" s="47" t="s">
        <v>2674</v>
      </c>
      <c r="M62" s="526"/>
    </row>
    <row r="63" ht="22.5" customHeight="1">
      <c r="A63" s="5" t="s">
        <v>185</v>
      </c>
      <c r="B63" s="47" t="s">
        <v>39</v>
      </c>
      <c r="C63" s="47">
        <v>61.0</v>
      </c>
      <c r="D63" s="47" t="s">
        <v>258</v>
      </c>
      <c r="E63" s="47">
        <v>0.0</v>
      </c>
      <c r="F63" s="1902">
        <v>0.0</v>
      </c>
      <c r="G63" s="47" t="s">
        <v>256</v>
      </c>
      <c r="H63" s="47">
        <v>3.0</v>
      </c>
      <c r="I63" s="47" t="s">
        <v>2679</v>
      </c>
      <c r="J63" s="85">
        <v>37.0</v>
      </c>
      <c r="K63" s="47" t="s">
        <v>2680</v>
      </c>
      <c r="L63" s="47" t="s">
        <v>298</v>
      </c>
      <c r="M63" s="526"/>
    </row>
    <row r="64" ht="22.5" customHeight="1">
      <c r="A64" s="5" t="s">
        <v>185</v>
      </c>
      <c r="B64" s="47" t="s">
        <v>505</v>
      </c>
      <c r="C64" s="47">
        <v>64.0</v>
      </c>
      <c r="D64" s="47" t="s">
        <v>258</v>
      </c>
      <c r="E64" s="47">
        <v>0.0</v>
      </c>
      <c r="F64" s="1902">
        <v>0.0</v>
      </c>
      <c r="G64" s="47" t="s">
        <v>2683</v>
      </c>
      <c r="H64" s="47">
        <v>1.0</v>
      </c>
      <c r="I64" s="47" t="s">
        <v>2684</v>
      </c>
      <c r="J64" s="85">
        <v>23.0</v>
      </c>
      <c r="K64" s="47" t="s">
        <v>2686</v>
      </c>
      <c r="L64" s="47" t="s">
        <v>298</v>
      </c>
      <c r="M64" s="526"/>
    </row>
    <row r="65" ht="22.5" customHeight="1">
      <c r="A65" s="5" t="s">
        <v>185</v>
      </c>
      <c r="B65" s="47" t="s">
        <v>136</v>
      </c>
      <c r="C65" s="47">
        <v>74.0</v>
      </c>
      <c r="D65" s="47" t="s">
        <v>258</v>
      </c>
      <c r="E65" s="47">
        <v>0.0</v>
      </c>
      <c r="F65" s="1902">
        <v>0.0</v>
      </c>
      <c r="G65" s="55" t="s">
        <v>2691</v>
      </c>
      <c r="H65" s="47">
        <v>4.0</v>
      </c>
      <c r="I65" s="47" t="s">
        <v>2692</v>
      </c>
      <c r="J65" s="85">
        <v>11.0</v>
      </c>
      <c r="K65" s="47" t="s">
        <v>2696</v>
      </c>
      <c r="L65" s="47" t="s">
        <v>298</v>
      </c>
      <c r="M65" s="526"/>
    </row>
    <row r="66" ht="22.5" customHeight="1">
      <c r="A66" s="5" t="s">
        <v>185</v>
      </c>
      <c r="B66" s="47" t="s">
        <v>123</v>
      </c>
      <c r="C66" s="47">
        <v>89.0</v>
      </c>
      <c r="D66" s="47" t="s">
        <v>2698</v>
      </c>
      <c r="E66" s="47">
        <v>2.0</v>
      </c>
      <c r="F66" s="1902">
        <v>0.0</v>
      </c>
      <c r="G66" s="47" t="s">
        <v>2699</v>
      </c>
      <c r="H66" s="47">
        <v>7.0</v>
      </c>
      <c r="I66" s="47" t="s">
        <v>2700</v>
      </c>
      <c r="J66" s="85">
        <v>10.0</v>
      </c>
      <c r="K66" s="47" t="s">
        <v>2320</v>
      </c>
      <c r="L66" s="47" t="s">
        <v>2703</v>
      </c>
      <c r="M66" s="526"/>
    </row>
    <row r="67" ht="22.5" customHeight="1">
      <c r="A67" s="5" t="s">
        <v>185</v>
      </c>
      <c r="B67" s="47" t="s">
        <v>59</v>
      </c>
      <c r="C67" s="47">
        <v>113.0</v>
      </c>
      <c r="D67" s="47" t="s">
        <v>531</v>
      </c>
      <c r="E67" s="47">
        <v>1.0</v>
      </c>
      <c r="F67" s="1902">
        <v>0.0</v>
      </c>
      <c r="G67" s="47" t="s">
        <v>1274</v>
      </c>
      <c r="H67" s="47">
        <v>5.0</v>
      </c>
      <c r="I67" s="47" t="s">
        <v>2708</v>
      </c>
      <c r="J67" s="85">
        <v>32.0</v>
      </c>
      <c r="K67" s="47" t="s">
        <v>2710</v>
      </c>
      <c r="L67" s="47" t="s">
        <v>298</v>
      </c>
      <c r="M67" s="526"/>
    </row>
    <row r="68" ht="22.5" customHeight="1">
      <c r="A68" s="5" t="s">
        <v>185</v>
      </c>
      <c r="B68" s="47" t="s">
        <v>170</v>
      </c>
      <c r="C68" s="47">
        <v>118.0</v>
      </c>
      <c r="D68" s="47" t="s">
        <v>2713</v>
      </c>
      <c r="E68" s="47">
        <v>2.0</v>
      </c>
      <c r="F68" s="1902">
        <v>0.0</v>
      </c>
      <c r="G68" s="47" t="s">
        <v>2714</v>
      </c>
      <c r="H68" s="47">
        <v>11.0</v>
      </c>
      <c r="I68" s="47" t="s">
        <v>2717</v>
      </c>
      <c r="J68" s="85">
        <v>16.0</v>
      </c>
      <c r="K68" s="47" t="s">
        <v>2719</v>
      </c>
      <c r="L68" s="47" t="s">
        <v>298</v>
      </c>
      <c r="M68" s="526"/>
    </row>
    <row r="69" ht="22.5" customHeight="1">
      <c r="A69" s="5" t="s">
        <v>185</v>
      </c>
      <c r="B69" s="47" t="s">
        <v>2219</v>
      </c>
      <c r="C69" s="47">
        <v>131.0</v>
      </c>
      <c r="D69" s="47" t="s">
        <v>258</v>
      </c>
      <c r="E69" s="47">
        <v>0.0</v>
      </c>
      <c r="F69" s="1902">
        <v>0.0</v>
      </c>
      <c r="G69" s="47" t="s">
        <v>2721</v>
      </c>
      <c r="H69" s="47">
        <v>5.0</v>
      </c>
      <c r="I69" s="47" t="s">
        <v>2722</v>
      </c>
      <c r="J69" s="85">
        <v>16.0</v>
      </c>
      <c r="K69" s="1553" t="s">
        <v>2726</v>
      </c>
      <c r="L69" s="47" t="s">
        <v>298</v>
      </c>
      <c r="M69" s="526"/>
    </row>
    <row r="70" ht="22.5" customHeight="1">
      <c r="A70" s="5" t="s">
        <v>185</v>
      </c>
      <c r="B70" s="47" t="s">
        <v>77</v>
      </c>
      <c r="C70" s="47">
        <v>155.0</v>
      </c>
      <c r="D70" s="47" t="s">
        <v>258</v>
      </c>
      <c r="E70" s="47">
        <v>0.0</v>
      </c>
      <c r="F70" s="1902">
        <v>0.0</v>
      </c>
      <c r="G70" s="47" t="s">
        <v>2731</v>
      </c>
      <c r="H70" s="47">
        <v>8.0</v>
      </c>
      <c r="I70" s="47" t="s">
        <v>2733</v>
      </c>
      <c r="J70" s="85">
        <v>12.0</v>
      </c>
      <c r="K70" s="1553" t="s">
        <v>2734</v>
      </c>
      <c r="L70" s="47" t="s">
        <v>2735</v>
      </c>
      <c r="M70" s="526"/>
    </row>
    <row r="71" ht="22.5" customHeight="1">
      <c r="A71" s="5" t="s">
        <v>185</v>
      </c>
      <c r="B71" s="47" t="s">
        <v>82</v>
      </c>
      <c r="C71" s="47">
        <v>168.0</v>
      </c>
      <c r="D71" s="47" t="s">
        <v>258</v>
      </c>
      <c r="E71" s="47">
        <v>0.0</v>
      </c>
      <c r="F71" s="1902">
        <v>0.0</v>
      </c>
      <c r="G71" s="47" t="s">
        <v>2739</v>
      </c>
      <c r="H71" s="47">
        <v>5.0</v>
      </c>
      <c r="I71" s="47" t="s">
        <v>2740</v>
      </c>
      <c r="J71" s="85">
        <v>14.0</v>
      </c>
      <c r="K71" s="47" t="s">
        <v>2741</v>
      </c>
      <c r="L71" s="47" t="s">
        <v>298</v>
      </c>
      <c r="M71" s="526"/>
    </row>
    <row r="72" ht="22.5" customHeight="1">
      <c r="A72" s="5" t="s">
        <v>185</v>
      </c>
      <c r="B72" s="47" t="s">
        <v>114</v>
      </c>
      <c r="C72" s="47">
        <v>183.0</v>
      </c>
      <c r="D72" s="47" t="s">
        <v>258</v>
      </c>
      <c r="E72" s="47">
        <v>0.0</v>
      </c>
      <c r="F72" s="1902">
        <v>0.0</v>
      </c>
      <c r="G72" s="47" t="s">
        <v>1707</v>
      </c>
      <c r="H72" s="47">
        <v>4.0</v>
      </c>
      <c r="I72" s="300">
        <v>1156756.0</v>
      </c>
      <c r="J72" s="85">
        <v>44.0</v>
      </c>
      <c r="K72" s="1553" t="s">
        <v>2748</v>
      </c>
      <c r="L72" s="47" t="s">
        <v>298</v>
      </c>
      <c r="M72" s="526"/>
    </row>
    <row r="73" ht="22.5" customHeight="1">
      <c r="A73" s="5" t="s">
        <v>185</v>
      </c>
      <c r="B73" s="47" t="s">
        <v>79</v>
      </c>
      <c r="C73" s="47">
        <v>216.0</v>
      </c>
      <c r="D73" s="47" t="s">
        <v>258</v>
      </c>
      <c r="E73" s="47">
        <v>0.0</v>
      </c>
      <c r="F73" s="1902">
        <v>0.0</v>
      </c>
      <c r="G73" s="47" t="s">
        <v>249</v>
      </c>
      <c r="H73" s="47">
        <v>8.0</v>
      </c>
      <c r="I73" s="47" t="s">
        <v>2752</v>
      </c>
      <c r="J73" s="85">
        <v>41.0</v>
      </c>
      <c r="K73" s="47" t="s">
        <v>2754</v>
      </c>
      <c r="L73" s="47" t="s">
        <v>298</v>
      </c>
      <c r="M73" s="526"/>
    </row>
    <row r="74" ht="22.5" customHeight="1">
      <c r="A74" s="5" t="s">
        <v>185</v>
      </c>
      <c r="B74" s="47" t="s">
        <v>2236</v>
      </c>
      <c r="C74" s="47">
        <v>252.0</v>
      </c>
      <c r="D74" s="47" t="s">
        <v>742</v>
      </c>
      <c r="E74" s="47">
        <v>1.0</v>
      </c>
      <c r="F74" s="1902">
        <v>0.0</v>
      </c>
      <c r="G74" s="47" t="s">
        <v>2760</v>
      </c>
      <c r="H74" s="47">
        <v>12.0</v>
      </c>
      <c r="I74" s="47" t="s">
        <v>2762</v>
      </c>
      <c r="J74" s="85">
        <v>59.0</v>
      </c>
      <c r="K74" s="1553" t="s">
        <v>2765</v>
      </c>
      <c r="L74" s="47" t="s">
        <v>2766</v>
      </c>
      <c r="M74" s="526"/>
    </row>
    <row r="75" ht="22.5" customHeight="1">
      <c r="A75" s="5" t="s">
        <v>185</v>
      </c>
      <c r="B75" s="47" t="s">
        <v>45</v>
      </c>
      <c r="C75" s="47">
        <v>282.0</v>
      </c>
      <c r="D75" s="47" t="s">
        <v>258</v>
      </c>
      <c r="E75" s="47">
        <v>0.0</v>
      </c>
      <c r="F75" s="1902">
        <v>0.0</v>
      </c>
      <c r="G75" s="55" t="s">
        <v>2761</v>
      </c>
      <c r="H75" s="47">
        <v>10.0</v>
      </c>
      <c r="I75" s="47" t="s">
        <v>2770</v>
      </c>
      <c r="J75" s="85">
        <v>11.0</v>
      </c>
      <c r="K75" s="47" t="s">
        <v>2773</v>
      </c>
      <c r="L75" s="47" t="s">
        <v>2774</v>
      </c>
      <c r="M75" s="526"/>
    </row>
    <row r="76" ht="22.5" customHeight="1">
      <c r="A76" s="5" t="s">
        <v>185</v>
      </c>
      <c r="B76" s="47" t="s">
        <v>23</v>
      </c>
      <c r="C76" s="47">
        <v>332.0</v>
      </c>
      <c r="D76" s="47" t="s">
        <v>2776</v>
      </c>
      <c r="E76" s="47">
        <v>2.0</v>
      </c>
      <c r="F76" s="1902">
        <v>0.0</v>
      </c>
      <c r="G76" s="47" t="s">
        <v>452</v>
      </c>
      <c r="H76" s="47">
        <v>11.0</v>
      </c>
      <c r="I76" s="47" t="s">
        <v>2778</v>
      </c>
      <c r="J76" s="85">
        <v>123.0</v>
      </c>
      <c r="K76" s="47" t="s">
        <v>1290</v>
      </c>
      <c r="L76" s="47" t="s">
        <v>298</v>
      </c>
      <c r="M76" s="526"/>
    </row>
    <row r="77" ht="22.5" customHeight="1">
      <c r="A77" s="5" t="s">
        <v>185</v>
      </c>
      <c r="B77" s="47" t="s">
        <v>2096</v>
      </c>
      <c r="C77" s="47">
        <v>350.0</v>
      </c>
      <c r="D77" s="47" t="s">
        <v>258</v>
      </c>
      <c r="E77" s="47">
        <v>0.0</v>
      </c>
      <c r="F77" s="1902">
        <v>0.0</v>
      </c>
      <c r="G77" s="47" t="s">
        <v>719</v>
      </c>
      <c r="H77" s="47">
        <v>14.0</v>
      </c>
      <c r="I77" s="47" t="s">
        <v>2786</v>
      </c>
      <c r="J77" s="85">
        <v>64.0</v>
      </c>
      <c r="K77" s="1553" t="s">
        <v>2788</v>
      </c>
      <c r="L77" s="47" t="s">
        <v>298</v>
      </c>
      <c r="M77" s="526"/>
    </row>
    <row r="78" ht="22.5" customHeight="1">
      <c r="A78" s="5" t="s">
        <v>185</v>
      </c>
      <c r="B78" s="47" t="s">
        <v>85</v>
      </c>
      <c r="C78" s="47">
        <v>362.0</v>
      </c>
      <c r="D78" s="47" t="s">
        <v>258</v>
      </c>
      <c r="E78" s="47">
        <v>0.0</v>
      </c>
      <c r="F78" s="1902">
        <v>0.0</v>
      </c>
      <c r="G78" s="47" t="s">
        <v>2790</v>
      </c>
      <c r="H78" s="47">
        <v>14.0</v>
      </c>
      <c r="I78" s="47" t="s">
        <v>2792</v>
      </c>
      <c r="J78" s="85">
        <v>55.0</v>
      </c>
      <c r="K78" s="1553" t="s">
        <v>553</v>
      </c>
      <c r="L78" s="47" t="s">
        <v>1434</v>
      </c>
      <c r="M78" s="526"/>
    </row>
    <row r="79" ht="22.5" customHeight="1">
      <c r="A79" s="5" t="s">
        <v>185</v>
      </c>
      <c r="B79" s="47" t="s">
        <v>33</v>
      </c>
      <c r="C79" s="47">
        <v>382.0</v>
      </c>
      <c r="D79" s="47" t="s">
        <v>258</v>
      </c>
      <c r="E79" s="47">
        <v>0.0</v>
      </c>
      <c r="F79" s="1902">
        <v>0.0</v>
      </c>
      <c r="G79" s="47" t="s">
        <v>2701</v>
      </c>
      <c r="H79" s="47">
        <v>17.0</v>
      </c>
      <c r="I79" s="47" t="s">
        <v>2794</v>
      </c>
      <c r="J79" s="85">
        <v>111.0</v>
      </c>
      <c r="K79" s="1553" t="s">
        <v>2797</v>
      </c>
      <c r="L79" s="47" t="s">
        <v>298</v>
      </c>
      <c r="M79" s="526"/>
    </row>
    <row r="80" ht="22.5" customHeight="1">
      <c r="A80" s="5" t="s">
        <v>185</v>
      </c>
      <c r="B80" s="47" t="s">
        <v>2150</v>
      </c>
      <c r="C80" s="47">
        <v>411.0</v>
      </c>
      <c r="D80" s="47" t="s">
        <v>258</v>
      </c>
      <c r="E80" s="47">
        <v>0.0</v>
      </c>
      <c r="F80" s="1902">
        <v>0.0</v>
      </c>
      <c r="G80" s="47" t="s">
        <v>444</v>
      </c>
      <c r="H80" s="47">
        <v>16.0</v>
      </c>
      <c r="I80" s="47">
        <v>0.0</v>
      </c>
      <c r="J80" s="85">
        <v>157.0</v>
      </c>
      <c r="K80" s="1553" t="s">
        <v>2800</v>
      </c>
      <c r="L80" s="47" t="s">
        <v>2802</v>
      </c>
      <c r="M80" s="526"/>
    </row>
    <row r="81" ht="22.5" customHeight="1">
      <c r="A81" s="5" t="s">
        <v>185</v>
      </c>
      <c r="B81" s="47" t="s">
        <v>19</v>
      </c>
      <c r="C81" s="47">
        <v>512.0</v>
      </c>
      <c r="D81" s="47" t="s">
        <v>258</v>
      </c>
      <c r="E81" s="47">
        <v>0.0</v>
      </c>
      <c r="F81" s="1902">
        <v>0.0</v>
      </c>
      <c r="G81" s="47" t="s">
        <v>2803</v>
      </c>
      <c r="H81" s="47">
        <v>30.0</v>
      </c>
      <c r="I81" s="47" t="s">
        <v>2806</v>
      </c>
      <c r="J81" s="85">
        <v>126.0</v>
      </c>
      <c r="K81" s="1553" t="s">
        <v>2807</v>
      </c>
      <c r="L81" s="47" t="s">
        <v>2809</v>
      </c>
      <c r="M81" s="526"/>
    </row>
    <row r="82" ht="22.5" customHeight="1">
      <c r="A82" s="5" t="s">
        <v>185</v>
      </c>
      <c r="B82" s="47" t="s">
        <v>26</v>
      </c>
      <c r="C82" s="47">
        <v>718.0</v>
      </c>
      <c r="D82" s="47" t="s">
        <v>258</v>
      </c>
      <c r="E82" s="47">
        <v>0.0</v>
      </c>
      <c r="F82" s="1902">
        <v>0.0</v>
      </c>
      <c r="G82" s="47" t="s">
        <v>432</v>
      </c>
      <c r="H82" s="47">
        <v>22.0</v>
      </c>
      <c r="I82" s="47" t="s">
        <v>2810</v>
      </c>
      <c r="J82" s="85">
        <v>78.0</v>
      </c>
      <c r="K82" s="1553" t="s">
        <v>2813</v>
      </c>
      <c r="L82" s="47" t="s">
        <v>2814</v>
      </c>
      <c r="M82" s="526"/>
    </row>
    <row r="83" ht="22.5" customHeight="1">
      <c r="A83" s="5" t="s">
        <v>185</v>
      </c>
      <c r="B83" s="47" t="s">
        <v>13</v>
      </c>
      <c r="C83" s="47">
        <v>744.0</v>
      </c>
      <c r="D83" s="47" t="s">
        <v>697</v>
      </c>
      <c r="E83" s="47">
        <v>1.0</v>
      </c>
      <c r="F83" s="1902">
        <v>0.0</v>
      </c>
      <c r="G83" s="47" t="s">
        <v>2815</v>
      </c>
      <c r="H83" s="47">
        <v>30.0</v>
      </c>
      <c r="I83" s="47" t="s">
        <v>2816</v>
      </c>
      <c r="J83" s="85">
        <v>134.0</v>
      </c>
      <c r="K83" s="1553" t="s">
        <v>2817</v>
      </c>
      <c r="L83" s="47" t="s">
        <v>1125</v>
      </c>
      <c r="M83" s="526"/>
    </row>
    <row r="84">
      <c r="B84" s="526"/>
      <c r="C84" s="526"/>
      <c r="D84" s="526"/>
      <c r="E84" s="526"/>
      <c r="F84" s="526"/>
      <c r="G84" s="526"/>
      <c r="H84" s="526"/>
      <c r="I84" s="526"/>
      <c r="J84" s="526"/>
      <c r="K84" s="526"/>
      <c r="L84" s="526"/>
      <c r="M84" s="526"/>
    </row>
    <row r="85">
      <c r="B85" s="526"/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6"/>
    </row>
    <row r="86">
      <c r="B86" s="526"/>
      <c r="C86" s="526"/>
      <c r="D86" s="526"/>
      <c r="E86" s="526"/>
      <c r="F86" s="526"/>
      <c r="G86" s="526"/>
      <c r="H86" s="526"/>
      <c r="I86" s="526"/>
      <c r="J86" s="526"/>
      <c r="K86" s="526"/>
      <c r="L86" s="526"/>
      <c r="M86" s="526"/>
    </row>
    <row r="87">
      <c r="B87" s="526"/>
      <c r="C87" s="526"/>
      <c r="D87" s="526"/>
      <c r="E87" s="526"/>
      <c r="F87" s="526"/>
      <c r="G87" s="526"/>
      <c r="H87" s="526"/>
      <c r="I87" s="526"/>
      <c r="J87" s="526"/>
      <c r="K87" s="526"/>
      <c r="L87" s="526"/>
      <c r="M87" s="526"/>
    </row>
    <row r="88">
      <c r="B88" s="526"/>
      <c r="C88" s="526"/>
      <c r="D88" s="526"/>
      <c r="E88" s="526"/>
      <c r="F88" s="526"/>
      <c r="G88" s="526"/>
      <c r="H88" s="526"/>
      <c r="I88" s="526"/>
      <c r="J88" s="526"/>
      <c r="K88" s="526"/>
      <c r="L88" s="526"/>
      <c r="M88" s="526"/>
    </row>
    <row r="89">
      <c r="B89" s="526"/>
      <c r="C89" s="526"/>
      <c r="D89" s="526"/>
      <c r="E89" s="526"/>
      <c r="F89" s="526"/>
      <c r="G89" s="526"/>
      <c r="H89" s="526"/>
      <c r="I89" s="526"/>
      <c r="J89" s="526"/>
      <c r="K89" s="526"/>
      <c r="L89" s="526"/>
      <c r="M89" s="526"/>
    </row>
    <row r="90">
      <c r="B90" s="526"/>
      <c r="C90" s="526"/>
      <c r="D90" s="526"/>
      <c r="E90" s="526"/>
      <c r="F90" s="526"/>
      <c r="G90" s="526"/>
      <c r="H90" s="526"/>
      <c r="I90" s="526"/>
      <c r="J90" s="526"/>
      <c r="K90" s="526"/>
      <c r="L90" s="526"/>
      <c r="M90" s="526"/>
    </row>
    <row r="91">
      <c r="B91" s="526"/>
      <c r="C91" s="526"/>
      <c r="D91" s="526"/>
      <c r="E91" s="526"/>
      <c r="F91" s="526"/>
      <c r="G91" s="526"/>
      <c r="H91" s="526"/>
      <c r="I91" s="526"/>
      <c r="J91" s="526"/>
      <c r="K91" s="526"/>
      <c r="L91" s="526"/>
      <c r="M91" s="526"/>
    </row>
    <row r="92">
      <c r="B92" s="526"/>
      <c r="C92" s="526"/>
      <c r="D92" s="526"/>
      <c r="E92" s="526"/>
      <c r="F92" s="526"/>
      <c r="G92" s="526"/>
      <c r="H92" s="526"/>
      <c r="I92" s="526"/>
      <c r="J92" s="526"/>
      <c r="K92" s="526"/>
      <c r="L92" s="526"/>
      <c r="M92" s="526"/>
    </row>
    <row r="93">
      <c r="B93" s="526"/>
      <c r="C93" s="526"/>
      <c r="D93" s="526"/>
      <c r="E93" s="526"/>
      <c r="F93" s="526"/>
      <c r="G93" s="526"/>
      <c r="H93" s="526"/>
      <c r="I93" s="526"/>
      <c r="J93" s="526"/>
      <c r="K93" s="526"/>
      <c r="L93" s="526"/>
      <c r="M93" s="526"/>
    </row>
    <row r="94">
      <c r="B94" s="526"/>
      <c r="C94" s="526"/>
      <c r="D94" s="526"/>
      <c r="E94" s="526"/>
      <c r="F94" s="526"/>
      <c r="G94" s="526"/>
      <c r="H94" s="526"/>
      <c r="I94" s="526"/>
      <c r="J94" s="526"/>
      <c r="K94" s="526"/>
      <c r="L94" s="526"/>
      <c r="M94" s="526"/>
    </row>
    <row r="95">
      <c r="B95" s="526"/>
      <c r="C95" s="526"/>
      <c r="D95" s="526"/>
      <c r="E95" s="526"/>
      <c r="F95" s="526"/>
      <c r="G95" s="526"/>
      <c r="H95" s="526"/>
      <c r="I95" s="526"/>
      <c r="J95" s="526"/>
      <c r="K95" s="526"/>
      <c r="L95" s="526"/>
      <c r="M95" s="526"/>
    </row>
    <row r="96">
      <c r="B96" s="526"/>
      <c r="C96" s="526"/>
      <c r="D96" s="526"/>
      <c r="E96" s="526"/>
      <c r="F96" s="526"/>
      <c r="G96" s="526"/>
      <c r="H96" s="526"/>
      <c r="I96" s="526"/>
      <c r="J96" s="526"/>
      <c r="K96" s="526"/>
      <c r="L96" s="526"/>
      <c r="M96" s="526"/>
    </row>
    <row r="97">
      <c r="B97" s="526"/>
      <c r="C97" s="526"/>
      <c r="D97" s="526"/>
      <c r="E97" s="526"/>
      <c r="F97" s="526"/>
      <c r="G97" s="526"/>
      <c r="H97" s="526"/>
      <c r="I97" s="526"/>
      <c r="J97" s="526"/>
      <c r="K97" s="526"/>
      <c r="L97" s="526"/>
      <c r="M97" s="526"/>
    </row>
    <row r="98">
      <c r="B98" s="526"/>
      <c r="C98" s="526"/>
      <c r="D98" s="526"/>
      <c r="E98" s="526"/>
      <c r="F98" s="526"/>
      <c r="G98" s="526"/>
      <c r="H98" s="526"/>
      <c r="I98" s="526"/>
      <c r="J98" s="526"/>
      <c r="K98" s="526"/>
      <c r="L98" s="526"/>
      <c r="M98" s="526"/>
    </row>
    <row r="99">
      <c r="B99" s="526"/>
      <c r="C99" s="526"/>
      <c r="D99" s="526"/>
      <c r="E99" s="526"/>
      <c r="F99" s="526"/>
      <c r="G99" s="526"/>
      <c r="H99" s="526"/>
      <c r="I99" s="526"/>
      <c r="J99" s="526"/>
      <c r="K99" s="526"/>
      <c r="L99" s="526"/>
      <c r="M99" s="526"/>
    </row>
    <row r="100">
      <c r="B100" s="526"/>
      <c r="C100" s="526"/>
      <c r="D100" s="526"/>
      <c r="E100" s="526"/>
      <c r="F100" s="526"/>
      <c r="G100" s="526"/>
      <c r="H100" s="526"/>
      <c r="I100" s="526"/>
      <c r="J100" s="526"/>
      <c r="K100" s="526"/>
      <c r="L100" s="526"/>
      <c r="M100" s="526"/>
    </row>
    <row r="101">
      <c r="B101" s="526"/>
      <c r="C101" s="526"/>
      <c r="D101" s="526"/>
      <c r="E101" s="526"/>
      <c r="F101" s="526"/>
      <c r="G101" s="526"/>
      <c r="H101" s="526"/>
      <c r="I101" s="526"/>
      <c r="J101" s="526"/>
      <c r="K101" s="526"/>
      <c r="L101" s="526"/>
      <c r="M101" s="526"/>
    </row>
    <row r="102">
      <c r="B102" s="526"/>
      <c r="C102" s="526"/>
      <c r="D102" s="526"/>
      <c r="E102" s="526"/>
      <c r="F102" s="526"/>
      <c r="G102" s="526"/>
      <c r="H102" s="526"/>
      <c r="I102" s="526"/>
      <c r="J102" s="526"/>
      <c r="K102" s="526"/>
      <c r="L102" s="526"/>
      <c r="M102" s="526"/>
    </row>
    <row r="103">
      <c r="B103" s="526"/>
      <c r="C103" s="526"/>
      <c r="D103" s="526"/>
      <c r="E103" s="526"/>
      <c r="F103" s="526"/>
      <c r="G103" s="526"/>
      <c r="H103" s="526"/>
      <c r="I103" s="526"/>
      <c r="J103" s="526"/>
      <c r="K103" s="526"/>
      <c r="L103" s="526"/>
      <c r="M103" s="526"/>
    </row>
    <row r="104">
      <c r="B104" s="526"/>
      <c r="C104" s="526"/>
      <c r="D104" s="526"/>
      <c r="E104" s="526"/>
      <c r="F104" s="526"/>
      <c r="G104" s="526"/>
      <c r="H104" s="526"/>
      <c r="I104" s="526"/>
      <c r="J104" s="526"/>
      <c r="K104" s="526"/>
      <c r="L104" s="526"/>
      <c r="M104" s="526"/>
    </row>
    <row r="105">
      <c r="B105" s="526"/>
      <c r="C105" s="526"/>
      <c r="D105" s="526"/>
      <c r="E105" s="526"/>
      <c r="F105" s="526"/>
      <c r="G105" s="526"/>
      <c r="H105" s="526"/>
      <c r="I105" s="526"/>
      <c r="J105" s="526"/>
      <c r="K105" s="526"/>
      <c r="L105" s="526"/>
      <c r="M105" s="526"/>
    </row>
  </sheetData>
  <dataValidations>
    <dataValidation allowBlank="1" showDropDown="1" sqref="L3:L83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